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paula\Box\Soybean-Transpiration-Efficiency\data-analysis\transpiration\"/>
    </mc:Choice>
  </mc:AlternateContent>
  <xr:revisionPtr revIDLastSave="0" documentId="13_ncr:1_{E2773BC8-7130-4F77-9190-7EA8E801E9C4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1" l="1"/>
  <c r="Y15" i="1"/>
  <c r="Y16" i="1" s="1"/>
  <c r="X15" i="1"/>
  <c r="X16" i="1" s="1"/>
  <c r="W15" i="1"/>
  <c r="W16" i="1" s="1"/>
  <c r="V15" i="1"/>
  <c r="V16" i="1" s="1"/>
  <c r="U15" i="1"/>
  <c r="U16" i="1" s="1"/>
  <c r="T15" i="1"/>
  <c r="T16" i="1" s="1"/>
  <c r="Z7" i="1"/>
  <c r="Y7" i="1"/>
  <c r="X7" i="1"/>
  <c r="X8" i="1" s="1"/>
  <c r="W7" i="1"/>
  <c r="W8" i="1" s="1"/>
  <c r="V7" i="1"/>
  <c r="V8" i="1" s="1"/>
  <c r="U7" i="1"/>
  <c r="U8" i="1" s="1"/>
  <c r="T7" i="1"/>
  <c r="T8" i="1" s="1"/>
  <c r="Q22" i="1"/>
  <c r="P22" i="1"/>
  <c r="P23" i="1" s="1"/>
  <c r="O22" i="1"/>
  <c r="O23" i="1" s="1"/>
  <c r="N22" i="1"/>
  <c r="N23" i="1" s="1"/>
  <c r="M22" i="1"/>
  <c r="M23" i="1" s="1"/>
  <c r="L22" i="1"/>
  <c r="L23" i="1" s="1"/>
  <c r="K22" i="1"/>
  <c r="K23" i="1" s="1"/>
  <c r="Q14" i="1"/>
  <c r="P14" i="1"/>
  <c r="O14" i="1"/>
  <c r="N14" i="1"/>
  <c r="M14" i="1"/>
  <c r="M15" i="1" s="1"/>
  <c r="L14" i="1"/>
  <c r="K14" i="1"/>
  <c r="K15" i="1" s="1"/>
  <c r="L7" i="1"/>
  <c r="L8" i="1" s="1"/>
  <c r="M7" i="1"/>
  <c r="M8" i="1" s="1"/>
  <c r="N7" i="1"/>
  <c r="O7" i="1"/>
  <c r="O8" i="1" s="1"/>
  <c r="P7" i="1"/>
  <c r="Q7" i="1"/>
  <c r="K7" i="1"/>
  <c r="T17" i="1" l="1"/>
  <c r="Z16" i="1"/>
  <c r="Z17" i="1" s="1"/>
  <c r="U17" i="1"/>
  <c r="V17" i="1"/>
  <c r="W17" i="1"/>
  <c r="X17" i="1"/>
  <c r="Y17" i="1"/>
  <c r="Z8" i="1"/>
  <c r="Z9" i="1" s="1"/>
  <c r="T9" i="1"/>
  <c r="Y8" i="1"/>
  <c r="Y9" i="1" s="1"/>
  <c r="U9" i="1"/>
  <c r="V9" i="1"/>
  <c r="W9" i="1"/>
  <c r="X9" i="1"/>
  <c r="Q23" i="1"/>
  <c r="Q24" i="1" s="1"/>
  <c r="K24" i="1"/>
  <c r="L24" i="1"/>
  <c r="M24" i="1"/>
  <c r="N24" i="1"/>
  <c r="O24" i="1"/>
  <c r="P24" i="1"/>
  <c r="L15" i="1"/>
  <c r="L16" i="1" s="1"/>
  <c r="N15" i="1"/>
  <c r="N16" i="1" s="1"/>
  <c r="O15" i="1"/>
  <c r="O16" i="1" s="1"/>
  <c r="P15" i="1"/>
  <c r="P16" i="1" s="1"/>
  <c r="Q15" i="1"/>
  <c r="Q16" i="1" s="1"/>
  <c r="K16" i="1"/>
  <c r="M16" i="1"/>
  <c r="O9" i="1"/>
  <c r="P8" i="1"/>
  <c r="P9" i="1" s="1"/>
  <c r="M9" i="1"/>
  <c r="Q8" i="1"/>
  <c r="Q9" i="1" s="1"/>
  <c r="N8" i="1"/>
  <c r="N9" i="1" s="1"/>
  <c r="L9" i="1"/>
  <c r="K8" i="1"/>
  <c r="K9" i="1" s="1"/>
</calcChain>
</file>

<file path=xl/sharedStrings.xml><?xml version="1.0" encoding="utf-8"?>
<sst xmlns="http://schemas.openxmlformats.org/spreadsheetml/2006/main" count="65" uniqueCount="16">
  <si>
    <t>RH, %</t>
  </si>
  <si>
    <t>Temperature, °C</t>
  </si>
  <si>
    <t>VPsat, kPa</t>
  </si>
  <si>
    <t>This uses the  exponential</t>
  </si>
  <si>
    <t>VPD treatments</t>
  </si>
  <si>
    <t>Variable</t>
  </si>
  <si>
    <t>VPactual, kPa</t>
  </si>
  <si>
    <t xml:space="preserve">VPD, kPa </t>
  </si>
  <si>
    <t>Conditions prior to R1</t>
  </si>
  <si>
    <t>T1</t>
  </si>
  <si>
    <t>T2</t>
  </si>
  <si>
    <t>T3</t>
  </si>
  <si>
    <t>T4</t>
  </si>
  <si>
    <t>T5</t>
  </si>
  <si>
    <t>T6</t>
  </si>
  <si>
    <t>VPD treatments Day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</si>
</sst>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25</xdr:row>
      <xdr:rowOff>161925</xdr:rowOff>
    </xdr:from>
    <xdr:to>
      <xdr:col>10</xdr:col>
      <xdr:colOff>627864</xdr:colOff>
      <xdr:row>55</xdr:row>
      <xdr:rowOff>151711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B64F0-E789-BF97-D09C-AF683E02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924425"/>
          <a:ext cx="6238089" cy="5704786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27</xdr:row>
      <xdr:rowOff>79375</xdr:rowOff>
    </xdr:from>
    <xdr:to>
      <xdr:col>30</xdr:col>
      <xdr:colOff>230324</xdr:colOff>
      <xdr:row>35</xdr:row>
      <xdr:rowOff>117287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9AFA64-9A0F-8C66-7EDB-546CCCA34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3475" y="5222875"/>
          <a:ext cx="11514274" cy="1561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Z25"/>
  <sheetViews>
    <sheetView tabSelected="1" topLeftCell="S4" workbookViewId="0">
      <selection activeCell="Z14" sqref="Z14"/>
    </sheetView>
  </sheetViews>
  <sheetFormatPr defaultRowHeight="15" x14ac:dyDescent="0.25"/>
  <cols>
    <col min="10" max="10" width="14.42578125" bestFit="1" customWidth="1"/>
    <col min="11" max="11" width="19.42578125" bestFit="1" customWidth="1"/>
    <col min="12" max="17" width="11.140625" customWidth="1"/>
    <col min="19" max="19" width="15.5703125" bestFit="1" customWidth="1"/>
    <col min="20" max="20" width="20.42578125" bestFit="1" customWidth="1"/>
  </cols>
  <sheetData>
    <row r="4" spans="10:26" x14ac:dyDescent="0.25">
      <c r="J4" s="6" t="s">
        <v>5</v>
      </c>
      <c r="K4" s="7" t="s">
        <v>8</v>
      </c>
      <c r="L4" s="26" t="s">
        <v>4</v>
      </c>
      <c r="M4" s="26"/>
      <c r="N4" s="26"/>
      <c r="O4" s="26"/>
      <c r="P4" s="26"/>
      <c r="Q4" s="26"/>
      <c r="S4" s="6" t="s">
        <v>5</v>
      </c>
      <c r="T4" s="7" t="s">
        <v>8</v>
      </c>
      <c r="U4" s="26" t="s">
        <v>15</v>
      </c>
      <c r="V4" s="26"/>
      <c r="W4" s="26"/>
      <c r="X4" s="26"/>
      <c r="Y4" s="26"/>
      <c r="Z4" s="26"/>
    </row>
    <row r="5" spans="10:26" x14ac:dyDescent="0.25">
      <c r="J5" s="3" t="s">
        <v>0</v>
      </c>
      <c r="K5" s="2">
        <v>60</v>
      </c>
      <c r="L5" s="1">
        <v>80</v>
      </c>
      <c r="M5" s="1">
        <v>70</v>
      </c>
      <c r="N5" s="1">
        <v>60</v>
      </c>
      <c r="O5" s="1">
        <v>50</v>
      </c>
      <c r="P5" s="1">
        <v>40</v>
      </c>
      <c r="Q5" s="1">
        <v>30</v>
      </c>
      <c r="S5" s="3" t="s">
        <v>0</v>
      </c>
      <c r="T5" s="2">
        <v>60</v>
      </c>
      <c r="U5" s="8">
        <v>78.36</v>
      </c>
      <c r="V5" s="13">
        <v>68.7</v>
      </c>
      <c r="W5" s="14">
        <v>59.29</v>
      </c>
      <c r="X5" s="17">
        <v>49.22</v>
      </c>
      <c r="Y5" s="20">
        <v>41.15</v>
      </c>
      <c r="Z5" s="23">
        <v>29.81</v>
      </c>
    </row>
    <row r="6" spans="10:26" x14ac:dyDescent="0.25">
      <c r="J6" s="3" t="s">
        <v>1</v>
      </c>
      <c r="K6" s="2">
        <v>28</v>
      </c>
      <c r="L6" s="1">
        <v>34</v>
      </c>
      <c r="M6" s="1">
        <v>34</v>
      </c>
      <c r="N6" s="1">
        <v>34</v>
      </c>
      <c r="O6" s="1">
        <v>34</v>
      </c>
      <c r="P6" s="1">
        <v>34</v>
      </c>
      <c r="Q6" s="1">
        <v>34</v>
      </c>
      <c r="S6" s="3" t="s">
        <v>1</v>
      </c>
      <c r="T6" s="2">
        <v>28</v>
      </c>
      <c r="U6" s="8">
        <v>31.85</v>
      </c>
      <c r="V6" s="13">
        <v>31.95</v>
      </c>
      <c r="W6" s="14">
        <v>31.97</v>
      </c>
      <c r="X6" s="17">
        <v>31.93</v>
      </c>
      <c r="Y6" s="20">
        <v>31.93</v>
      </c>
      <c r="Z6" s="23">
        <v>31.9</v>
      </c>
    </row>
    <row r="7" spans="10:26" x14ac:dyDescent="0.25">
      <c r="J7" s="3" t="s">
        <v>2</v>
      </c>
      <c r="K7" s="4">
        <f>0.61081*EXP((17.27*K6)/(237.3+K6))</f>
        <v>3.7799922489062645</v>
      </c>
      <c r="L7" s="5">
        <f t="shared" ref="L7:Q7" si="0">0.61081*EXP((17.27*L6)/(237.3+L6))</f>
        <v>5.3193472966347599</v>
      </c>
      <c r="M7" s="5">
        <f t="shared" si="0"/>
        <v>5.3193472966347599</v>
      </c>
      <c r="N7" s="5">
        <f t="shared" si="0"/>
        <v>5.3193472966347599</v>
      </c>
      <c r="O7" s="5">
        <f t="shared" si="0"/>
        <v>5.3193472966347599</v>
      </c>
      <c r="P7" s="5">
        <f t="shared" si="0"/>
        <v>5.3193472966347599</v>
      </c>
      <c r="Q7" s="5">
        <f t="shared" si="0"/>
        <v>5.3193472966347599</v>
      </c>
      <c r="S7" s="3" t="s">
        <v>2</v>
      </c>
      <c r="T7" s="4">
        <f>0.61081*EXP((17.27*T6)/(237.3+T6))</f>
        <v>3.7799922489062645</v>
      </c>
      <c r="U7" s="9">
        <f t="shared" ref="U7:Z7" si="1">0.61081*EXP((17.27*U6)/(237.3+U6))</f>
        <v>4.7146975252095622</v>
      </c>
      <c r="V7" s="11">
        <f t="shared" si="1"/>
        <v>4.7414351227763465</v>
      </c>
      <c r="W7" s="15">
        <f t="shared" si="1"/>
        <v>4.7467984181177112</v>
      </c>
      <c r="X7" s="18">
        <f t="shared" si="1"/>
        <v>4.7360770918111141</v>
      </c>
      <c r="Y7" s="21">
        <f t="shared" si="1"/>
        <v>4.7360770918111141</v>
      </c>
      <c r="Z7" s="24">
        <f t="shared" si="1"/>
        <v>4.7280499066035517</v>
      </c>
    </row>
    <row r="8" spans="10:26" x14ac:dyDescent="0.25">
      <c r="J8" s="3" t="s">
        <v>6</v>
      </c>
      <c r="K8" s="4">
        <f>K5*K7/100</f>
        <v>2.2679953493437583</v>
      </c>
      <c r="L8" s="5">
        <f t="shared" ref="L8:Q8" si="2">L5*L7/100</f>
        <v>4.2554778373078079</v>
      </c>
      <c r="M8" s="5">
        <f t="shared" si="2"/>
        <v>3.7235431076443319</v>
      </c>
      <c r="N8" s="5">
        <f t="shared" si="2"/>
        <v>3.1916083779808559</v>
      </c>
      <c r="O8" s="5">
        <f t="shared" si="2"/>
        <v>2.65967364831738</v>
      </c>
      <c r="P8" s="5">
        <f t="shared" si="2"/>
        <v>2.127738918653904</v>
      </c>
      <c r="Q8" s="5">
        <f t="shared" si="2"/>
        <v>1.595804188990428</v>
      </c>
      <c r="S8" s="3" t="s">
        <v>6</v>
      </c>
      <c r="T8" s="4">
        <f>T5*T7/100</f>
        <v>2.2679953493437583</v>
      </c>
      <c r="U8" s="9">
        <f t="shared" ref="U8:Z8" si="3">U5*U7/100</f>
        <v>3.694436980754213</v>
      </c>
      <c r="V8" s="11">
        <f t="shared" si="3"/>
        <v>3.2573659293473503</v>
      </c>
      <c r="W8" s="15">
        <f t="shared" si="3"/>
        <v>2.8143767821019905</v>
      </c>
      <c r="X8" s="18">
        <f t="shared" si="3"/>
        <v>2.3310971445894304</v>
      </c>
      <c r="Y8" s="21">
        <f t="shared" si="3"/>
        <v>1.9488957232802733</v>
      </c>
      <c r="Z8" s="24">
        <f t="shared" si="3"/>
        <v>1.4094316771585187</v>
      </c>
    </row>
    <row r="9" spans="10:26" x14ac:dyDescent="0.25">
      <c r="J9" s="3" t="s">
        <v>7</v>
      </c>
      <c r="K9" s="4">
        <f>K7-K8</f>
        <v>1.5119968995625062</v>
      </c>
      <c r="L9" s="5">
        <f t="shared" ref="L9:Q9" si="4">L7-L8</f>
        <v>1.063869459326952</v>
      </c>
      <c r="M9" s="5">
        <f t="shared" si="4"/>
        <v>1.595804188990428</v>
      </c>
      <c r="N9" s="5">
        <f t="shared" si="4"/>
        <v>2.127738918653904</v>
      </c>
      <c r="O9" s="5">
        <f t="shared" si="4"/>
        <v>2.65967364831738</v>
      </c>
      <c r="P9" s="5">
        <f t="shared" si="4"/>
        <v>3.1916083779808559</v>
      </c>
      <c r="Q9" s="5">
        <f t="shared" si="4"/>
        <v>3.7235431076443319</v>
      </c>
      <c r="S9" s="3" t="s">
        <v>7</v>
      </c>
      <c r="T9" s="4">
        <f>T7-T8</f>
        <v>1.5119968995625062</v>
      </c>
      <c r="U9" s="9">
        <f>U7-U8</f>
        <v>1.0202605444553492</v>
      </c>
      <c r="V9" s="11">
        <f t="shared" ref="V9:Z9" si="5">V7-V8</f>
        <v>1.4840691934289962</v>
      </c>
      <c r="W9" s="15">
        <f t="shared" si="5"/>
        <v>1.9324216360157207</v>
      </c>
      <c r="X9" s="18">
        <f t="shared" si="5"/>
        <v>2.4049799472216837</v>
      </c>
      <c r="Y9" s="21">
        <f t="shared" si="5"/>
        <v>2.7871813685308409</v>
      </c>
      <c r="Z9" s="24">
        <f t="shared" si="5"/>
        <v>3.318618229445033</v>
      </c>
    </row>
    <row r="10" spans="10:26" x14ac:dyDescent="0.25">
      <c r="U10" s="10" t="s">
        <v>9</v>
      </c>
      <c r="V10" s="12" t="s">
        <v>10</v>
      </c>
      <c r="W10" s="16" t="s">
        <v>11</v>
      </c>
      <c r="X10" s="19" t="s">
        <v>12</v>
      </c>
      <c r="Y10" s="22" t="s">
        <v>13</v>
      </c>
      <c r="Z10" s="25" t="s">
        <v>14</v>
      </c>
    </row>
    <row r="11" spans="10:26" x14ac:dyDescent="0.25">
      <c r="J11" s="6" t="s">
        <v>5</v>
      </c>
      <c r="K11" s="7" t="s">
        <v>8</v>
      </c>
      <c r="L11" s="26" t="s">
        <v>4</v>
      </c>
      <c r="M11" s="26"/>
      <c r="N11" s="26"/>
      <c r="O11" s="26"/>
      <c r="P11" s="26"/>
      <c r="Q11" s="26"/>
    </row>
    <row r="12" spans="10:26" x14ac:dyDescent="0.25">
      <c r="J12" s="3" t="s">
        <v>0</v>
      </c>
      <c r="K12" s="2">
        <v>60</v>
      </c>
      <c r="L12" s="8">
        <v>77</v>
      </c>
      <c r="M12" s="13">
        <v>69</v>
      </c>
      <c r="N12" s="14">
        <v>59</v>
      </c>
      <c r="O12" s="17">
        <v>50</v>
      </c>
      <c r="P12" s="20">
        <v>39</v>
      </c>
      <c r="Q12" s="23">
        <v>31</v>
      </c>
      <c r="S12" s="6" t="s">
        <v>5</v>
      </c>
      <c r="T12" s="7" t="s">
        <v>8</v>
      </c>
      <c r="U12" s="26" t="s">
        <v>15</v>
      </c>
      <c r="V12" s="26"/>
      <c r="W12" s="26"/>
      <c r="X12" s="26"/>
      <c r="Y12" s="26"/>
      <c r="Z12" s="26"/>
    </row>
    <row r="13" spans="10:26" x14ac:dyDescent="0.25">
      <c r="J13" s="3" t="s">
        <v>1</v>
      </c>
      <c r="K13" s="2">
        <v>28</v>
      </c>
      <c r="L13" s="8">
        <v>32</v>
      </c>
      <c r="M13" s="13">
        <v>32.1</v>
      </c>
      <c r="N13" s="14">
        <v>31.9</v>
      </c>
      <c r="O13" s="17">
        <v>32</v>
      </c>
      <c r="P13" s="20">
        <v>31.7</v>
      </c>
      <c r="Q13" s="23">
        <v>32.299999999999997</v>
      </c>
      <c r="S13" s="3" t="s">
        <v>0</v>
      </c>
      <c r="T13" s="2">
        <v>60</v>
      </c>
      <c r="U13" s="27">
        <v>78.400000000000006</v>
      </c>
      <c r="V13" s="13">
        <v>68.8</v>
      </c>
      <c r="W13" s="14">
        <v>58.48</v>
      </c>
      <c r="X13" s="17">
        <v>48.74</v>
      </c>
      <c r="Y13" s="20">
        <v>40.75</v>
      </c>
      <c r="Z13" s="23">
        <v>31.97</v>
      </c>
    </row>
    <row r="14" spans="10:26" x14ac:dyDescent="0.25">
      <c r="J14" s="3" t="s">
        <v>2</v>
      </c>
      <c r="K14" s="4">
        <f>0.61081*EXP((17.27*K13)/(237.3+K13))</f>
        <v>3.7799922489062645</v>
      </c>
      <c r="L14" s="9">
        <f t="shared" ref="L14:Q14" si="6">0.61081*EXP((17.27*L13)/(237.3+L13))</f>
        <v>4.7548532413075932</v>
      </c>
      <c r="M14" s="11">
        <f t="shared" si="6"/>
        <v>4.7817884563091235</v>
      </c>
      <c r="N14" s="15">
        <f t="shared" si="6"/>
        <v>4.7280499066035517</v>
      </c>
      <c r="O14" s="18">
        <f t="shared" si="6"/>
        <v>4.7548532413075932</v>
      </c>
      <c r="P14" s="21">
        <f t="shared" si="6"/>
        <v>4.6748367155366184</v>
      </c>
      <c r="Q14" s="24">
        <f t="shared" si="6"/>
        <v>4.8360567002314436</v>
      </c>
      <c r="S14" s="3" t="s">
        <v>1</v>
      </c>
      <c r="T14" s="2">
        <v>28</v>
      </c>
      <c r="U14" s="8">
        <v>31.88</v>
      </c>
      <c r="V14" s="13">
        <v>31.97</v>
      </c>
      <c r="W14" s="14">
        <v>31.91</v>
      </c>
      <c r="X14" s="17">
        <v>31.94</v>
      </c>
      <c r="Y14" s="20">
        <v>31.9</v>
      </c>
      <c r="Z14" s="23">
        <v>31.84</v>
      </c>
    </row>
    <row r="15" spans="10:26" x14ac:dyDescent="0.25">
      <c r="J15" s="3" t="s">
        <v>6</v>
      </c>
      <c r="K15" s="4">
        <f>K12*K14/100</f>
        <v>2.2679953493437583</v>
      </c>
      <c r="L15" s="9">
        <f t="shared" ref="L15:Q15" si="7">L12*L14/100</f>
        <v>3.6612369958068469</v>
      </c>
      <c r="M15" s="11">
        <f t="shared" si="7"/>
        <v>3.2994340348532951</v>
      </c>
      <c r="N15" s="15">
        <f t="shared" si="7"/>
        <v>2.7895494448960956</v>
      </c>
      <c r="O15" s="18">
        <f t="shared" si="7"/>
        <v>2.3774266206537966</v>
      </c>
      <c r="P15" s="21">
        <f t="shared" si="7"/>
        <v>1.8231863190592812</v>
      </c>
      <c r="Q15" s="24">
        <f t="shared" si="7"/>
        <v>1.4991775770717475</v>
      </c>
      <c r="S15" s="3" t="s">
        <v>2</v>
      </c>
      <c r="T15" s="4">
        <f>0.61081*EXP((17.27*T14)/(237.3+T14))</f>
        <v>3.7799922489062645</v>
      </c>
      <c r="U15" s="9">
        <f t="shared" ref="U15:Z15" si="8">0.61081*EXP((17.27*U14)/(237.3+U14))</f>
        <v>4.7227050176532988</v>
      </c>
      <c r="V15" s="11">
        <f t="shared" si="8"/>
        <v>4.7467984181177112</v>
      </c>
      <c r="W15" s="15">
        <f t="shared" si="8"/>
        <v>4.7307243208948231</v>
      </c>
      <c r="X15" s="18">
        <f t="shared" si="8"/>
        <v>4.738755449517229</v>
      </c>
      <c r="Y15" s="21">
        <f t="shared" si="8"/>
        <v>4.7280499066035517</v>
      </c>
      <c r="Z15" s="24">
        <f t="shared" si="8"/>
        <v>4.712030983164885</v>
      </c>
    </row>
    <row r="16" spans="10:26" x14ac:dyDescent="0.25">
      <c r="J16" s="3" t="s">
        <v>7</v>
      </c>
      <c r="K16" s="4">
        <f>K14-K15</f>
        <v>1.5119968995625062</v>
      </c>
      <c r="L16" s="9">
        <f>L14-L15</f>
        <v>1.0936162455007463</v>
      </c>
      <c r="M16" s="11">
        <f t="shared" ref="M16:Q16" si="9">M14-M15</f>
        <v>1.4823544214558284</v>
      </c>
      <c r="N16" s="15">
        <f t="shared" si="9"/>
        <v>1.9385004617074562</v>
      </c>
      <c r="O16" s="18">
        <f t="shared" si="9"/>
        <v>2.3774266206537966</v>
      </c>
      <c r="P16" s="21">
        <f t="shared" si="9"/>
        <v>2.8516503964773374</v>
      </c>
      <c r="Q16" s="24">
        <f t="shared" si="9"/>
        <v>3.3368791231596964</v>
      </c>
      <c r="S16" s="3" t="s">
        <v>6</v>
      </c>
      <c r="T16" s="4">
        <f>T13*T15/100</f>
        <v>2.2679953493437583</v>
      </c>
      <c r="U16" s="9">
        <f t="shared" ref="U16:Z16" si="10">U13*U15/100</f>
        <v>3.7026007338401867</v>
      </c>
      <c r="V16" s="11">
        <f t="shared" si="10"/>
        <v>3.265797311664985</v>
      </c>
      <c r="W16" s="15">
        <f t="shared" si="10"/>
        <v>2.7665275828592923</v>
      </c>
      <c r="X16" s="18">
        <f t="shared" si="10"/>
        <v>2.3096694060946974</v>
      </c>
      <c r="Y16" s="21">
        <f t="shared" si="10"/>
        <v>1.9266803369409473</v>
      </c>
      <c r="Z16" s="24">
        <f t="shared" si="10"/>
        <v>1.5064363053178136</v>
      </c>
    </row>
    <row r="17" spans="4:26" x14ac:dyDescent="0.25">
      <c r="L17" s="10" t="s">
        <v>9</v>
      </c>
      <c r="M17" s="12" t="s">
        <v>10</v>
      </c>
      <c r="N17" s="16" t="s">
        <v>11</v>
      </c>
      <c r="O17" s="19" t="s">
        <v>12</v>
      </c>
      <c r="P17" s="22" t="s">
        <v>13</v>
      </c>
      <c r="Q17" s="25" t="s">
        <v>14</v>
      </c>
      <c r="S17" s="3" t="s">
        <v>7</v>
      </c>
      <c r="T17" s="4">
        <f>T15-T16</f>
        <v>1.5119968995625062</v>
      </c>
      <c r="U17" s="9">
        <f>U15-U16</f>
        <v>1.020104283813112</v>
      </c>
      <c r="V17" s="11">
        <f t="shared" ref="V17:Z17" si="11">V15-V16</f>
        <v>1.4810011064527262</v>
      </c>
      <c r="W17" s="15">
        <f t="shared" si="11"/>
        <v>1.9641967380355307</v>
      </c>
      <c r="X17" s="18">
        <f t="shared" si="11"/>
        <v>2.4290860434225316</v>
      </c>
      <c r="Y17" s="21">
        <f t="shared" si="11"/>
        <v>2.8013695696626044</v>
      </c>
      <c r="Z17" s="24">
        <f t="shared" si="11"/>
        <v>3.2055946778470714</v>
      </c>
    </row>
    <row r="18" spans="4:26" x14ac:dyDescent="0.25">
      <c r="U18" s="10" t="s">
        <v>9</v>
      </c>
      <c r="V18" s="12" t="s">
        <v>10</v>
      </c>
      <c r="W18" s="16" t="s">
        <v>11</v>
      </c>
      <c r="X18" s="19" t="s">
        <v>12</v>
      </c>
      <c r="Y18" s="22" t="s">
        <v>13</v>
      </c>
      <c r="Z18" s="25" t="s">
        <v>14</v>
      </c>
    </row>
    <row r="19" spans="4:26" x14ac:dyDescent="0.25">
      <c r="J19" s="6" t="s">
        <v>5</v>
      </c>
      <c r="K19" s="7" t="s">
        <v>8</v>
      </c>
      <c r="L19" s="26" t="s">
        <v>15</v>
      </c>
      <c r="M19" s="26"/>
      <c r="N19" s="26"/>
      <c r="O19" s="26"/>
      <c r="P19" s="26"/>
      <c r="Q19" s="26"/>
    </row>
    <row r="20" spans="4:26" x14ac:dyDescent="0.25">
      <c r="D20" t="s">
        <v>3</v>
      </c>
      <c r="J20" s="3" t="s">
        <v>0</v>
      </c>
      <c r="K20" s="2">
        <v>60</v>
      </c>
      <c r="L20" s="8">
        <v>77</v>
      </c>
      <c r="M20" s="13">
        <v>71</v>
      </c>
      <c r="N20" s="14">
        <v>58</v>
      </c>
      <c r="O20" s="17">
        <v>50</v>
      </c>
      <c r="P20" s="20">
        <v>38</v>
      </c>
      <c r="Q20" s="23">
        <v>31</v>
      </c>
    </row>
    <row r="21" spans="4:26" x14ac:dyDescent="0.25">
      <c r="J21" s="3" t="s">
        <v>1</v>
      </c>
      <c r="K21" s="2">
        <v>28</v>
      </c>
      <c r="L21" s="8">
        <v>32.1</v>
      </c>
      <c r="M21" s="13">
        <v>32.200000000000003</v>
      </c>
      <c r="N21" s="14">
        <v>32.200000000000003</v>
      </c>
      <c r="O21" s="17">
        <v>32.200000000000003</v>
      </c>
      <c r="P21" s="20">
        <v>31.7</v>
      </c>
      <c r="Q21" s="23">
        <v>32.4</v>
      </c>
    </row>
    <row r="22" spans="4:26" x14ac:dyDescent="0.25">
      <c r="J22" s="3" t="s">
        <v>2</v>
      </c>
      <c r="K22" s="4">
        <f>0.61081*EXP((17.27*K21)/(237.3+K21))</f>
        <v>3.7799922489062645</v>
      </c>
      <c r="L22" s="9">
        <f t="shared" ref="L22:Q22" si="12">0.61081*EXP((17.27*L21)/(237.3+L21))</f>
        <v>4.7817884563091235</v>
      </c>
      <c r="M22" s="11">
        <f t="shared" si="12"/>
        <v>4.8088560944274183</v>
      </c>
      <c r="N22" s="15">
        <f t="shared" si="12"/>
        <v>4.8088560944274183</v>
      </c>
      <c r="O22" s="18">
        <f t="shared" si="12"/>
        <v>4.8088560944274183</v>
      </c>
      <c r="P22" s="21">
        <f t="shared" si="12"/>
        <v>4.6748367155366184</v>
      </c>
      <c r="Q22" s="24">
        <f t="shared" si="12"/>
        <v>4.8633908200436711</v>
      </c>
    </row>
    <row r="23" spans="4:26" x14ac:dyDescent="0.25">
      <c r="J23" s="3" t="s">
        <v>6</v>
      </c>
      <c r="K23" s="4">
        <f>K20*K22/100</f>
        <v>2.2679953493437583</v>
      </c>
      <c r="L23" s="9">
        <f t="shared" ref="L23:Q23" si="13">L20*L22/100</f>
        <v>3.6819771113580253</v>
      </c>
      <c r="M23" s="11">
        <f t="shared" si="13"/>
        <v>3.4142878270434669</v>
      </c>
      <c r="N23" s="15">
        <f t="shared" si="13"/>
        <v>2.7891365347679029</v>
      </c>
      <c r="O23" s="18">
        <f t="shared" si="13"/>
        <v>2.4044280472137092</v>
      </c>
      <c r="P23" s="21">
        <f t="shared" si="13"/>
        <v>1.7764379519039151</v>
      </c>
      <c r="Q23" s="24">
        <f t="shared" si="13"/>
        <v>1.507651154213538</v>
      </c>
    </row>
    <row r="24" spans="4:26" x14ac:dyDescent="0.25">
      <c r="J24" s="3" t="s">
        <v>7</v>
      </c>
      <c r="K24" s="4">
        <f>K22-K23</f>
        <v>1.5119968995625062</v>
      </c>
      <c r="L24" s="9">
        <f>L22-L23</f>
        <v>1.0998113449510982</v>
      </c>
      <c r="M24" s="11">
        <f t="shared" ref="M24:Q24" si="14">M22-M23</f>
        <v>1.3945682673839515</v>
      </c>
      <c r="N24" s="15">
        <f t="shared" si="14"/>
        <v>2.0197195596595154</v>
      </c>
      <c r="O24" s="18">
        <f t="shared" si="14"/>
        <v>2.4044280472137092</v>
      </c>
      <c r="P24" s="21">
        <f t="shared" si="14"/>
        <v>2.8983987636327031</v>
      </c>
      <c r="Q24" s="24">
        <f t="shared" si="14"/>
        <v>3.3557396658301331</v>
      </c>
    </row>
    <row r="25" spans="4:26" x14ac:dyDescent="0.25">
      <c r="L25" s="10" t="s">
        <v>9</v>
      </c>
      <c r="M25" s="12" t="s">
        <v>10</v>
      </c>
      <c r="N25" s="16" t="s">
        <v>11</v>
      </c>
      <c r="O25" s="19" t="s">
        <v>12</v>
      </c>
      <c r="P25" s="22" t="s">
        <v>13</v>
      </c>
      <c r="Q25" s="25" t="s">
        <v>14</v>
      </c>
    </row>
  </sheetData>
  <mergeCells count="5">
    <mergeCell ref="L4:Q4"/>
    <mergeCell ref="L11:Q11"/>
    <mergeCell ref="L19:Q19"/>
    <mergeCell ref="U4:Z4"/>
    <mergeCell ref="U12:Z1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Paula Andrade</cp:lastModifiedBy>
  <cp:lastPrinted>2024-05-15T12:28:56Z</cp:lastPrinted>
  <dcterms:created xsi:type="dcterms:W3CDTF">2015-06-05T18:17:20Z</dcterms:created>
  <dcterms:modified xsi:type="dcterms:W3CDTF">2024-06-04T21:24:38Z</dcterms:modified>
</cp:coreProperties>
</file>