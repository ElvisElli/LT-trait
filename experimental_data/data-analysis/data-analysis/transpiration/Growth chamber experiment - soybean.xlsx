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paula\Box\Soybean-Transpiration-Efficiency\data-analysis\transpiration\"/>
    </mc:Choice>
  </mc:AlternateContent>
  <xr:revisionPtr revIDLastSave="0" documentId="13_ncr:1_{722065F6-629A-4B2E-99B3-710C36B535AF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Experiment map" sheetId="1" r:id="rId1"/>
    <sheet name="Weights" sheetId="2" r:id="rId2"/>
    <sheet name="Irrigation" sheetId="4" r:id="rId3"/>
    <sheet name="Germination" sheetId="3" r:id="rId4"/>
    <sheet name="Tes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M3" i="2"/>
  <c r="O3" i="2"/>
  <c r="ES3" i="2"/>
  <c r="ES6" i="2"/>
  <c r="EX6" i="2" s="1"/>
  <c r="ES5" i="2"/>
  <c r="EX5" i="2" s="1"/>
  <c r="ES4" i="2"/>
  <c r="EX4" i="2" s="1"/>
  <c r="EX3" i="2"/>
  <c r="EJ4" i="2"/>
  <c r="EO4" i="2" s="1"/>
  <c r="EJ5" i="2"/>
  <c r="EO5" i="2" s="1"/>
  <c r="EJ6" i="2"/>
  <c r="EO6" i="2" s="1"/>
  <c r="EJ3" i="2"/>
  <c r="EO3" i="2" s="1"/>
  <c r="EF4" i="2"/>
  <c r="EF5" i="2"/>
  <c r="EA4" i="2"/>
  <c r="EA5" i="2"/>
  <c r="EA6" i="2"/>
  <c r="EF6" i="2" s="1"/>
  <c r="EA3" i="2"/>
  <c r="DR3" i="2"/>
  <c r="BI3" i="4"/>
  <c r="DR6" i="2"/>
  <c r="DW6" i="2" s="1"/>
  <c r="DR5" i="2"/>
  <c r="DR4" i="2"/>
  <c r="DK4" i="2"/>
  <c r="DK5" i="2"/>
  <c r="DK6" i="2"/>
  <c r="DK3" i="2"/>
  <c r="EL5" i="2" l="1"/>
  <c r="EL4" i="2"/>
  <c r="EK3" i="2"/>
  <c r="EL3" i="2"/>
  <c r="DT5" i="2"/>
  <c r="EL6" i="2"/>
  <c r="EU3" i="2"/>
  <c r="EU4" i="2"/>
  <c r="ET3" i="2"/>
  <c r="EU5" i="2"/>
  <c r="EU6" i="2"/>
  <c r="DT3" i="2"/>
  <c r="EC6" i="2"/>
  <c r="EC5" i="2"/>
  <c r="EC3" i="2"/>
  <c r="EC4" i="2"/>
  <c r="EF3" i="2"/>
  <c r="DT4" i="2"/>
  <c r="DW5" i="2"/>
  <c r="DW4" i="2"/>
  <c r="DW3" i="2"/>
  <c r="DT6" i="2"/>
  <c r="BI4" i="4" l="1"/>
  <c r="BI5" i="4"/>
  <c r="BI6" i="4"/>
  <c r="BI7" i="4"/>
  <c r="BI8" i="4"/>
  <c r="BI9" i="4"/>
  <c r="BI10" i="4"/>
  <c r="BI11" i="4"/>
  <c r="BI12" i="4"/>
  <c r="BI13" i="4"/>
  <c r="BI14" i="4"/>
  <c r="BI15" i="4"/>
  <c r="BI16" i="4"/>
  <c r="BI17" i="4"/>
  <c r="BI18" i="4"/>
  <c r="BA17" i="4"/>
  <c r="BA11" i="4"/>
  <c r="BA5" i="4"/>
  <c r="BA3" i="4"/>
  <c r="DD4" i="2"/>
  <c r="DM4" i="2" s="1"/>
  <c r="DD5" i="2"/>
  <c r="DM5" i="2" s="1"/>
  <c r="DD6" i="2"/>
  <c r="DM6" i="2" s="1"/>
  <c r="DD3" i="2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3" i="4"/>
  <c r="CW4" i="2"/>
  <c r="CW5" i="2"/>
  <c r="CW6" i="2"/>
  <c r="CW3" i="2"/>
  <c r="DF3" i="2" l="1"/>
  <c r="DF6" i="2"/>
  <c r="DF5" i="2"/>
  <c r="DF4" i="2"/>
  <c r="DM3" i="2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3" i="4"/>
  <c r="CP4" i="2"/>
  <c r="CP5" i="2"/>
  <c r="CP6" i="2"/>
  <c r="CY6" i="2" s="1"/>
  <c r="CP3" i="2"/>
  <c r="CY3" i="2" s="1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4" i="4"/>
  <c r="CI4" i="2"/>
  <c r="CI5" i="2"/>
  <c r="CI6" i="2"/>
  <c r="CI3" i="2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3" i="4"/>
  <c r="CB4" i="2"/>
  <c r="CB5" i="2"/>
  <c r="CB6" i="2"/>
  <c r="CB3" i="2"/>
  <c r="M18" i="4"/>
  <c r="M15" i="4"/>
  <c r="M10" i="4"/>
  <c r="M13" i="4"/>
  <c r="M8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BT4" i="2"/>
  <c r="BT5" i="2"/>
  <c r="BT6" i="2"/>
  <c r="BT3" i="2"/>
  <c r="CR5" i="2" l="1"/>
  <c r="CR4" i="2"/>
  <c r="CD5" i="2"/>
  <c r="CK6" i="2"/>
  <c r="CK5" i="2"/>
  <c r="CY5" i="2"/>
  <c r="CY4" i="2"/>
  <c r="CK4" i="2"/>
  <c r="CR3" i="2"/>
  <c r="CD6" i="2"/>
  <c r="CD3" i="2"/>
  <c r="CK3" i="2"/>
  <c r="CR6" i="2"/>
  <c r="CD4" i="2"/>
  <c r="E17" i="4"/>
  <c r="E16" i="4"/>
  <c r="E5" i="4"/>
  <c r="C4" i="4"/>
  <c r="C5" i="4"/>
  <c r="C6" i="4"/>
  <c r="E6" i="4" s="1"/>
  <c r="C7" i="4"/>
  <c r="C8" i="4"/>
  <c r="C9" i="4"/>
  <c r="C10" i="4"/>
  <c r="C11" i="4"/>
  <c r="E11" i="4" s="1"/>
  <c r="C12" i="4"/>
  <c r="E12" i="4" s="1"/>
  <c r="C13" i="4"/>
  <c r="C14" i="4"/>
  <c r="E14" i="4" s="1"/>
  <c r="C15" i="4"/>
  <c r="C16" i="4"/>
  <c r="C17" i="4"/>
  <c r="C18" i="4"/>
  <c r="C3" i="4"/>
  <c r="BM4" i="2"/>
  <c r="BV4" i="2" s="1"/>
  <c r="BM5" i="2"/>
  <c r="BV5" i="2" s="1"/>
  <c r="BM6" i="2"/>
  <c r="BV6" i="2" s="1"/>
  <c r="BM3" i="2"/>
  <c r="BV3" i="2" s="1"/>
  <c r="BF4" i="2"/>
  <c r="BF5" i="2"/>
  <c r="BF6" i="2"/>
  <c r="BF3" i="2"/>
  <c r="AY4" i="2"/>
  <c r="AY5" i="2"/>
  <c r="AY6" i="2"/>
  <c r="AY3" i="2"/>
  <c r="AR4" i="2"/>
  <c r="AR5" i="2"/>
  <c r="AR6" i="2"/>
  <c r="AR3" i="2"/>
  <c r="AK4" i="2"/>
  <c r="AK5" i="2"/>
  <c r="AK6" i="2"/>
  <c r="AK3" i="2"/>
  <c r="AD4" i="2"/>
  <c r="AD5" i="2"/>
  <c r="AD6" i="2"/>
  <c r="AD3" i="2"/>
  <c r="S4" i="2"/>
  <c r="S5" i="2"/>
  <c r="S6" i="2"/>
  <c r="S3" i="2"/>
  <c r="X4" i="2"/>
  <c r="X5" i="2"/>
  <c r="X6" i="2"/>
  <c r="X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3" i="2"/>
  <c r="EB3" i="2"/>
  <c r="N4" i="2"/>
  <c r="N5" i="2"/>
  <c r="N6" i="2"/>
  <c r="M4" i="2"/>
  <c r="M5" i="2"/>
  <c r="M6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3" i="2"/>
  <c r="I13" i="2"/>
  <c r="I5" i="2"/>
  <c r="D8" i="2"/>
  <c r="D9" i="2"/>
  <c r="D10" i="2"/>
  <c r="D11" i="2"/>
  <c r="D12" i="2"/>
  <c r="D13" i="2"/>
  <c r="D14" i="2"/>
  <c r="D15" i="2"/>
  <c r="D16" i="2"/>
  <c r="D17" i="2"/>
  <c r="D18" i="2"/>
  <c r="D7" i="2"/>
  <c r="EA15" i="2" l="1"/>
  <c r="EF15" i="2" s="1"/>
  <c r="EJ15" i="2"/>
  <c r="ES15" i="2"/>
  <c r="EA14" i="2"/>
  <c r="EF14" i="2" s="1"/>
  <c r="EJ14" i="2"/>
  <c r="ES14" i="2"/>
  <c r="EA16" i="2"/>
  <c r="EF16" i="2" s="1"/>
  <c r="ES16" i="2"/>
  <c r="EJ16" i="2"/>
  <c r="EA12" i="2"/>
  <c r="EF12" i="2" s="1"/>
  <c r="ES12" i="2"/>
  <c r="EJ12" i="2"/>
  <c r="EB5" i="2"/>
  <c r="EK5" i="2"/>
  <c r="ET5" i="2"/>
  <c r="EA11" i="2"/>
  <c r="EF11" i="2" s="1"/>
  <c r="ES11" i="2"/>
  <c r="EJ11" i="2"/>
  <c r="EK4" i="2"/>
  <c r="ET4" i="2"/>
  <c r="EA8" i="2"/>
  <c r="EF8" i="2" s="1"/>
  <c r="ES8" i="2"/>
  <c r="EJ8" i="2"/>
  <c r="EB6" i="2"/>
  <c r="ET6" i="2"/>
  <c r="EK6" i="2"/>
  <c r="EA7" i="2"/>
  <c r="EF7" i="2" s="1"/>
  <c r="ES7" i="2"/>
  <c r="EJ7" i="2"/>
  <c r="EA18" i="2"/>
  <c r="EF18" i="2" s="1"/>
  <c r="ES18" i="2"/>
  <c r="EJ18" i="2"/>
  <c r="EA10" i="2"/>
  <c r="EF10" i="2" s="1"/>
  <c r="EJ10" i="2"/>
  <c r="ES10" i="2"/>
  <c r="EA13" i="2"/>
  <c r="EF13" i="2" s="1"/>
  <c r="EJ13" i="2"/>
  <c r="ES13" i="2"/>
  <c r="EA17" i="2"/>
  <c r="EF17" i="2" s="1"/>
  <c r="ES17" i="2"/>
  <c r="EJ17" i="2"/>
  <c r="EA9" i="2"/>
  <c r="EF9" i="2" s="1"/>
  <c r="EJ9" i="2"/>
  <c r="ES9" i="2"/>
  <c r="AT3" i="2"/>
  <c r="BH3" i="2"/>
  <c r="AT6" i="2"/>
  <c r="BH6" i="2"/>
  <c r="CQ6" i="2"/>
  <c r="EC11" i="2"/>
  <c r="DS4" i="2"/>
  <c r="EB4" i="2"/>
  <c r="AT5" i="2"/>
  <c r="BH5" i="2"/>
  <c r="AT4" i="2"/>
  <c r="BH4" i="2"/>
  <c r="DR8" i="2"/>
  <c r="DW8" i="2" s="1"/>
  <c r="DK8" i="2"/>
  <c r="DK11" i="2"/>
  <c r="DR11" i="2"/>
  <c r="DW11" i="2" s="1"/>
  <c r="DR16" i="2"/>
  <c r="DW16" i="2" s="1"/>
  <c r="DK16" i="2"/>
  <c r="DK15" i="2"/>
  <c r="DR15" i="2"/>
  <c r="DW15" i="2" s="1"/>
  <c r="S14" i="2"/>
  <c r="DK14" i="2"/>
  <c r="DR14" i="2"/>
  <c r="DW14" i="2" s="1"/>
  <c r="CQ3" i="2"/>
  <c r="DS3" i="2"/>
  <c r="CC4" i="2"/>
  <c r="DR13" i="2"/>
  <c r="DW13" i="2" s="1"/>
  <c r="DK13" i="2"/>
  <c r="CJ6" i="2"/>
  <c r="DS6" i="2"/>
  <c r="CC6" i="2"/>
  <c r="DR12" i="2"/>
  <c r="DW12" i="2" s="1"/>
  <c r="DK12" i="2"/>
  <c r="CQ5" i="2"/>
  <c r="DS5" i="2"/>
  <c r="DR7" i="2"/>
  <c r="DW7" i="2" s="1"/>
  <c r="DK7" i="2"/>
  <c r="DK18" i="2"/>
  <c r="DR18" i="2"/>
  <c r="DW18" i="2" s="1"/>
  <c r="DK10" i="2"/>
  <c r="DR10" i="2"/>
  <c r="DW10" i="2" s="1"/>
  <c r="DK17" i="2"/>
  <c r="DR17" i="2"/>
  <c r="DW17" i="2" s="1"/>
  <c r="DK9" i="2"/>
  <c r="DR9" i="2"/>
  <c r="DW9" i="2" s="1"/>
  <c r="Z3" i="2"/>
  <c r="CW9" i="2"/>
  <c r="DD9" i="2"/>
  <c r="CP9" i="2"/>
  <c r="CJ5" i="2"/>
  <c r="DD12" i="2"/>
  <c r="CW12" i="2"/>
  <c r="CP12" i="2"/>
  <c r="DD11" i="2"/>
  <c r="CW11" i="2"/>
  <c r="CP11" i="2"/>
  <c r="BU4" i="2"/>
  <c r="DE4" i="2"/>
  <c r="DL4" i="2"/>
  <c r="CX4" i="2"/>
  <c r="DD18" i="2"/>
  <c r="CW18" i="2"/>
  <c r="CP18" i="2"/>
  <c r="CQ4" i="2"/>
  <c r="DD16" i="2"/>
  <c r="CW16" i="2"/>
  <c r="CP16" i="2"/>
  <c r="DD8" i="2"/>
  <c r="CW8" i="2"/>
  <c r="CP8" i="2"/>
  <c r="AM3" i="2"/>
  <c r="BU5" i="2"/>
  <c r="DL5" i="2"/>
  <c r="CX5" i="2"/>
  <c r="DE5" i="2"/>
  <c r="AF6" i="2"/>
  <c r="DD10" i="2"/>
  <c r="CW10" i="2"/>
  <c r="CP10" i="2"/>
  <c r="DD17" i="2"/>
  <c r="CW17" i="2"/>
  <c r="CP17" i="2"/>
  <c r="DD15" i="2"/>
  <c r="CW15" i="2"/>
  <c r="CP15" i="2"/>
  <c r="T6" i="2"/>
  <c r="DD14" i="2"/>
  <c r="CW14" i="2"/>
  <c r="CP14" i="2"/>
  <c r="Y3" i="2"/>
  <c r="DL3" i="2"/>
  <c r="CJ3" i="2"/>
  <c r="DE3" i="2"/>
  <c r="CX3" i="2"/>
  <c r="T5" i="2"/>
  <c r="DD7" i="2"/>
  <c r="CW7" i="2"/>
  <c r="CP7" i="2"/>
  <c r="AF5" i="2"/>
  <c r="DD13" i="2"/>
  <c r="CW13" i="2"/>
  <c r="CP13" i="2"/>
  <c r="DL6" i="2"/>
  <c r="DE6" i="2"/>
  <c r="CX6" i="2"/>
  <c r="BU6" i="2"/>
  <c r="T4" i="2"/>
  <c r="CC3" i="2"/>
  <c r="CJ4" i="2"/>
  <c r="CB7" i="2"/>
  <c r="CI7" i="2"/>
  <c r="BM17" i="2"/>
  <c r="CB17" i="2"/>
  <c r="CI17" i="2"/>
  <c r="CB8" i="2"/>
  <c r="CI8" i="2"/>
  <c r="CI15" i="2"/>
  <c r="CB15" i="2"/>
  <c r="BM14" i="2"/>
  <c r="CI14" i="2"/>
  <c r="CB14" i="2"/>
  <c r="AK14" i="2"/>
  <c r="BA3" i="2"/>
  <c r="BM13" i="2"/>
  <c r="CI13" i="2"/>
  <c r="CB13" i="2"/>
  <c r="AL6" i="2"/>
  <c r="BA6" i="2"/>
  <c r="BM12" i="2"/>
  <c r="BO12" i="2" s="1"/>
  <c r="CI12" i="2"/>
  <c r="CB12" i="2"/>
  <c r="Z6" i="2"/>
  <c r="AF3" i="2"/>
  <c r="AM5" i="2"/>
  <c r="BA5" i="2"/>
  <c r="CB11" i="2"/>
  <c r="CI11" i="2"/>
  <c r="Z5" i="2"/>
  <c r="AD14" i="2"/>
  <c r="AM4" i="2"/>
  <c r="BA4" i="2"/>
  <c r="CC5" i="2"/>
  <c r="CB10" i="2"/>
  <c r="CI10" i="2"/>
  <c r="CB9" i="2"/>
  <c r="CI9" i="2"/>
  <c r="BM18" i="2"/>
  <c r="CI18" i="2"/>
  <c r="CB18" i="2"/>
  <c r="BM16" i="2"/>
  <c r="CI16" i="2"/>
  <c r="CB16" i="2"/>
  <c r="AF4" i="2"/>
  <c r="AM6" i="2"/>
  <c r="AR14" i="2"/>
  <c r="AS6" i="2"/>
  <c r="AY14" i="2"/>
  <c r="AZ6" i="2"/>
  <c r="BF14" i="2"/>
  <c r="BO14" i="2" s="1"/>
  <c r="BG6" i="2"/>
  <c r="BN6" i="2"/>
  <c r="BO6" i="2"/>
  <c r="M11" i="2"/>
  <c r="EB11" i="2" s="1"/>
  <c r="BT11" i="2"/>
  <c r="S13" i="2"/>
  <c r="AD13" i="2"/>
  <c r="AE5" i="2"/>
  <c r="AK13" i="2"/>
  <c r="AL5" i="2"/>
  <c r="AR13" i="2"/>
  <c r="AS5" i="2"/>
  <c r="AY13" i="2"/>
  <c r="AZ5" i="2"/>
  <c r="BF13" i="2"/>
  <c r="BG5" i="2"/>
  <c r="BN5" i="2"/>
  <c r="BO5" i="2"/>
  <c r="N10" i="2"/>
  <c r="BT10" i="2"/>
  <c r="Y4" i="2"/>
  <c r="S12" i="2"/>
  <c r="Z4" i="2"/>
  <c r="AD12" i="2"/>
  <c r="AE4" i="2"/>
  <c r="AK12" i="2"/>
  <c r="AL4" i="2"/>
  <c r="AR12" i="2"/>
  <c r="AS4" i="2"/>
  <c r="AY12" i="2"/>
  <c r="AZ4" i="2"/>
  <c r="BF12" i="2"/>
  <c r="BG4" i="2"/>
  <c r="BN4" i="2"/>
  <c r="BO4" i="2"/>
  <c r="N9" i="2"/>
  <c r="BT9" i="2"/>
  <c r="S11" i="2"/>
  <c r="T3" i="2"/>
  <c r="AD11" i="2"/>
  <c r="AE3" i="2"/>
  <c r="AK11" i="2"/>
  <c r="AL3" i="2"/>
  <c r="AR11" i="2"/>
  <c r="AS3" i="2"/>
  <c r="AY11" i="2"/>
  <c r="AZ3" i="2"/>
  <c r="BF11" i="2"/>
  <c r="BG3" i="2"/>
  <c r="BM11" i="2"/>
  <c r="BN3" i="2"/>
  <c r="BO3" i="2"/>
  <c r="M8" i="2"/>
  <c r="BT8" i="2"/>
  <c r="S18" i="2"/>
  <c r="S10" i="2"/>
  <c r="AD18" i="2"/>
  <c r="AD10" i="2"/>
  <c r="AK18" i="2"/>
  <c r="AK10" i="2"/>
  <c r="AR18" i="2"/>
  <c r="AR10" i="2"/>
  <c r="AY18" i="2"/>
  <c r="AY10" i="2"/>
  <c r="BF18" i="2"/>
  <c r="BF10" i="2"/>
  <c r="BM10" i="2"/>
  <c r="BU3" i="2"/>
  <c r="AE6" i="2"/>
  <c r="N15" i="2"/>
  <c r="BT15" i="2"/>
  <c r="S17" i="2"/>
  <c r="S9" i="2"/>
  <c r="AD17" i="2"/>
  <c r="AD9" i="2"/>
  <c r="AK17" i="2"/>
  <c r="AK9" i="2"/>
  <c r="AR17" i="2"/>
  <c r="AR9" i="2"/>
  <c r="AY17" i="2"/>
  <c r="AY9" i="2"/>
  <c r="BF17" i="2"/>
  <c r="BF9" i="2"/>
  <c r="BM9" i="2"/>
  <c r="N12" i="2"/>
  <c r="BT12" i="2"/>
  <c r="N18" i="2"/>
  <c r="BT18" i="2"/>
  <c r="N17" i="2"/>
  <c r="BT17" i="2"/>
  <c r="N14" i="2"/>
  <c r="BT14" i="2"/>
  <c r="S16" i="2"/>
  <c r="S8" i="2"/>
  <c r="AD16" i="2"/>
  <c r="AD8" i="2"/>
  <c r="AK16" i="2"/>
  <c r="AK8" i="2"/>
  <c r="AR16" i="2"/>
  <c r="AR8" i="2"/>
  <c r="AY16" i="2"/>
  <c r="AY8" i="2"/>
  <c r="BF16" i="2"/>
  <c r="BF8" i="2"/>
  <c r="BM8" i="2"/>
  <c r="N7" i="2"/>
  <c r="BT7" i="2"/>
  <c r="M16" i="2"/>
  <c r="BN16" i="2" s="1"/>
  <c r="BT16" i="2"/>
  <c r="N13" i="2"/>
  <c r="BT13" i="2"/>
  <c r="S15" i="2"/>
  <c r="S7" i="2"/>
  <c r="AD15" i="2"/>
  <c r="AD7" i="2"/>
  <c r="AK15" i="2"/>
  <c r="AK7" i="2"/>
  <c r="AR15" i="2"/>
  <c r="AR7" i="2"/>
  <c r="AY15" i="2"/>
  <c r="AY7" i="2"/>
  <c r="BF15" i="2"/>
  <c r="BF7" i="2"/>
  <c r="BM15" i="2"/>
  <c r="BM7" i="2"/>
  <c r="Y6" i="2"/>
  <c r="Y5" i="2"/>
  <c r="O4" i="2"/>
  <c r="X11" i="2"/>
  <c r="X18" i="2"/>
  <c r="X10" i="2"/>
  <c r="X17" i="2"/>
  <c r="X9" i="2"/>
  <c r="X16" i="2"/>
  <c r="X8" i="2"/>
  <c r="X15" i="2"/>
  <c r="X7" i="2"/>
  <c r="Z7" i="2" s="1"/>
  <c r="X14" i="2"/>
  <c r="X13" i="2"/>
  <c r="X12" i="2"/>
  <c r="N16" i="2"/>
  <c r="O6" i="2"/>
  <c r="O5" i="2"/>
  <c r="M18" i="2"/>
  <c r="O18" i="2" s="1"/>
  <c r="N11" i="2"/>
  <c r="N8" i="2"/>
  <c r="M10" i="2"/>
  <c r="EB10" i="2" s="1"/>
  <c r="M17" i="2"/>
  <c r="M9" i="2"/>
  <c r="EB9" i="2" s="1"/>
  <c r="M15" i="2"/>
  <c r="M7" i="2"/>
  <c r="EB7" i="2" s="1"/>
  <c r="M14" i="2"/>
  <c r="EB14" i="2" s="1"/>
  <c r="M13" i="2"/>
  <c r="EB13" i="2" s="1"/>
  <c r="M12" i="2"/>
  <c r="EB12" i="2" s="1"/>
  <c r="EO17" i="2" l="1"/>
  <c r="EL17" i="2"/>
  <c r="EK17" i="2"/>
  <c r="EB15" i="2"/>
  <c r="EX17" i="2"/>
  <c r="ET17" i="2"/>
  <c r="EU17" i="2"/>
  <c r="EO18" i="2"/>
  <c r="EL18" i="2"/>
  <c r="EK18" i="2"/>
  <c r="EX16" i="2"/>
  <c r="EU16" i="2"/>
  <c r="ET16" i="2"/>
  <c r="EX18" i="2"/>
  <c r="ET18" i="2"/>
  <c r="EU18" i="2"/>
  <c r="EO8" i="2"/>
  <c r="EL8" i="2"/>
  <c r="EK8" i="2"/>
  <c r="EU13" i="2"/>
  <c r="EX13" i="2"/>
  <c r="ET13" i="2"/>
  <c r="EU8" i="2"/>
  <c r="ET8" i="2"/>
  <c r="EX8" i="2"/>
  <c r="EX14" i="2"/>
  <c r="ET14" i="2"/>
  <c r="EU14" i="2"/>
  <c r="EO13" i="2"/>
  <c r="EL13" i="2"/>
  <c r="EK13" i="2"/>
  <c r="EO14" i="2"/>
  <c r="EL14" i="2"/>
  <c r="EK14" i="2"/>
  <c r="EO7" i="2"/>
  <c r="EL7" i="2"/>
  <c r="EK7" i="2"/>
  <c r="EU9" i="2"/>
  <c r="ET9" i="2"/>
  <c r="EX9" i="2"/>
  <c r="EU7" i="2"/>
  <c r="EX7" i="2"/>
  <c r="ET7" i="2"/>
  <c r="EO12" i="2"/>
  <c r="EL12" i="2"/>
  <c r="EK12" i="2"/>
  <c r="EC17" i="2"/>
  <c r="EO9" i="2"/>
  <c r="EL9" i="2"/>
  <c r="EK9" i="2"/>
  <c r="EX10" i="2"/>
  <c r="ET10" i="2"/>
  <c r="EU10" i="2"/>
  <c r="EX12" i="2"/>
  <c r="ET12" i="2"/>
  <c r="EU12" i="2"/>
  <c r="EX15" i="2"/>
  <c r="ET15" i="2"/>
  <c r="EU15" i="2"/>
  <c r="EB17" i="2"/>
  <c r="EB8" i="2"/>
  <c r="EO10" i="2"/>
  <c r="EL10" i="2"/>
  <c r="EK10" i="2"/>
  <c r="EO11" i="2"/>
  <c r="EL11" i="2"/>
  <c r="EK11" i="2"/>
  <c r="EO15" i="2"/>
  <c r="EL15" i="2"/>
  <c r="EK15" i="2"/>
  <c r="EX11" i="2"/>
  <c r="EU11" i="2"/>
  <c r="ET11" i="2"/>
  <c r="EO16" i="2"/>
  <c r="EL16" i="2"/>
  <c r="EK16" i="2"/>
  <c r="EC15" i="2"/>
  <c r="Z13" i="2"/>
  <c r="Z10" i="2"/>
  <c r="EC7" i="2"/>
  <c r="O13" i="2"/>
  <c r="EC10" i="2"/>
  <c r="EC8" i="2"/>
  <c r="T7" i="2"/>
  <c r="T9" i="2"/>
  <c r="EB18" i="2"/>
  <c r="EC18" i="2"/>
  <c r="EC16" i="2"/>
  <c r="EC14" i="2"/>
  <c r="O15" i="2"/>
  <c r="EB16" i="2"/>
  <c r="EC9" i="2"/>
  <c r="EC12" i="2"/>
  <c r="EC13" i="2"/>
  <c r="DT7" i="2"/>
  <c r="DS7" i="2"/>
  <c r="DT15" i="2"/>
  <c r="DS15" i="2"/>
  <c r="DT17" i="2"/>
  <c r="DS17" i="2"/>
  <c r="DS13" i="2"/>
  <c r="DT13" i="2"/>
  <c r="DT9" i="2"/>
  <c r="DS9" i="2"/>
  <c r="DT8" i="2"/>
  <c r="DS8" i="2"/>
  <c r="DS10" i="2"/>
  <c r="DT10" i="2"/>
  <c r="DT12" i="2"/>
  <c r="DS12" i="2"/>
  <c r="DS11" i="2"/>
  <c r="DT11" i="2"/>
  <c r="DS18" i="2"/>
  <c r="DT18" i="2"/>
  <c r="DT14" i="2"/>
  <c r="DS14" i="2"/>
  <c r="DT16" i="2"/>
  <c r="DS16" i="2"/>
  <c r="AM14" i="2"/>
  <c r="CR10" i="2"/>
  <c r="CQ10" i="2"/>
  <c r="BO18" i="2"/>
  <c r="CJ11" i="2"/>
  <c r="CK11" i="2"/>
  <c r="CR7" i="2"/>
  <c r="CQ7" i="2"/>
  <c r="DM15" i="2"/>
  <c r="DL15" i="2"/>
  <c r="CY10" i="2"/>
  <c r="CX10" i="2"/>
  <c r="DF16" i="2"/>
  <c r="DE16" i="2"/>
  <c r="DL12" i="2"/>
  <c r="DM12" i="2"/>
  <c r="T15" i="2"/>
  <c r="CK10" i="2"/>
  <c r="CJ10" i="2"/>
  <c r="CK14" i="2"/>
  <c r="CJ14" i="2"/>
  <c r="DM7" i="2"/>
  <c r="DL7" i="2"/>
  <c r="CY15" i="2"/>
  <c r="CX15" i="2"/>
  <c r="DF10" i="2"/>
  <c r="DE10" i="2"/>
  <c r="CR8" i="2"/>
  <c r="CQ8" i="2"/>
  <c r="DE12" i="2"/>
  <c r="DF12" i="2"/>
  <c r="CY16" i="2"/>
  <c r="CX16" i="2"/>
  <c r="CJ16" i="2"/>
  <c r="CK16" i="2"/>
  <c r="CK7" i="2"/>
  <c r="CJ7" i="2"/>
  <c r="CY7" i="2"/>
  <c r="CX7" i="2"/>
  <c r="CR14" i="2"/>
  <c r="CQ14" i="2"/>
  <c r="DF15" i="2"/>
  <c r="DE15" i="2"/>
  <c r="DM10" i="2"/>
  <c r="DL10" i="2"/>
  <c r="DM8" i="2"/>
  <c r="DL8" i="2"/>
  <c r="CR18" i="2"/>
  <c r="CQ18" i="2"/>
  <c r="CR11" i="2"/>
  <c r="CQ11" i="2"/>
  <c r="CR13" i="2"/>
  <c r="CQ13" i="2"/>
  <c r="DF7" i="2"/>
  <c r="DE7" i="2"/>
  <c r="DM14" i="2"/>
  <c r="DL14" i="2"/>
  <c r="CR17" i="2"/>
  <c r="CQ17" i="2"/>
  <c r="CY8" i="2"/>
  <c r="CX8" i="2"/>
  <c r="CY18" i="2"/>
  <c r="CX18" i="2"/>
  <c r="CY11" i="2"/>
  <c r="CX11" i="2"/>
  <c r="CR9" i="2"/>
  <c r="CQ9" i="2"/>
  <c r="CK17" i="2"/>
  <c r="CJ17" i="2"/>
  <c r="O14" i="2"/>
  <c r="CJ9" i="2"/>
  <c r="CK9" i="2"/>
  <c r="CK12" i="2"/>
  <c r="CJ12" i="2"/>
  <c r="CQ15" i="2"/>
  <c r="CR15" i="2"/>
  <c r="CY12" i="2"/>
  <c r="CX12" i="2"/>
  <c r="CK13" i="2"/>
  <c r="CJ13" i="2"/>
  <c r="CK15" i="2"/>
  <c r="CJ15" i="2"/>
  <c r="DM13" i="2"/>
  <c r="DL13" i="2"/>
  <c r="CY14" i="2"/>
  <c r="CX14" i="2"/>
  <c r="CY17" i="2"/>
  <c r="CX17" i="2"/>
  <c r="DF8" i="2"/>
  <c r="DE8" i="2"/>
  <c r="DF18" i="2"/>
  <c r="DE18" i="2"/>
  <c r="DF11" i="2"/>
  <c r="DE11" i="2"/>
  <c r="DF9" i="2"/>
  <c r="DE9" i="2"/>
  <c r="CK18" i="2"/>
  <c r="CJ18" i="2"/>
  <c r="CJ8" i="2"/>
  <c r="CK8" i="2"/>
  <c r="CY13" i="2"/>
  <c r="CX13" i="2"/>
  <c r="DF14" i="2"/>
  <c r="DE14" i="2"/>
  <c r="DF17" i="2"/>
  <c r="DE17" i="2"/>
  <c r="CR16" i="2"/>
  <c r="CQ16" i="2"/>
  <c r="DM18" i="2"/>
  <c r="DL18" i="2"/>
  <c r="DM11" i="2"/>
  <c r="DL11" i="2"/>
  <c r="CY9" i="2"/>
  <c r="CX9" i="2"/>
  <c r="DF13" i="2"/>
  <c r="DE13" i="2"/>
  <c r="DM17" i="2"/>
  <c r="DL17" i="2"/>
  <c r="DM16" i="2"/>
  <c r="DL16" i="2"/>
  <c r="CR12" i="2"/>
  <c r="CQ12" i="2"/>
  <c r="DL9" i="2"/>
  <c r="DM9" i="2"/>
  <c r="CD18" i="2"/>
  <c r="CC18" i="2"/>
  <c r="O12" i="2"/>
  <c r="O8" i="2"/>
  <c r="O11" i="2"/>
  <c r="CD12" i="2"/>
  <c r="CC12" i="2"/>
  <c r="CD8" i="2"/>
  <c r="CC8" i="2"/>
  <c r="BO16" i="2"/>
  <c r="CD16" i="2"/>
  <c r="CC16" i="2"/>
  <c r="CD11" i="2"/>
  <c r="CC11" i="2"/>
  <c r="CD9" i="2"/>
  <c r="CC9" i="2"/>
  <c r="CD14" i="2"/>
  <c r="CC14" i="2"/>
  <c r="CD17" i="2"/>
  <c r="CC17" i="2"/>
  <c r="O9" i="2"/>
  <c r="O16" i="2"/>
  <c r="T8" i="2"/>
  <c r="CD10" i="2"/>
  <c r="CC10" i="2"/>
  <c r="T16" i="2"/>
  <c r="CD13" i="2"/>
  <c r="CC13" i="2"/>
  <c r="CD15" i="2"/>
  <c r="CC15" i="2"/>
  <c r="CD7" i="2"/>
  <c r="CC7" i="2"/>
  <c r="BU18" i="2"/>
  <c r="BV18" i="2"/>
  <c r="BA17" i="2"/>
  <c r="AZ17" i="2"/>
  <c r="T17" i="2"/>
  <c r="BA10" i="2"/>
  <c r="AZ10" i="2"/>
  <c r="T10" i="2"/>
  <c r="BH11" i="2"/>
  <c r="BG11" i="2"/>
  <c r="AF11" i="2"/>
  <c r="AE11" i="2"/>
  <c r="AM12" i="2"/>
  <c r="AL12" i="2"/>
  <c r="BN12" i="2"/>
  <c r="Y14" i="2"/>
  <c r="Z14" i="2"/>
  <c r="AM8" i="2"/>
  <c r="AL8" i="2"/>
  <c r="BO11" i="2"/>
  <c r="BN11" i="2"/>
  <c r="Y11" i="2"/>
  <c r="Z11" i="2"/>
  <c r="AM16" i="2"/>
  <c r="AL16" i="2"/>
  <c r="BH18" i="2"/>
  <c r="BG18" i="2"/>
  <c r="Y15" i="2"/>
  <c r="Z15" i="2"/>
  <c r="AF8" i="2"/>
  <c r="AE8" i="2"/>
  <c r="AT7" i="2"/>
  <c r="AS7" i="2"/>
  <c r="T18" i="2"/>
  <c r="Y16" i="2"/>
  <c r="Z16" i="2"/>
  <c r="BA8" i="2"/>
  <c r="AZ8" i="2"/>
  <c r="BU12" i="2"/>
  <c r="BV12" i="2"/>
  <c r="AT17" i="2"/>
  <c r="AS17" i="2"/>
  <c r="AT10" i="2"/>
  <c r="AS10" i="2"/>
  <c r="BU8" i="2"/>
  <c r="BV8" i="2"/>
  <c r="BA11" i="2"/>
  <c r="AZ11" i="2"/>
  <c r="T11" i="2"/>
  <c r="BH12" i="2"/>
  <c r="BG12" i="2"/>
  <c r="AF12" i="2"/>
  <c r="AE12" i="2"/>
  <c r="BH14" i="2"/>
  <c r="BG14" i="2"/>
  <c r="T14" i="2"/>
  <c r="AF15" i="2"/>
  <c r="AE15" i="2"/>
  <c r="BU17" i="2"/>
  <c r="BV17" i="2"/>
  <c r="AF10" i="2"/>
  <c r="AE10" i="2"/>
  <c r="AT12" i="2"/>
  <c r="AS12" i="2"/>
  <c r="BU13" i="2"/>
  <c r="BV13" i="2"/>
  <c r="AT9" i="2"/>
  <c r="AS9" i="2"/>
  <c r="AM13" i="2"/>
  <c r="AL13" i="2"/>
  <c r="BO7" i="2"/>
  <c r="BN7" i="2"/>
  <c r="AM7" i="2"/>
  <c r="AL7" i="2"/>
  <c r="BU16" i="2"/>
  <c r="BV16" i="2"/>
  <c r="BA16" i="2"/>
  <c r="AZ16" i="2"/>
  <c r="AM9" i="2"/>
  <c r="AL9" i="2"/>
  <c r="AT18" i="2"/>
  <c r="AS18" i="2"/>
  <c r="BU9" i="2"/>
  <c r="BV9" i="2"/>
  <c r="BH13" i="2"/>
  <c r="BG13" i="2"/>
  <c r="AF13" i="2"/>
  <c r="AE13" i="2"/>
  <c r="BN13" i="2"/>
  <c r="Y18" i="2"/>
  <c r="Z18" i="2"/>
  <c r="BH17" i="2"/>
  <c r="BG17" i="2"/>
  <c r="BH10" i="2"/>
  <c r="BG10" i="2"/>
  <c r="AF14" i="2"/>
  <c r="BV10" i="2"/>
  <c r="BU10" i="2"/>
  <c r="AT14" i="2"/>
  <c r="AS14" i="2"/>
  <c r="BO8" i="2"/>
  <c r="BN8" i="2"/>
  <c r="BA9" i="2"/>
  <c r="AZ9" i="2"/>
  <c r="BN18" i="2"/>
  <c r="BA15" i="2"/>
  <c r="AZ15" i="2"/>
  <c r="AF16" i="2"/>
  <c r="AE16" i="2"/>
  <c r="BA18" i="2"/>
  <c r="AZ18" i="2"/>
  <c r="AE14" i="2"/>
  <c r="O17" i="2"/>
  <c r="Z9" i="2"/>
  <c r="O10" i="2"/>
  <c r="Y12" i="2"/>
  <c r="Z12" i="2"/>
  <c r="Y17" i="2"/>
  <c r="Z17" i="2"/>
  <c r="BO15" i="2"/>
  <c r="BN15" i="2"/>
  <c r="AM15" i="2"/>
  <c r="AL15" i="2"/>
  <c r="AT8" i="2"/>
  <c r="AS8" i="2"/>
  <c r="BV14" i="2"/>
  <c r="BU14" i="2"/>
  <c r="BO9" i="2"/>
  <c r="BN9" i="2"/>
  <c r="AM17" i="2"/>
  <c r="AL17" i="2"/>
  <c r="AM10" i="2"/>
  <c r="AL10" i="2"/>
  <c r="AT11" i="2"/>
  <c r="AS11" i="2"/>
  <c r="BA12" i="2"/>
  <c r="AZ12" i="2"/>
  <c r="T12" i="2"/>
  <c r="T13" i="2"/>
  <c r="BA14" i="2"/>
  <c r="AZ14" i="2"/>
  <c r="BO13" i="2"/>
  <c r="BN17" i="2"/>
  <c r="BH15" i="2"/>
  <c r="BG15" i="2"/>
  <c r="AF17" i="2"/>
  <c r="AE17" i="2"/>
  <c r="AM11" i="2"/>
  <c r="AL11" i="2"/>
  <c r="BA7" i="2"/>
  <c r="AZ7" i="2"/>
  <c r="AF18" i="2"/>
  <c r="AE18" i="2"/>
  <c r="AT13" i="2"/>
  <c r="AS13" i="2"/>
  <c r="O7" i="2"/>
  <c r="BH8" i="2"/>
  <c r="BG8" i="2"/>
  <c r="Y8" i="2"/>
  <c r="Z8" i="2"/>
  <c r="BH16" i="2"/>
  <c r="BG16" i="2"/>
  <c r="BU15" i="2"/>
  <c r="BV15" i="2"/>
  <c r="AT15" i="2"/>
  <c r="AS15" i="2"/>
  <c r="BH7" i="2"/>
  <c r="BG7" i="2"/>
  <c r="AF7" i="2"/>
  <c r="AE7" i="2"/>
  <c r="BU7" i="2"/>
  <c r="BV7" i="2"/>
  <c r="AT16" i="2"/>
  <c r="AS16" i="2"/>
  <c r="BH9" i="2"/>
  <c r="BG9" i="2"/>
  <c r="AF9" i="2"/>
  <c r="AE9" i="2"/>
  <c r="BO10" i="2"/>
  <c r="BN10" i="2"/>
  <c r="AM18" i="2"/>
  <c r="AL18" i="2"/>
  <c r="AL14" i="2"/>
  <c r="BA13" i="2"/>
  <c r="AZ13" i="2"/>
  <c r="BU11" i="2"/>
  <c r="BV11" i="2"/>
  <c r="BN14" i="2"/>
  <c r="BO17" i="2"/>
  <c r="Y9" i="2"/>
  <c r="Y13" i="2"/>
  <c r="Y10" i="2"/>
  <c r="Y7" i="2"/>
</calcChain>
</file>

<file path=xl/sharedStrings.xml><?xml version="1.0" encoding="utf-8"?>
<sst xmlns="http://schemas.openxmlformats.org/spreadsheetml/2006/main" count="719" uniqueCount="126">
  <si>
    <t>Bench 1</t>
  </si>
  <si>
    <t>Bench 2</t>
  </si>
  <si>
    <t>Bench 3</t>
  </si>
  <si>
    <t>Bench 4</t>
  </si>
  <si>
    <t>4 cvs</t>
  </si>
  <si>
    <t>4 reps</t>
  </si>
  <si>
    <t>CV1</t>
  </si>
  <si>
    <t>CV2</t>
  </si>
  <si>
    <t>CV3</t>
  </si>
  <si>
    <t>CV4</t>
  </si>
  <si>
    <t>PI471938</t>
  </si>
  <si>
    <t>PI548431</t>
  </si>
  <si>
    <t>PI603457A</t>
  </si>
  <si>
    <t>PI507408</t>
  </si>
  <si>
    <t>Pot number</t>
  </si>
  <si>
    <t>Weight  (kg)                       Pot + support + stone</t>
  </si>
  <si>
    <t>Weight lid (kg)</t>
  </si>
  <si>
    <t>Total weight (tare) kg</t>
  </si>
  <si>
    <t>Weight (04/12)</t>
  </si>
  <si>
    <t>Difference</t>
  </si>
  <si>
    <t>Date</t>
  </si>
  <si>
    <t xml:space="preserve">Thinning </t>
  </si>
  <si>
    <t>Pot 4, 9 and 15: seeds with fungi: CV4</t>
  </si>
  <si>
    <t>Total germination</t>
  </si>
  <si>
    <t xml:space="preserve">Thinning was made in all pots </t>
  </si>
  <si>
    <t>Resulting in 1 plant/pot</t>
  </si>
  <si>
    <t>Replant</t>
  </si>
  <si>
    <t>2 seedlings</t>
  </si>
  <si>
    <t>1 seedling</t>
  </si>
  <si>
    <t xml:space="preserve">CV1 has a  delayed and bad germination </t>
  </si>
  <si>
    <t>POT 7 (CV1) WAS REPLACED WITH A PLANT FROM PLOT 6 (CV3) - 04/17</t>
  </si>
  <si>
    <t>W loss g</t>
  </si>
  <si>
    <t>100% pot cap</t>
  </si>
  <si>
    <t>% pot cap</t>
  </si>
  <si>
    <t>Current soil + water</t>
  </si>
  <si>
    <t>Soil+water (g)</t>
  </si>
  <si>
    <t>Weight Day 04/22 (g)</t>
  </si>
  <si>
    <t>Weight Day  04/11 (kg)</t>
  </si>
  <si>
    <t>Scale weight (g)</t>
  </si>
  <si>
    <t>Weight Day 04/23 (g)</t>
  </si>
  <si>
    <t>Scale diferrence</t>
  </si>
  <si>
    <t>Scale from pot 7 is not working</t>
  </si>
  <si>
    <t>Umidity</t>
  </si>
  <si>
    <t>Temperature</t>
  </si>
  <si>
    <t>Light cycle</t>
  </si>
  <si>
    <t>Photosynthetically radiation</t>
  </si>
  <si>
    <t>28°C</t>
  </si>
  <si>
    <t>6am - 10pm</t>
  </si>
  <si>
    <t>Growth chamber settings</t>
  </si>
  <si>
    <r>
      <t xml:space="preserve">600 </t>
    </r>
    <r>
      <rPr>
        <sz val="11"/>
        <color theme="1"/>
        <rFont val="Aptos Narrow"/>
        <family val="2"/>
      </rPr>
      <t xml:space="preserve">µmol </t>
    </r>
  </si>
  <si>
    <t xml:space="preserve">Growth chamber </t>
  </si>
  <si>
    <t>Lab</t>
  </si>
  <si>
    <t>% difference</t>
  </si>
  <si>
    <t>Weight Day 04/24 (g)</t>
  </si>
  <si>
    <t>Vegetative stages</t>
  </si>
  <si>
    <t>VC</t>
  </si>
  <si>
    <t>V1</t>
  </si>
  <si>
    <t>V2</t>
  </si>
  <si>
    <t>Weight Day 04/25 (g)</t>
  </si>
  <si>
    <t>Weight Day 04/26 (g)</t>
  </si>
  <si>
    <t>V3</t>
  </si>
  <si>
    <t>Weight Day 04/29 (g)</t>
  </si>
  <si>
    <t>V4</t>
  </si>
  <si>
    <t>Weight Day 04/30 (g)</t>
  </si>
  <si>
    <t>Weight Day 05/01 (g)</t>
  </si>
  <si>
    <t>70% pot cap</t>
  </si>
  <si>
    <t>may/01</t>
  </si>
  <si>
    <t>Time</t>
  </si>
  <si>
    <t>Weight Day 05/02 (g)</t>
  </si>
  <si>
    <t>V5</t>
  </si>
  <si>
    <t>Up to 70% (ml)</t>
  </si>
  <si>
    <t>may/02</t>
  </si>
  <si>
    <t>Irrigation</t>
  </si>
  <si>
    <t>Weight Day 05/03 (g)</t>
  </si>
  <si>
    <t>Weight before return plants (GH)</t>
  </si>
  <si>
    <t>Weight Day 05/06 (g)</t>
  </si>
  <si>
    <t>v5</t>
  </si>
  <si>
    <t>13:40h</t>
  </si>
  <si>
    <t>Variety</t>
  </si>
  <si>
    <t>Germination % 1st planting date</t>
  </si>
  <si>
    <t>Germination % seed treatment</t>
  </si>
  <si>
    <t>Quadrant</t>
  </si>
  <si>
    <t>05/06 (10 days after planting - 04/26)</t>
  </si>
  <si>
    <t>603418D</t>
  </si>
  <si>
    <t>3/6 = 50%</t>
  </si>
  <si>
    <t>Q1</t>
  </si>
  <si>
    <t>8/16 = 50%</t>
  </si>
  <si>
    <t>4/6 = 66,6%</t>
  </si>
  <si>
    <t>13/16 = 81,25%</t>
  </si>
  <si>
    <t>1/6 = 16,6%</t>
  </si>
  <si>
    <t>Q2</t>
  </si>
  <si>
    <t>567488B</t>
  </si>
  <si>
    <t>6/6 = 100%</t>
  </si>
  <si>
    <t>Q3</t>
  </si>
  <si>
    <t>14/16 = 87,5%</t>
  </si>
  <si>
    <t>5/6 = 83,3%</t>
  </si>
  <si>
    <t>Q4</t>
  </si>
  <si>
    <t>603457A</t>
  </si>
  <si>
    <t>12/16 = 75%</t>
  </si>
  <si>
    <t>Weight Day 05/07 (g)</t>
  </si>
  <si>
    <t>V6</t>
  </si>
  <si>
    <t>Weight Day 05/08 (g)</t>
  </si>
  <si>
    <t>11:10h</t>
  </si>
  <si>
    <t>Weight Day 05/09 (g)</t>
  </si>
  <si>
    <t>V7</t>
  </si>
  <si>
    <t>10:40h</t>
  </si>
  <si>
    <t>Weight Day 05/10 (g)</t>
  </si>
  <si>
    <t>Weight Day 05/12 (g)</t>
  </si>
  <si>
    <t>Weight Day 05/13 (g)</t>
  </si>
  <si>
    <t>05/13 (6 days after planting)</t>
  </si>
  <si>
    <t>Germination</t>
  </si>
  <si>
    <t>080479</t>
  </si>
  <si>
    <t>424154A</t>
  </si>
  <si>
    <t>603465C</t>
  </si>
  <si>
    <t>2/6 = 33,3%</t>
  </si>
  <si>
    <t>0/6 = 0%</t>
  </si>
  <si>
    <t>V8</t>
  </si>
  <si>
    <t>Weight Day 05/14 (g)</t>
  </si>
  <si>
    <t>14:40h</t>
  </si>
  <si>
    <t>11:20h</t>
  </si>
  <si>
    <t>Genotypes selected</t>
  </si>
  <si>
    <t>Firts seed treatment</t>
  </si>
  <si>
    <t>Second seed treatment                (30% Seed Shield Max)</t>
  </si>
  <si>
    <t>Weight Day 05/15 (g)</t>
  </si>
  <si>
    <t>Used in the first experiment</t>
  </si>
  <si>
    <t>Genotypes selected for the 2th 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</si>
</sst>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"/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4" fontId="0" fillId="6" borderId="0" xfId="0" applyNumberForma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166" fontId="0" fillId="6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1" xfId="0" applyFill="1" applyBorder="1"/>
    <xf numFmtId="0" fontId="0" fillId="9" borderId="0" xfId="0" applyFill="1" applyAlignment="1">
      <alignment horizontal="center" vertical="center"/>
    </xf>
    <xf numFmtId="166" fontId="0" fillId="9" borderId="0" xfId="0" applyNumberForma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6" borderId="0" xfId="0" applyFill="1"/>
    <xf numFmtId="16" fontId="0" fillId="9" borderId="0" xfId="0" applyNumberFormat="1" applyFill="1" applyAlignment="1">
      <alignment horizontal="center" vertical="center"/>
    </xf>
    <xf numFmtId="20" fontId="0" fillId="9" borderId="0" xfId="0" applyNumberFormat="1" applyFill="1" applyAlignment="1">
      <alignment horizontal="center" vertical="center"/>
    </xf>
    <xf numFmtId="16" fontId="0" fillId="6" borderId="0" xfId="0" applyNumberFormat="1" applyFill="1" applyAlignment="1">
      <alignment horizontal="center" vertical="center"/>
    </xf>
    <xf numFmtId="0" fontId="0" fillId="9" borderId="0" xfId="0" applyFill="1"/>
    <xf numFmtId="0" fontId="0" fillId="0" borderId="0" xfId="0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16" fontId="0" fillId="0" borderId="0" xfId="0" applyNumberFormat="1"/>
    <xf numFmtId="20" fontId="0" fillId="0" borderId="0" xfId="0" applyNumberFormat="1"/>
    <xf numFmtId="0" fontId="0" fillId="11" borderId="0" xfId="0" applyFill="1"/>
    <xf numFmtId="0" fontId="0" fillId="11" borderId="1" xfId="0" applyFill="1" applyBorder="1"/>
    <xf numFmtId="0" fontId="1" fillId="8" borderId="1" xfId="0" applyFont="1" applyFill="1" applyBorder="1" applyAlignment="1">
      <alignment horizontal="center" vertical="center"/>
    </xf>
    <xf numFmtId="2" fontId="0" fillId="9" borderId="0" xfId="0" applyNumberFormat="1" applyFill="1" applyAlignment="1">
      <alignment horizontal="center" vertical="center"/>
    </xf>
    <xf numFmtId="20" fontId="0" fillId="6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1" fillId="10" borderId="1" xfId="0" applyFont="1" applyFill="1" applyBorder="1"/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7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0" xfId="0" applyFill="1" applyAlignment="1">
      <alignment horizont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3:P28"/>
  <sheetViews>
    <sheetView workbookViewId="0">
      <selection activeCell="P12" sqref="P12"/>
    </sheetView>
  </sheetViews>
  <sheetFormatPr defaultRowHeight="15" x14ac:dyDescent="0.25"/>
  <cols>
    <col min="10" max="10" width="11.42578125" customWidth="1"/>
    <col min="11" max="11" width="10.28515625" customWidth="1"/>
    <col min="12" max="12" width="10.7109375" customWidth="1"/>
    <col min="13" max="13" width="11.42578125" customWidth="1"/>
    <col min="16" max="16" width="11.28515625" customWidth="1"/>
  </cols>
  <sheetData>
    <row r="3" spans="10:16" x14ac:dyDescent="0.25">
      <c r="L3" t="s">
        <v>4</v>
      </c>
    </row>
    <row r="4" spans="10:16" x14ac:dyDescent="0.25">
      <c r="L4" t="s">
        <v>5</v>
      </c>
    </row>
    <row r="7" spans="10:16" x14ac:dyDescent="0.25">
      <c r="J7" s="5" t="s">
        <v>0</v>
      </c>
      <c r="K7" s="6" t="s">
        <v>1</v>
      </c>
      <c r="L7" s="7" t="s">
        <v>2</v>
      </c>
      <c r="M7" s="8" t="s">
        <v>3</v>
      </c>
    </row>
    <row r="8" spans="10:16" x14ac:dyDescent="0.25">
      <c r="J8" s="1"/>
      <c r="K8" s="2"/>
      <c r="L8" s="3"/>
      <c r="M8" s="4"/>
    </row>
    <row r="9" spans="10:16" x14ac:dyDescent="0.25">
      <c r="J9" s="1" t="s">
        <v>6</v>
      </c>
      <c r="K9" s="2" t="s">
        <v>7</v>
      </c>
      <c r="L9" s="3" t="s">
        <v>9</v>
      </c>
      <c r="M9" s="4" t="s">
        <v>8</v>
      </c>
      <c r="O9" t="s">
        <v>6</v>
      </c>
      <c r="P9" t="s">
        <v>10</v>
      </c>
    </row>
    <row r="10" spans="10:16" x14ac:dyDescent="0.25">
      <c r="J10" s="1" t="s">
        <v>7</v>
      </c>
      <c r="K10" s="2" t="s">
        <v>8</v>
      </c>
      <c r="L10" s="3" t="s">
        <v>7</v>
      </c>
      <c r="M10" s="4" t="s">
        <v>6</v>
      </c>
      <c r="O10" t="s">
        <v>7</v>
      </c>
      <c r="P10" t="s">
        <v>11</v>
      </c>
    </row>
    <row r="11" spans="10:16" x14ac:dyDescent="0.25">
      <c r="J11" s="1" t="s">
        <v>8</v>
      </c>
      <c r="K11" s="2" t="s">
        <v>6</v>
      </c>
      <c r="L11" s="3" t="s">
        <v>8</v>
      </c>
      <c r="M11" s="4" t="s">
        <v>9</v>
      </c>
      <c r="O11" t="s">
        <v>8</v>
      </c>
      <c r="P11" t="s">
        <v>12</v>
      </c>
    </row>
    <row r="12" spans="10:16" x14ac:dyDescent="0.25">
      <c r="J12" s="1" t="s">
        <v>9</v>
      </c>
      <c r="K12" s="2" t="s">
        <v>9</v>
      </c>
      <c r="L12" s="3" t="s">
        <v>6</v>
      </c>
      <c r="M12" s="4" t="s">
        <v>7</v>
      </c>
      <c r="O12" t="s">
        <v>9</v>
      </c>
      <c r="P12" t="s">
        <v>13</v>
      </c>
    </row>
    <row r="15" spans="10:16" x14ac:dyDescent="0.25">
      <c r="J15" s="5" t="s">
        <v>0</v>
      </c>
      <c r="K15" s="6" t="s">
        <v>1</v>
      </c>
      <c r="L15" s="7" t="s">
        <v>2</v>
      </c>
      <c r="M15" s="8" t="s">
        <v>3</v>
      </c>
    </row>
    <row r="16" spans="10:16" x14ac:dyDescent="0.25">
      <c r="J16" s="1"/>
      <c r="K16" s="2"/>
      <c r="L16" s="3"/>
      <c r="M16" s="4"/>
    </row>
    <row r="17" spans="10:13" x14ac:dyDescent="0.25">
      <c r="J17" s="1">
        <v>1</v>
      </c>
      <c r="K17" s="2">
        <v>5</v>
      </c>
      <c r="L17" s="3">
        <v>9</v>
      </c>
      <c r="M17" s="4">
        <v>13</v>
      </c>
    </row>
    <row r="18" spans="10:13" x14ac:dyDescent="0.25">
      <c r="J18" s="1">
        <v>2</v>
      </c>
      <c r="K18" s="2">
        <v>6</v>
      </c>
      <c r="L18" s="3">
        <v>10</v>
      </c>
      <c r="M18" s="4">
        <v>14</v>
      </c>
    </row>
    <row r="19" spans="10:13" x14ac:dyDescent="0.25">
      <c r="J19" s="1">
        <v>3</v>
      </c>
      <c r="K19" s="2">
        <v>7</v>
      </c>
      <c r="L19" s="3">
        <v>11</v>
      </c>
      <c r="M19" s="4">
        <v>15</v>
      </c>
    </row>
    <row r="20" spans="10:13" x14ac:dyDescent="0.25">
      <c r="J20" s="1">
        <v>4</v>
      </c>
      <c r="K20" s="2">
        <v>8</v>
      </c>
      <c r="L20" s="3">
        <v>12</v>
      </c>
      <c r="M20" s="4">
        <v>16</v>
      </c>
    </row>
    <row r="23" spans="10:13" x14ac:dyDescent="0.25">
      <c r="J23" s="5" t="s">
        <v>0</v>
      </c>
      <c r="K23" s="6" t="s">
        <v>1</v>
      </c>
      <c r="L23" s="7" t="s">
        <v>2</v>
      </c>
      <c r="M23" s="8" t="s">
        <v>3</v>
      </c>
    </row>
    <row r="24" spans="10:13" x14ac:dyDescent="0.25">
      <c r="J24" s="1"/>
      <c r="K24" s="2"/>
      <c r="L24" s="3"/>
      <c r="M24" s="4"/>
    </row>
    <row r="25" spans="10:13" x14ac:dyDescent="0.25">
      <c r="J25" s="1" t="s">
        <v>10</v>
      </c>
      <c r="K25" s="2" t="s">
        <v>11</v>
      </c>
      <c r="L25" s="3" t="s">
        <v>13</v>
      </c>
      <c r="M25" s="4" t="s">
        <v>12</v>
      </c>
    </row>
    <row r="26" spans="10:13" x14ac:dyDescent="0.25">
      <c r="J26" s="1" t="s">
        <v>11</v>
      </c>
      <c r="K26" s="2" t="s">
        <v>12</v>
      </c>
      <c r="L26" s="3" t="s">
        <v>11</v>
      </c>
      <c r="M26" s="4" t="s">
        <v>10</v>
      </c>
    </row>
    <row r="27" spans="10:13" x14ac:dyDescent="0.25">
      <c r="J27" s="1" t="s">
        <v>12</v>
      </c>
      <c r="K27" s="2" t="s">
        <v>10</v>
      </c>
      <c r="L27" s="3" t="s">
        <v>12</v>
      </c>
      <c r="M27" s="4" t="s">
        <v>13</v>
      </c>
    </row>
    <row r="28" spans="10:13" x14ac:dyDescent="0.25">
      <c r="J28" s="1" t="s">
        <v>13</v>
      </c>
      <c r="K28" s="2" t="s">
        <v>13</v>
      </c>
      <c r="L28" s="3" t="s">
        <v>10</v>
      </c>
      <c r="M28" s="4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ADF6-8082-43E0-90DC-8CBA6D69D7DC}">
  <dimension ref="A1:EX19"/>
  <sheetViews>
    <sheetView zoomScaleNormal="100" workbookViewId="0">
      <selection activeCell="N3" sqref="N3"/>
    </sheetView>
  </sheetViews>
  <sheetFormatPr defaultRowHeight="15" x14ac:dyDescent="0.25"/>
  <cols>
    <col min="1" max="1" width="11.42578125" bestFit="1" customWidth="1"/>
    <col min="2" max="2" width="19.7109375" bestFit="1" customWidth="1"/>
    <col min="3" max="3" width="11.7109375" customWidth="1"/>
    <col min="4" max="4" width="13" customWidth="1"/>
    <col min="6" max="6" width="11.42578125" bestFit="1" customWidth="1"/>
    <col min="7" max="7" width="14.28515625" customWidth="1"/>
    <col min="9" max="9" width="11.28515625" customWidth="1"/>
    <col min="11" max="11" width="11.42578125" bestFit="1" customWidth="1"/>
    <col min="12" max="12" width="11.28515625" style="9" bestFit="1" customWidth="1"/>
    <col min="13" max="13" width="12.42578125" style="9" bestFit="1" customWidth="1"/>
    <col min="14" max="15" width="11.28515625" style="9" customWidth="1"/>
    <col min="16" max="16" width="9.28515625" style="9"/>
    <col min="17" max="18" width="10" customWidth="1"/>
    <col min="19" max="19" width="11.28515625" bestFit="1" customWidth="1"/>
    <col min="20" max="20" width="10" customWidth="1"/>
    <col min="22" max="22" width="11.42578125" bestFit="1" customWidth="1"/>
    <col min="23" max="23" width="11.28515625" style="9" bestFit="1" customWidth="1"/>
    <col min="24" max="24" width="10.7109375" customWidth="1"/>
    <col min="25" max="25" width="11.7109375" customWidth="1"/>
    <col min="26" max="26" width="12.28515625" style="9" bestFit="1" customWidth="1"/>
    <col min="28" max="28" width="11.42578125" bestFit="1" customWidth="1"/>
    <col min="29" max="30" width="11.28515625" bestFit="1" customWidth="1"/>
    <col min="31" max="31" width="10.28515625" customWidth="1"/>
    <col min="32" max="32" width="13.28515625" customWidth="1"/>
    <col min="33" max="33" width="16.7109375" style="9" customWidth="1"/>
    <col min="35" max="35" width="11.42578125" bestFit="1" customWidth="1"/>
    <col min="36" max="36" width="11.28515625" style="9" bestFit="1" customWidth="1"/>
    <col min="37" max="37" width="11.28515625" bestFit="1" customWidth="1"/>
    <col min="38" max="38" width="10.5703125" customWidth="1"/>
    <col min="39" max="39" width="12.28515625" bestFit="1" customWidth="1"/>
    <col min="40" max="40" width="17.5703125" style="9" customWidth="1"/>
    <col min="42" max="42" width="11.42578125" bestFit="1" customWidth="1"/>
    <col min="43" max="44" width="11.28515625" bestFit="1" customWidth="1"/>
    <col min="45" max="45" width="10.7109375" customWidth="1"/>
    <col min="46" max="46" width="12.28515625" bestFit="1" customWidth="1"/>
    <col min="47" max="47" width="16.42578125" style="9" customWidth="1"/>
    <col min="49" max="49" width="11.42578125" bestFit="1" customWidth="1"/>
    <col min="50" max="51" width="11.28515625" bestFit="1" customWidth="1"/>
    <col min="53" max="53" width="12.28515625" bestFit="1" customWidth="1"/>
    <col min="54" max="54" width="17.7109375" customWidth="1"/>
    <col min="56" max="56" width="11.42578125" bestFit="1" customWidth="1"/>
    <col min="57" max="58" width="11.28515625" bestFit="1" customWidth="1"/>
    <col min="60" max="60" width="12.28515625" bestFit="1" customWidth="1"/>
    <col min="61" max="61" width="20.7109375" customWidth="1"/>
    <col min="63" max="63" width="11.42578125" bestFit="1" customWidth="1"/>
    <col min="64" max="65" width="11.28515625" bestFit="1" customWidth="1"/>
    <col min="67" max="67" width="12.28515625" bestFit="1" customWidth="1"/>
    <col min="68" max="68" width="17.7109375" customWidth="1"/>
    <col min="70" max="70" width="11.42578125" bestFit="1" customWidth="1"/>
    <col min="71" max="72" width="11.28515625" bestFit="1" customWidth="1"/>
    <col min="74" max="74" width="12.28515625" bestFit="1" customWidth="1"/>
    <col min="75" max="75" width="16.7109375" customWidth="1"/>
    <col min="77" max="77" width="11.42578125" bestFit="1" customWidth="1"/>
    <col min="78" max="78" width="17.28515625" bestFit="1" customWidth="1"/>
    <col min="79" max="80" width="11.28515625" bestFit="1" customWidth="1"/>
    <col min="81" max="81" width="11.5703125" customWidth="1"/>
    <col min="82" max="82" width="12.28515625" bestFit="1" customWidth="1"/>
    <col min="83" max="83" width="17.5703125" customWidth="1"/>
    <col min="85" max="85" width="11.42578125" bestFit="1" customWidth="1"/>
    <col min="86" max="87" width="11.28515625" bestFit="1" customWidth="1"/>
    <col min="89" max="89" width="12.28515625" bestFit="1" customWidth="1"/>
    <col min="90" max="90" width="19.7109375" customWidth="1"/>
    <col min="92" max="92" width="11.42578125" bestFit="1" customWidth="1"/>
    <col min="93" max="94" width="11.28515625" bestFit="1" customWidth="1"/>
    <col min="96" max="96" width="12.28515625" bestFit="1" customWidth="1"/>
    <col min="97" max="97" width="18" customWidth="1"/>
    <col min="99" max="99" width="11.42578125" bestFit="1" customWidth="1"/>
    <col min="100" max="101" width="11.28515625" bestFit="1" customWidth="1"/>
    <col min="103" max="103" width="12.28515625" bestFit="1" customWidth="1"/>
    <col min="104" max="104" width="16.7109375" customWidth="1"/>
    <col min="106" max="106" width="11.42578125" bestFit="1" customWidth="1"/>
    <col min="107" max="108" width="11.28515625" bestFit="1" customWidth="1"/>
    <col min="110" max="110" width="12.28515625" bestFit="1" customWidth="1"/>
    <col min="111" max="111" width="17.7109375" customWidth="1"/>
    <col min="113" max="113" width="11.42578125" bestFit="1" customWidth="1"/>
    <col min="114" max="114" width="12.28515625" customWidth="1"/>
    <col min="115" max="115" width="11.28515625" customWidth="1"/>
    <col min="117" max="117" width="12.28515625" bestFit="1" customWidth="1"/>
    <col min="118" max="118" width="16.7109375" customWidth="1"/>
    <col min="121" max="121" width="15.28515625" customWidth="1"/>
    <col min="122" max="122" width="11.28515625" bestFit="1" customWidth="1"/>
    <col min="123" max="123" width="9.5703125" customWidth="1"/>
    <col min="124" max="124" width="12.28515625" bestFit="1" customWidth="1"/>
    <col min="125" max="125" width="16.7109375" customWidth="1"/>
    <col min="126" max="126" width="11.42578125" bestFit="1" customWidth="1"/>
    <col min="129" max="129" width="11.42578125" bestFit="1" customWidth="1"/>
    <col min="130" max="130" width="12.28515625" customWidth="1"/>
    <col min="131" max="131" width="12.5703125" customWidth="1"/>
    <col min="133" max="133" width="13.28515625" customWidth="1"/>
    <col min="134" max="134" width="19.28515625" customWidth="1"/>
    <col min="135" max="135" width="13.42578125" customWidth="1"/>
    <col min="136" max="136" width="12" customWidth="1"/>
    <col min="138" max="138" width="11.42578125" bestFit="1" customWidth="1"/>
    <col min="139" max="139" width="12.28515625" customWidth="1"/>
    <col min="140" max="140" width="14.28515625" customWidth="1"/>
    <col min="142" max="142" width="12.28515625" bestFit="1" customWidth="1"/>
    <col min="143" max="143" width="19.7109375" customWidth="1"/>
    <col min="144" max="144" width="11.42578125" bestFit="1" customWidth="1"/>
    <col min="145" max="145" width="13" customWidth="1"/>
    <col min="147" max="147" width="11.42578125" bestFit="1" customWidth="1"/>
    <col min="148" max="148" width="12.28515625" customWidth="1"/>
    <col min="149" max="149" width="14.28515625" customWidth="1"/>
    <col min="151" max="151" width="12.28515625" bestFit="1" customWidth="1"/>
    <col min="152" max="152" width="19.7109375" customWidth="1"/>
    <col min="153" max="153" width="11.42578125" bestFit="1" customWidth="1"/>
    <col min="154" max="154" width="13" customWidth="1"/>
  </cols>
  <sheetData>
    <row r="1" spans="1:154" x14ac:dyDescent="0.25">
      <c r="M1" s="20" t="s">
        <v>32</v>
      </c>
      <c r="Q1" s="57" t="s">
        <v>50</v>
      </c>
      <c r="R1" s="58"/>
      <c r="S1" s="58"/>
      <c r="T1" s="58"/>
      <c r="DP1" s="45"/>
      <c r="DQ1" s="45"/>
      <c r="DR1" s="45"/>
      <c r="DS1" s="45"/>
      <c r="DT1" s="45"/>
      <c r="DU1" s="45"/>
      <c r="DV1" s="46" t="s">
        <v>65</v>
      </c>
      <c r="DW1" s="45"/>
      <c r="EE1" s="47" t="s">
        <v>65</v>
      </c>
      <c r="EN1" s="47" t="s">
        <v>65</v>
      </c>
      <c r="EW1" s="47" t="s">
        <v>65</v>
      </c>
    </row>
    <row r="2" spans="1:154" ht="45" x14ac:dyDescent="0.25">
      <c r="A2" s="7" t="s">
        <v>14</v>
      </c>
      <c r="B2" s="10" t="s">
        <v>15</v>
      </c>
      <c r="C2" s="10" t="s">
        <v>16</v>
      </c>
      <c r="D2" s="10" t="s">
        <v>17</v>
      </c>
      <c r="F2" s="7" t="s">
        <v>14</v>
      </c>
      <c r="G2" s="10" t="s">
        <v>37</v>
      </c>
      <c r="H2" s="10" t="s">
        <v>18</v>
      </c>
      <c r="I2" s="10" t="s">
        <v>19</v>
      </c>
      <c r="K2" s="7" t="s">
        <v>14</v>
      </c>
      <c r="L2" s="10" t="s">
        <v>36</v>
      </c>
      <c r="M2" s="10" t="s">
        <v>35</v>
      </c>
      <c r="N2" s="10" t="s">
        <v>34</v>
      </c>
      <c r="O2" s="10" t="s">
        <v>33</v>
      </c>
      <c r="P2" s="7" t="s">
        <v>31</v>
      </c>
      <c r="Q2" s="10" t="s">
        <v>38</v>
      </c>
      <c r="R2" s="10" t="s">
        <v>40</v>
      </c>
      <c r="S2" s="10" t="s">
        <v>34</v>
      </c>
      <c r="T2" s="10" t="s">
        <v>33</v>
      </c>
      <c r="V2" s="7" t="s">
        <v>14</v>
      </c>
      <c r="W2" s="10" t="s">
        <v>39</v>
      </c>
      <c r="X2" s="10" t="s">
        <v>34</v>
      </c>
      <c r="Y2" s="10" t="s">
        <v>33</v>
      </c>
      <c r="Z2" s="7" t="s">
        <v>52</v>
      </c>
      <c r="AB2" s="7" t="s">
        <v>14</v>
      </c>
      <c r="AC2" s="10" t="s">
        <v>53</v>
      </c>
      <c r="AD2" s="10" t="s">
        <v>34</v>
      </c>
      <c r="AE2" s="10" t="s">
        <v>33</v>
      </c>
      <c r="AF2" s="7" t="s">
        <v>52</v>
      </c>
      <c r="AG2" s="10" t="s">
        <v>54</v>
      </c>
      <c r="AI2" s="7" t="s">
        <v>14</v>
      </c>
      <c r="AJ2" s="10" t="s">
        <v>58</v>
      </c>
      <c r="AK2" s="10" t="s">
        <v>34</v>
      </c>
      <c r="AL2" s="10" t="s">
        <v>33</v>
      </c>
      <c r="AM2" s="7" t="s">
        <v>52</v>
      </c>
      <c r="AN2" s="10" t="s">
        <v>54</v>
      </c>
      <c r="AP2" s="7" t="s">
        <v>14</v>
      </c>
      <c r="AQ2" s="10" t="s">
        <v>59</v>
      </c>
      <c r="AR2" s="10" t="s">
        <v>34</v>
      </c>
      <c r="AS2" s="10" t="s">
        <v>33</v>
      </c>
      <c r="AT2" s="7" t="s">
        <v>52</v>
      </c>
      <c r="AU2" s="10" t="s">
        <v>54</v>
      </c>
      <c r="AW2" s="7" t="s">
        <v>14</v>
      </c>
      <c r="AX2" s="10" t="s">
        <v>61</v>
      </c>
      <c r="AY2" s="10" t="s">
        <v>34</v>
      </c>
      <c r="AZ2" s="10" t="s">
        <v>33</v>
      </c>
      <c r="BA2" s="7" t="s">
        <v>52</v>
      </c>
      <c r="BB2" s="10" t="s">
        <v>54</v>
      </c>
      <c r="BD2" s="7" t="s">
        <v>14</v>
      </c>
      <c r="BE2" s="10" t="s">
        <v>63</v>
      </c>
      <c r="BF2" s="10" t="s">
        <v>34</v>
      </c>
      <c r="BG2" s="10" t="s">
        <v>33</v>
      </c>
      <c r="BH2" s="7" t="s">
        <v>52</v>
      </c>
      <c r="BI2" s="10" t="s">
        <v>54</v>
      </c>
      <c r="BK2" s="7" t="s">
        <v>14</v>
      </c>
      <c r="BL2" s="10" t="s">
        <v>64</v>
      </c>
      <c r="BM2" s="10" t="s">
        <v>34</v>
      </c>
      <c r="BN2" s="10" t="s">
        <v>33</v>
      </c>
      <c r="BO2" s="7" t="s">
        <v>52</v>
      </c>
      <c r="BP2" s="10" t="s">
        <v>54</v>
      </c>
      <c r="BR2" s="7" t="s">
        <v>14</v>
      </c>
      <c r="BS2" s="10" t="s">
        <v>68</v>
      </c>
      <c r="BT2" s="10" t="s">
        <v>34</v>
      </c>
      <c r="BU2" s="10" t="s">
        <v>33</v>
      </c>
      <c r="BV2" s="7" t="s">
        <v>52</v>
      </c>
      <c r="BW2" s="10" t="s">
        <v>54</v>
      </c>
      <c r="BY2" s="7" t="s">
        <v>14</v>
      </c>
      <c r="BZ2" s="10" t="s">
        <v>74</v>
      </c>
      <c r="CA2" s="10" t="s">
        <v>73</v>
      </c>
      <c r="CB2" s="10" t="s">
        <v>34</v>
      </c>
      <c r="CC2" s="10" t="s">
        <v>33</v>
      </c>
      <c r="CD2" s="7" t="s">
        <v>52</v>
      </c>
      <c r="CE2" s="10" t="s">
        <v>54</v>
      </c>
      <c r="CG2" s="7" t="s">
        <v>14</v>
      </c>
      <c r="CH2" s="10" t="s">
        <v>75</v>
      </c>
      <c r="CI2" s="10" t="s">
        <v>34</v>
      </c>
      <c r="CJ2" s="10" t="s">
        <v>33</v>
      </c>
      <c r="CK2" s="7" t="s">
        <v>52</v>
      </c>
      <c r="CL2" s="10" t="s">
        <v>54</v>
      </c>
      <c r="CN2" s="7" t="s">
        <v>14</v>
      </c>
      <c r="CO2" s="10" t="s">
        <v>99</v>
      </c>
      <c r="CP2" s="10" t="s">
        <v>34</v>
      </c>
      <c r="CQ2" s="10" t="s">
        <v>33</v>
      </c>
      <c r="CR2" s="7" t="s">
        <v>52</v>
      </c>
      <c r="CS2" s="10" t="s">
        <v>54</v>
      </c>
      <c r="CU2" s="7" t="s">
        <v>14</v>
      </c>
      <c r="CV2" s="10" t="s">
        <v>101</v>
      </c>
      <c r="CW2" s="10" t="s">
        <v>34</v>
      </c>
      <c r="CX2" s="10" t="s">
        <v>33</v>
      </c>
      <c r="CY2" s="7" t="s">
        <v>52</v>
      </c>
      <c r="CZ2" s="10" t="s">
        <v>54</v>
      </c>
      <c r="DB2" s="7" t="s">
        <v>14</v>
      </c>
      <c r="DC2" s="10" t="s">
        <v>103</v>
      </c>
      <c r="DD2" s="10" t="s">
        <v>34</v>
      </c>
      <c r="DE2" s="10" t="s">
        <v>33</v>
      </c>
      <c r="DF2" s="7" t="s">
        <v>52</v>
      </c>
      <c r="DG2" s="10" t="s">
        <v>54</v>
      </c>
      <c r="DI2" s="7" t="s">
        <v>14</v>
      </c>
      <c r="DJ2" s="10" t="s">
        <v>106</v>
      </c>
      <c r="DK2" s="10" t="s">
        <v>34</v>
      </c>
      <c r="DL2" s="10" t="s">
        <v>33</v>
      </c>
      <c r="DM2" s="7" t="s">
        <v>52</v>
      </c>
      <c r="DN2" s="10" t="s">
        <v>54</v>
      </c>
      <c r="DP2" s="7" t="s">
        <v>14</v>
      </c>
      <c r="DQ2" s="10" t="s">
        <v>107</v>
      </c>
      <c r="DR2" s="10" t="s">
        <v>34</v>
      </c>
      <c r="DS2" s="10" t="s">
        <v>33</v>
      </c>
      <c r="DT2" s="7" t="s">
        <v>52</v>
      </c>
      <c r="DU2" s="10" t="s">
        <v>54</v>
      </c>
      <c r="DV2" s="10" t="s">
        <v>35</v>
      </c>
      <c r="DW2" s="10" t="s">
        <v>70</v>
      </c>
      <c r="DY2" s="7" t="s">
        <v>14</v>
      </c>
      <c r="DZ2" s="10" t="s">
        <v>108</v>
      </c>
      <c r="EA2" s="10" t="s">
        <v>34</v>
      </c>
      <c r="EB2" s="10" t="s">
        <v>33</v>
      </c>
      <c r="EC2" s="7" t="s">
        <v>52</v>
      </c>
      <c r="ED2" s="10" t="s">
        <v>54</v>
      </c>
      <c r="EE2" s="10" t="s">
        <v>35</v>
      </c>
      <c r="EF2" s="10" t="s">
        <v>70</v>
      </c>
      <c r="EH2" s="7" t="s">
        <v>14</v>
      </c>
      <c r="EI2" s="10" t="s">
        <v>117</v>
      </c>
      <c r="EJ2" s="10" t="s">
        <v>34</v>
      </c>
      <c r="EK2" s="10" t="s">
        <v>33</v>
      </c>
      <c r="EL2" s="7" t="s">
        <v>52</v>
      </c>
      <c r="EM2" s="10" t="s">
        <v>54</v>
      </c>
      <c r="EN2" s="10" t="s">
        <v>35</v>
      </c>
      <c r="EO2" s="10" t="s">
        <v>70</v>
      </c>
      <c r="EQ2" s="7" t="s">
        <v>14</v>
      </c>
      <c r="ER2" s="10" t="s">
        <v>123</v>
      </c>
      <c r="ES2" s="10" t="s">
        <v>34</v>
      </c>
      <c r="ET2" s="10" t="s">
        <v>33</v>
      </c>
      <c r="EU2" s="7" t="s">
        <v>52</v>
      </c>
      <c r="EV2" s="10" t="s">
        <v>54</v>
      </c>
      <c r="EW2" s="10" t="s">
        <v>35</v>
      </c>
      <c r="EX2" s="10" t="s">
        <v>70</v>
      </c>
    </row>
    <row r="3" spans="1:154" x14ac:dyDescent="0.25">
      <c r="A3" s="9">
        <v>1</v>
      </c>
      <c r="B3" s="9">
        <v>1.2092000000000001</v>
      </c>
      <c r="C3" s="9">
        <v>0.40079999999999999</v>
      </c>
      <c r="D3" s="11">
        <v>1.61</v>
      </c>
      <c r="F3" s="9">
        <v>1</v>
      </c>
      <c r="G3" s="9">
        <v>2.5975000000000001</v>
      </c>
      <c r="K3" s="9">
        <v>1</v>
      </c>
      <c r="L3" s="17">
        <v>2554.9</v>
      </c>
      <c r="M3" s="19">
        <f>(G3-D3)*1000</f>
        <v>987.5</v>
      </c>
      <c r="N3" s="17">
        <f>L3-D3*1000</f>
        <v>944.90000000000009</v>
      </c>
      <c r="O3" s="18">
        <f>N3/M3*100</f>
        <v>95.686075949367094</v>
      </c>
      <c r="P3" s="17">
        <f t="shared" ref="P3:P18" si="0">G3*1000-L3</f>
        <v>42.599999999999909</v>
      </c>
      <c r="Q3" s="9">
        <v>2560.1999999999998</v>
      </c>
      <c r="R3" s="17">
        <f>Q3-L3</f>
        <v>5.2999999999997272</v>
      </c>
      <c r="S3" s="26">
        <f>Q3-(D3*1000)</f>
        <v>950.19999999999982</v>
      </c>
      <c r="T3" s="23">
        <f>S3/M3*100</f>
        <v>96.222784810126555</v>
      </c>
      <c r="V3" s="9">
        <v>1</v>
      </c>
      <c r="W3" s="9">
        <v>2551.5500000000002</v>
      </c>
      <c r="X3" s="11">
        <f>W3-D3*1000</f>
        <v>941.55000000000018</v>
      </c>
      <c r="Y3" s="18">
        <f>X3/M3*100</f>
        <v>95.346835443037989</v>
      </c>
      <c r="Z3" s="17">
        <f>X3/S3*100</f>
        <v>99.089665333614022</v>
      </c>
      <c r="AB3" s="9">
        <v>1</v>
      </c>
      <c r="AC3" s="9">
        <v>2547.21</v>
      </c>
      <c r="AD3" s="9">
        <f>AC3-(D3*1000)</f>
        <v>937.21</v>
      </c>
      <c r="AE3" s="18">
        <f>AD3/M3*100</f>
        <v>94.907341772151895</v>
      </c>
      <c r="AF3" s="17">
        <f>AD3/X3*100</f>
        <v>99.539057936381482</v>
      </c>
      <c r="AG3" s="9" t="s">
        <v>55</v>
      </c>
      <c r="AI3" s="9">
        <v>1</v>
      </c>
      <c r="AJ3" s="9">
        <v>2541.29</v>
      </c>
      <c r="AK3" s="9">
        <f>AJ3-(D3*1000)</f>
        <v>931.29</v>
      </c>
      <c r="AL3" s="17">
        <f>AK3/M3*100</f>
        <v>94.307848101265819</v>
      </c>
      <c r="AM3" s="17">
        <f>AK3/AD3*100</f>
        <v>99.368337939202519</v>
      </c>
      <c r="AN3" s="9" t="s">
        <v>56</v>
      </c>
      <c r="AP3" s="9">
        <v>1</v>
      </c>
      <c r="AQ3" s="9">
        <v>2533.4</v>
      </c>
      <c r="AR3" s="9">
        <f>AQ3-(D3*1000)</f>
        <v>923.40000000000009</v>
      </c>
      <c r="AS3" s="17">
        <f>AR3/M3*100</f>
        <v>93.508860759493686</v>
      </c>
      <c r="AT3" s="17">
        <f>AR3/AK3*100</f>
        <v>99.152788068163531</v>
      </c>
      <c r="AU3" s="9" t="s">
        <v>56</v>
      </c>
      <c r="AW3" s="9">
        <v>1</v>
      </c>
      <c r="AX3" s="9">
        <v>2491.1799999999998</v>
      </c>
      <c r="AY3" s="11">
        <f>AX3-(D3*1000)</f>
        <v>881.17999999999984</v>
      </c>
      <c r="AZ3" s="17">
        <f>AY3/M3*100</f>
        <v>89.233417721518975</v>
      </c>
      <c r="BA3" s="17">
        <f>AY3/AR3*100</f>
        <v>95.427766948234762</v>
      </c>
      <c r="BB3" s="9" t="s">
        <v>57</v>
      </c>
      <c r="BD3" s="9">
        <v>1</v>
      </c>
      <c r="BE3" s="9">
        <v>2471.59</v>
      </c>
      <c r="BF3" s="9">
        <f>BE3-(D3*1000)</f>
        <v>861.59000000000015</v>
      </c>
      <c r="BG3" s="17">
        <f>BF3/M3*100</f>
        <v>87.249620253164579</v>
      </c>
      <c r="BH3" s="17">
        <f>BF3/AY3*100</f>
        <v>97.776844685535337</v>
      </c>
      <c r="BI3" s="9" t="s">
        <v>60</v>
      </c>
      <c r="BK3" s="9">
        <v>1</v>
      </c>
      <c r="BL3" s="9">
        <v>2445.0700000000002</v>
      </c>
      <c r="BM3" s="9">
        <f>BL3-(D3*1000)</f>
        <v>835.07000000000016</v>
      </c>
      <c r="BN3" s="17">
        <f>BM3/M3*100</f>
        <v>84.564050632911417</v>
      </c>
      <c r="BO3" s="17">
        <f>BM3/BF3*100</f>
        <v>96.921969846446686</v>
      </c>
      <c r="BP3" s="9" t="s">
        <v>60</v>
      </c>
      <c r="BR3" s="9">
        <v>1</v>
      </c>
      <c r="BS3" s="9">
        <v>2410.98</v>
      </c>
      <c r="BT3" s="9">
        <f>BS3-(D3*1000)</f>
        <v>800.98</v>
      </c>
      <c r="BU3" s="17">
        <f>BT3/M3*100</f>
        <v>81.111898734177217</v>
      </c>
      <c r="BV3" s="17">
        <f>BT3/BM3*100</f>
        <v>95.917707497575037</v>
      </c>
      <c r="BW3" s="9" t="s">
        <v>60</v>
      </c>
      <c r="BY3" s="9">
        <v>1</v>
      </c>
      <c r="BZ3" s="9">
        <v>-8.25</v>
      </c>
      <c r="CA3" s="9">
        <v>2372.8200000000002</v>
      </c>
      <c r="CB3" s="9">
        <f>CA3-(D3*1000)</f>
        <v>762.82000000000016</v>
      </c>
      <c r="CC3" s="17">
        <f>CB3/M3*100</f>
        <v>77.247594936708879</v>
      </c>
      <c r="CD3" s="17">
        <f>CB3/BT3*100</f>
        <v>95.235836100776567</v>
      </c>
      <c r="CE3" s="9" t="s">
        <v>60</v>
      </c>
      <c r="CG3" s="9">
        <v>1</v>
      </c>
      <c r="CH3" s="9">
        <v>2204.83</v>
      </c>
      <c r="CI3" s="9">
        <f t="shared" ref="CI3:CI18" si="1">CH3-(D3*1000)</f>
        <v>594.82999999999993</v>
      </c>
      <c r="CJ3" s="17">
        <f>CI3/M3*100</f>
        <v>60.235949367088601</v>
      </c>
      <c r="CK3" s="17">
        <f>CI3/CB3*100</f>
        <v>77.977766707742305</v>
      </c>
      <c r="CL3" s="9" t="s">
        <v>62</v>
      </c>
      <c r="CN3" s="9">
        <v>1</v>
      </c>
      <c r="CO3" s="9">
        <v>2137.9299999999998</v>
      </c>
      <c r="CP3" s="9">
        <f>CO3-(D3*1000)</f>
        <v>527.92999999999984</v>
      </c>
      <c r="CQ3" s="17">
        <f>CP3/M3*100</f>
        <v>53.461265822784796</v>
      </c>
      <c r="CR3" s="17">
        <f>CP3/CI3*100</f>
        <v>88.753089117899222</v>
      </c>
      <c r="CS3" s="9" t="s">
        <v>69</v>
      </c>
      <c r="CU3" s="9">
        <v>1</v>
      </c>
      <c r="CV3" s="9">
        <v>2229.9</v>
      </c>
      <c r="CW3" s="9">
        <f>CV3-(D3*1000)</f>
        <v>619.90000000000009</v>
      </c>
      <c r="CX3" s="17">
        <f>CW3/M3*100</f>
        <v>62.774683544303812</v>
      </c>
      <c r="CY3" s="17">
        <f>CW3/CP3*100</f>
        <v>117.42087019112388</v>
      </c>
      <c r="CZ3" s="9" t="s">
        <v>100</v>
      </c>
      <c r="DB3" s="9">
        <v>1</v>
      </c>
      <c r="DC3" s="9">
        <v>2155.8000000000002</v>
      </c>
      <c r="DD3" s="9">
        <f>DC3-(D3*1000)</f>
        <v>545.80000000000018</v>
      </c>
      <c r="DE3" s="17">
        <f>DD3/M3*100</f>
        <v>55.270886075949392</v>
      </c>
      <c r="DF3" s="17">
        <f>DD3/CW3*100</f>
        <v>88.046459106307481</v>
      </c>
      <c r="DG3" s="9" t="s">
        <v>100</v>
      </c>
      <c r="DI3" s="9">
        <v>1</v>
      </c>
      <c r="DJ3" s="9">
        <v>2218.4</v>
      </c>
      <c r="DK3" s="9">
        <f>DJ3-($D3*1000)</f>
        <v>608.40000000000009</v>
      </c>
      <c r="DL3" s="17">
        <f>DK3/M3*100</f>
        <v>61.61012658227849</v>
      </c>
      <c r="DM3" s="17">
        <f>DK3/DD3*100</f>
        <v>111.46940271161596</v>
      </c>
      <c r="DN3" s="9" t="s">
        <v>100</v>
      </c>
      <c r="DP3" s="9">
        <v>1</v>
      </c>
      <c r="DQ3" s="9">
        <v>2107</v>
      </c>
      <c r="DR3" s="9">
        <f>DQ3-($D3*1000)</f>
        <v>497</v>
      </c>
      <c r="DS3" s="17">
        <f>DR3/$M3*100</f>
        <v>50.329113924050631</v>
      </c>
      <c r="DT3" s="17">
        <f>DR3/DK3*100</f>
        <v>81.689677843523995</v>
      </c>
      <c r="DU3" s="9" t="s">
        <v>100</v>
      </c>
      <c r="DV3" s="9">
        <v>691.25</v>
      </c>
      <c r="DW3" s="23">
        <f>DV3-DR3</f>
        <v>194.25</v>
      </c>
      <c r="DY3" s="9">
        <v>1</v>
      </c>
      <c r="DZ3" s="9">
        <v>2222.09</v>
      </c>
      <c r="EA3" s="9">
        <f>DZ3-($D3*1000)</f>
        <v>612.09000000000015</v>
      </c>
      <c r="EB3" s="17">
        <f>EA3/$M3*100</f>
        <v>61.983797468354439</v>
      </c>
      <c r="EC3" s="18">
        <f>EA3/DR3*100</f>
        <v>123.15694164989944</v>
      </c>
      <c r="ED3" s="9" t="s">
        <v>104</v>
      </c>
      <c r="EE3" s="9">
        <v>691.25</v>
      </c>
      <c r="EF3" s="17">
        <f>EE3-EA3</f>
        <v>79.159999999999854</v>
      </c>
      <c r="EH3" s="9">
        <v>1</v>
      </c>
      <c r="EI3" s="9">
        <v>2078.66</v>
      </c>
      <c r="EJ3" s="9">
        <f>EI3-($D3*1000)</f>
        <v>468.65999999999985</v>
      </c>
      <c r="EK3" s="17">
        <f>EJ3/$M3*100</f>
        <v>47.459240506329095</v>
      </c>
      <c r="EL3" s="18">
        <f>EJ3/EA3*100</f>
        <v>76.567171494388049</v>
      </c>
      <c r="EM3" s="51" t="s">
        <v>104</v>
      </c>
      <c r="EN3" s="9">
        <v>691.25</v>
      </c>
      <c r="EO3" s="17">
        <f>EN3-EJ3</f>
        <v>222.59000000000015</v>
      </c>
      <c r="EQ3" s="9">
        <v>1</v>
      </c>
      <c r="ER3" s="9">
        <v>2238.67</v>
      </c>
      <c r="ES3" s="9">
        <f>ER3-($D3*1000)</f>
        <v>628.67000000000007</v>
      </c>
      <c r="ET3" s="23">
        <f>ES3/$M3*100</f>
        <v>63.662784810126595</v>
      </c>
      <c r="EU3" s="18">
        <f>ES3/EJ3*100</f>
        <v>134.14202193487824</v>
      </c>
      <c r="EV3" s="9" t="s">
        <v>104</v>
      </c>
      <c r="EW3" s="9">
        <v>691.25</v>
      </c>
      <c r="EX3" s="17">
        <f>EW3-ES3</f>
        <v>62.579999999999927</v>
      </c>
    </row>
    <row r="4" spans="1:154" x14ac:dyDescent="0.25">
      <c r="A4" s="9">
        <v>2</v>
      </c>
      <c r="B4" s="9">
        <v>1.3831</v>
      </c>
      <c r="C4" s="9">
        <v>0.40820000000000001</v>
      </c>
      <c r="D4" s="12">
        <v>1.7912999999999999</v>
      </c>
      <c r="F4" s="9">
        <v>2</v>
      </c>
      <c r="G4" s="9">
        <v>2.8207</v>
      </c>
      <c r="K4" s="9">
        <v>2</v>
      </c>
      <c r="L4" s="17">
        <v>2764.9</v>
      </c>
      <c r="M4" s="19">
        <f t="shared" ref="M4:M18" si="2">(G4-D4)*1000</f>
        <v>1029.4000000000001</v>
      </c>
      <c r="N4" s="29">
        <f t="shared" ref="N4:N18" si="3">L4-D4*1000</f>
        <v>973.60000000000014</v>
      </c>
      <c r="O4" s="18">
        <f t="shared" ref="O4:O18" si="4">N4/M4*100</f>
        <v>94.579366621332809</v>
      </c>
      <c r="P4" s="17">
        <f t="shared" si="0"/>
        <v>55.799999999999727</v>
      </c>
      <c r="Q4" s="9">
        <v>2767.8</v>
      </c>
      <c r="R4" s="17">
        <f t="shared" ref="R4:R18" si="5">Q4-L4</f>
        <v>2.9000000000000909</v>
      </c>
      <c r="S4" s="31">
        <f t="shared" ref="S4:S18" si="6">Q4-(D4*1000)</f>
        <v>976.50000000000023</v>
      </c>
      <c r="T4" s="23">
        <f t="shared" ref="T4:T18" si="7">S4/M4*100</f>
        <v>94.861084126675749</v>
      </c>
      <c r="V4" s="9">
        <v>2</v>
      </c>
      <c r="W4" s="9">
        <v>2769.13</v>
      </c>
      <c r="X4" s="30">
        <f t="shared" ref="X4:X18" si="8">W4-D4*1000</f>
        <v>977.83000000000015</v>
      </c>
      <c r="Y4" s="18">
        <f t="shared" ref="Y4:Y18" si="9">X4/M4*100</f>
        <v>94.990285603264041</v>
      </c>
      <c r="Z4" s="17">
        <f t="shared" ref="Z4:Z18" si="10">X4/S4*100</f>
        <v>100.13620071684588</v>
      </c>
      <c r="AB4" s="9">
        <v>2</v>
      </c>
      <c r="AC4" s="9">
        <v>2758.43</v>
      </c>
      <c r="AD4" s="9">
        <f t="shared" ref="AD4:AD18" si="11">AC4-(D4*1000)</f>
        <v>967.12999999999988</v>
      </c>
      <c r="AE4" s="18">
        <f t="shared" ref="AE4:AE18" si="12">AD4/M4*100</f>
        <v>93.95084515251601</v>
      </c>
      <c r="AF4" s="17">
        <f t="shared" ref="AF4:AF18" si="13">AD4/X4*100</f>
        <v>98.905740261599647</v>
      </c>
      <c r="AG4" s="9" t="s">
        <v>56</v>
      </c>
      <c r="AI4" s="9">
        <v>2</v>
      </c>
      <c r="AJ4" s="9">
        <v>2742.05</v>
      </c>
      <c r="AK4" s="9">
        <f t="shared" ref="AK4:AK18" si="14">AJ4-(D4*1000)</f>
        <v>950.75000000000023</v>
      </c>
      <c r="AL4" s="17">
        <f t="shared" ref="AL4:AL18" si="15">AK4/M4*100</f>
        <v>92.359626967165354</v>
      </c>
      <c r="AM4" s="17">
        <f t="shared" ref="AM4:AM18" si="16">AK4/AD4*100</f>
        <v>98.306329035393418</v>
      </c>
      <c r="AN4" s="9" t="s">
        <v>57</v>
      </c>
      <c r="AP4" s="9">
        <v>2</v>
      </c>
      <c r="AQ4" s="9">
        <v>2720.87</v>
      </c>
      <c r="AR4" s="9">
        <f t="shared" ref="AR4:AR18" si="17">AQ4-(D4*1000)</f>
        <v>929.56999999999994</v>
      </c>
      <c r="AS4" s="17">
        <f t="shared" ref="AS4:AS18" si="18">AR4/M4*100</f>
        <v>90.302117738488434</v>
      </c>
      <c r="AT4" s="17">
        <f t="shared" ref="AT4:AT18" si="19">AR4/AK4*100</f>
        <v>97.772285038127762</v>
      </c>
      <c r="AU4" s="9" t="s">
        <v>57</v>
      </c>
      <c r="AW4" s="9">
        <v>2</v>
      </c>
      <c r="AX4" s="9">
        <v>2623.43</v>
      </c>
      <c r="AY4" s="11">
        <f t="shared" ref="AY4:AY18" si="20">AX4-(D4*1000)</f>
        <v>832.12999999999988</v>
      </c>
      <c r="AZ4" s="17">
        <f t="shared" ref="AZ4:AZ18" si="21">AY4/M4*100</f>
        <v>80.836409558966366</v>
      </c>
      <c r="BA4" s="17">
        <f t="shared" ref="BA4:BA18" si="22">AY4/AR4*100</f>
        <v>89.517734006045799</v>
      </c>
      <c r="BB4" s="9" t="s">
        <v>60</v>
      </c>
      <c r="BD4" s="9">
        <v>2</v>
      </c>
      <c r="BE4" s="9">
        <v>2578.75</v>
      </c>
      <c r="BF4" s="9">
        <f t="shared" ref="BF4:BF18" si="23">BE4-(D4*1000)</f>
        <v>787.45</v>
      </c>
      <c r="BG4" s="17">
        <f t="shared" ref="BG4:BG18" si="24">BF4/M4*100</f>
        <v>76.496017097338253</v>
      </c>
      <c r="BH4" s="17">
        <f t="shared" ref="BH4:BH18" si="25">BF4/AY4*100</f>
        <v>94.630646653768054</v>
      </c>
      <c r="BI4" s="9" t="s">
        <v>60</v>
      </c>
      <c r="BK4" s="9">
        <v>2</v>
      </c>
      <c r="BL4" s="9">
        <v>2519.5</v>
      </c>
      <c r="BM4" s="9">
        <f t="shared" ref="BM4:BM18" si="26">BL4-(D4*1000)</f>
        <v>728.2</v>
      </c>
      <c r="BN4" s="17">
        <f t="shared" ref="BN4:BN18" si="27">BM4/M4*100</f>
        <v>70.740237031280344</v>
      </c>
      <c r="BO4" s="17">
        <f t="shared" ref="BO4:BO18" si="28">BM4/BF4*100</f>
        <v>92.475712743666264</v>
      </c>
      <c r="BP4" s="9" t="s">
        <v>62</v>
      </c>
      <c r="BR4" s="9">
        <v>2</v>
      </c>
      <c r="BS4" s="9">
        <v>2458.5</v>
      </c>
      <c r="BT4" s="9">
        <f t="shared" ref="BT4:BT18" si="29">BS4-(D4*1000)</f>
        <v>667.2</v>
      </c>
      <c r="BU4" s="17">
        <f t="shared" ref="BU4:BU18" si="30">BT4/M4*100</f>
        <v>64.814455022343111</v>
      </c>
      <c r="BV4" s="17">
        <f t="shared" ref="BV4:BV18" si="31">BT4/BM4*100</f>
        <v>91.6231804449327</v>
      </c>
      <c r="BW4" s="9" t="s">
        <v>62</v>
      </c>
      <c r="BY4" s="9">
        <v>2</v>
      </c>
      <c r="BZ4" s="9">
        <v>1.6</v>
      </c>
      <c r="CA4" s="9">
        <v>2398.14</v>
      </c>
      <c r="CB4" s="9">
        <f t="shared" ref="CB4:CB18" si="32">CA4-(D4*1000)</f>
        <v>606.83999999999992</v>
      </c>
      <c r="CC4" s="17">
        <f t="shared" ref="CC4:CC18" si="33">CB4/M4*100</f>
        <v>58.950845152516017</v>
      </c>
      <c r="CD4" s="17">
        <f t="shared" ref="CD4:CD18" si="34">CB4/BT4*100</f>
        <v>90.953237410071921</v>
      </c>
      <c r="CE4" s="9" t="s">
        <v>62</v>
      </c>
      <c r="CG4" s="9">
        <v>2</v>
      </c>
      <c r="CH4" s="9">
        <v>2315.4499999999998</v>
      </c>
      <c r="CI4" s="9">
        <f t="shared" si="1"/>
        <v>524.14999999999986</v>
      </c>
      <c r="CJ4" s="17">
        <f t="shared" ref="CJ4:CJ18" si="35">CI4/M4*100</f>
        <v>50.918010491548458</v>
      </c>
      <c r="CK4" s="17">
        <f t="shared" ref="CK4:CK18" si="36">CI4/CB4*100</f>
        <v>86.373673455935645</v>
      </c>
      <c r="CL4" s="9" t="s">
        <v>76</v>
      </c>
      <c r="CN4" s="9">
        <v>2</v>
      </c>
      <c r="CO4" s="9">
        <v>2434.5</v>
      </c>
      <c r="CP4" s="9">
        <f t="shared" ref="CP4:CP18" si="37">CO4-(D4*1000)</f>
        <v>643.20000000000005</v>
      </c>
      <c r="CQ4" s="17">
        <f t="shared" ref="CQ4:CQ18" si="38">CP4/M4*100</f>
        <v>62.482999805712069</v>
      </c>
      <c r="CR4" s="17">
        <f t="shared" ref="CR4:CR18" si="39">CP4/CI4*100</f>
        <v>122.71296384622727</v>
      </c>
      <c r="CS4" s="9" t="s">
        <v>69</v>
      </c>
      <c r="CU4" s="9">
        <v>2</v>
      </c>
      <c r="CV4" s="9">
        <v>2337.41</v>
      </c>
      <c r="CW4" s="9">
        <f t="shared" ref="CW4:CW18" si="40">CV4-(D4*1000)</f>
        <v>546.1099999999999</v>
      </c>
      <c r="CX4" s="17">
        <f t="shared" ref="CX4:CX18" si="41">CW4/M4*100</f>
        <v>53.05129201476587</v>
      </c>
      <c r="CY4" s="17">
        <f t="shared" ref="CY4:CY18" si="42">CW4/CP4*100</f>
        <v>84.905161691542261</v>
      </c>
      <c r="CZ4" s="9" t="s">
        <v>69</v>
      </c>
      <c r="DB4" s="9">
        <v>2</v>
      </c>
      <c r="DC4" s="9">
        <v>2498.6799999999998</v>
      </c>
      <c r="DD4" s="9">
        <f t="shared" ref="DD4:DD18" si="43">DC4-(D4*1000)</f>
        <v>707.37999999999988</v>
      </c>
      <c r="DE4" s="17">
        <f t="shared" ref="DE4:DE18" si="44">DD4/M4*100</f>
        <v>68.717699630852906</v>
      </c>
      <c r="DF4" s="17">
        <f t="shared" ref="DF4:DF18" si="45">DD4/CW4*100</f>
        <v>129.53068063210708</v>
      </c>
      <c r="DG4" s="9" t="s">
        <v>69</v>
      </c>
      <c r="DI4" s="9">
        <v>2</v>
      </c>
      <c r="DJ4" s="9">
        <v>2389.14</v>
      </c>
      <c r="DK4" s="9">
        <f t="shared" ref="DK4:DK18" si="46">DJ4-($D4*1000)</f>
        <v>597.83999999999992</v>
      </c>
      <c r="DL4" s="17">
        <f t="shared" ref="DL4:DL18" si="47">DK4/M4*100</f>
        <v>58.076549446279365</v>
      </c>
      <c r="DM4" s="17">
        <f t="shared" ref="DM4:DM18" si="48">DK4/DD4*100</f>
        <v>84.514688003618986</v>
      </c>
      <c r="DN4" s="9" t="s">
        <v>69</v>
      </c>
      <c r="DP4" s="9">
        <v>2</v>
      </c>
      <c r="DQ4" s="9">
        <v>2269</v>
      </c>
      <c r="DR4" s="9">
        <f t="shared" ref="DR4:DR18" si="49">DQ4-($D4*1000)</f>
        <v>477.70000000000005</v>
      </c>
      <c r="DS4" s="17">
        <f t="shared" ref="DS4:DS18" si="50">DR4/$M4*100</f>
        <v>46.405673207693802</v>
      </c>
      <c r="DT4" s="17">
        <f t="shared" ref="DT4:DT18" si="51">DR4/DK4*100</f>
        <v>79.904322226682751</v>
      </c>
      <c r="DU4" s="9" t="s">
        <v>69</v>
      </c>
      <c r="DV4" s="9">
        <v>720.58</v>
      </c>
      <c r="DW4" s="23">
        <f t="shared" ref="DW4:DW18" si="52">DV4-DR4</f>
        <v>242.88</v>
      </c>
      <c r="DY4" s="9">
        <v>2</v>
      </c>
      <c r="DZ4" s="9">
        <v>2415.5</v>
      </c>
      <c r="EA4" s="9">
        <f t="shared" ref="EA4:EA18" si="53">DZ4-($D4*1000)</f>
        <v>624.20000000000005</v>
      </c>
      <c r="EB4" s="17">
        <f t="shared" ref="EB4:EB18" si="54">EA4/$M4*100</f>
        <v>60.637264425879152</v>
      </c>
      <c r="EC4" s="18">
        <f t="shared" ref="EC4:EC18" si="55">EA4/DR4*100</f>
        <v>130.66778312748585</v>
      </c>
      <c r="ED4" s="9" t="s">
        <v>100</v>
      </c>
      <c r="EE4" s="9">
        <v>720.58</v>
      </c>
      <c r="EF4" s="17">
        <f t="shared" ref="EF4:EF18" si="56">EE4-EA4</f>
        <v>96.38</v>
      </c>
      <c r="EH4" s="9">
        <v>2</v>
      </c>
      <c r="EI4" s="9">
        <v>2247.62</v>
      </c>
      <c r="EJ4" s="9">
        <f t="shared" ref="EJ4:EJ18" si="57">EI4-($D4*1000)</f>
        <v>456.31999999999994</v>
      </c>
      <c r="EK4" s="17">
        <f t="shared" ref="EK4:EK18" si="58">EJ4/$M4*100</f>
        <v>44.328735185544964</v>
      </c>
      <c r="EL4" s="18">
        <f t="shared" ref="EL4:EL18" si="59">EJ4/EA4*100</f>
        <v>73.104774110861896</v>
      </c>
      <c r="EM4" s="51" t="s">
        <v>100</v>
      </c>
      <c r="EN4" s="9">
        <v>720.58</v>
      </c>
      <c r="EO4" s="17">
        <f t="shared" ref="EO4:EO18" si="60">EN4-EJ4</f>
        <v>264.2600000000001</v>
      </c>
      <c r="EQ4" s="9">
        <v>2</v>
      </c>
      <c r="ER4" s="9">
        <v>2439.92</v>
      </c>
      <c r="ES4" s="9">
        <f t="shared" ref="ES4:ES18" si="61">ER4-($D4*1000)</f>
        <v>648.62000000000012</v>
      </c>
      <c r="ET4" s="23">
        <f t="shared" ref="ET4:ET18" si="62">ES4/$M4*100</f>
        <v>63.009520108801254</v>
      </c>
      <c r="EU4" s="18">
        <f t="shared" ref="EU4:EU18" si="63">ES4/EJ4*100</f>
        <v>142.14147966339416</v>
      </c>
      <c r="EV4" s="9" t="s">
        <v>104</v>
      </c>
      <c r="EW4" s="9">
        <v>720.58</v>
      </c>
      <c r="EX4" s="17">
        <f t="shared" ref="EX4:EX18" si="64">EW4-ES4</f>
        <v>71.959999999999923</v>
      </c>
    </row>
    <row r="5" spans="1:154" x14ac:dyDescent="0.25">
      <c r="A5" s="9">
        <v>3</v>
      </c>
      <c r="B5" s="9">
        <v>1.1367</v>
      </c>
      <c r="C5" s="9">
        <v>0.41139999999999999</v>
      </c>
      <c r="D5" s="12">
        <v>1.5481</v>
      </c>
      <c r="F5" s="9">
        <v>3</v>
      </c>
      <c r="G5" s="9">
        <v>2.58</v>
      </c>
      <c r="H5" s="9">
        <v>2.5756999999999999</v>
      </c>
      <c r="I5" s="9">
        <f>G5-H5</f>
        <v>4.3000000000001926E-3</v>
      </c>
      <c r="K5" s="9">
        <v>3</v>
      </c>
      <c r="L5" s="17">
        <v>2510.1</v>
      </c>
      <c r="M5" s="19">
        <f t="shared" si="2"/>
        <v>1031.9000000000001</v>
      </c>
      <c r="N5" s="17">
        <f t="shared" si="3"/>
        <v>961.99999999999977</v>
      </c>
      <c r="O5" s="18">
        <f t="shared" si="4"/>
        <v>93.226087799205317</v>
      </c>
      <c r="P5" s="17">
        <f t="shared" si="0"/>
        <v>69.900000000000091</v>
      </c>
      <c r="Q5" s="9">
        <v>2508.25</v>
      </c>
      <c r="R5" s="17">
        <f t="shared" si="5"/>
        <v>-1.8499999999999091</v>
      </c>
      <c r="S5" s="26">
        <f t="shared" si="6"/>
        <v>960.14999999999986</v>
      </c>
      <c r="T5" s="23">
        <f t="shared" si="7"/>
        <v>93.046806861129937</v>
      </c>
      <c r="V5" s="9">
        <v>3</v>
      </c>
      <c r="W5" s="9">
        <v>2491.9299999999998</v>
      </c>
      <c r="X5" s="11">
        <f t="shared" si="8"/>
        <v>943.8299999999997</v>
      </c>
      <c r="Y5" s="18">
        <f t="shared" si="9"/>
        <v>91.465258261459397</v>
      </c>
      <c r="Z5" s="17">
        <f t="shared" si="10"/>
        <v>98.300265583502551</v>
      </c>
      <c r="AB5" s="9">
        <v>3</v>
      </c>
      <c r="AC5" s="9">
        <v>2469.9699999999998</v>
      </c>
      <c r="AD5" s="9">
        <f t="shared" si="11"/>
        <v>921.86999999999966</v>
      </c>
      <c r="AE5" s="18">
        <f t="shared" si="12"/>
        <v>89.337145072196876</v>
      </c>
      <c r="AF5" s="17">
        <f t="shared" si="13"/>
        <v>97.673309812148375</v>
      </c>
      <c r="AG5" s="9" t="s">
        <v>57</v>
      </c>
      <c r="AI5" s="9">
        <v>3</v>
      </c>
      <c r="AJ5" s="9">
        <v>2439.9299999999998</v>
      </c>
      <c r="AK5" s="9">
        <f t="shared" si="14"/>
        <v>891.8299999999997</v>
      </c>
      <c r="AL5" s="17">
        <f t="shared" si="15"/>
        <v>86.426010272313164</v>
      </c>
      <c r="AM5" s="17">
        <f t="shared" si="16"/>
        <v>96.741406055083687</v>
      </c>
      <c r="AN5" s="9" t="s">
        <v>57</v>
      </c>
      <c r="AP5" s="9">
        <v>3</v>
      </c>
      <c r="AQ5" s="9">
        <v>2401.42</v>
      </c>
      <c r="AR5" s="9">
        <f t="shared" si="17"/>
        <v>853.31999999999994</v>
      </c>
      <c r="AS5" s="17">
        <f t="shared" si="18"/>
        <v>82.694059501889711</v>
      </c>
      <c r="AT5" s="17">
        <f t="shared" si="19"/>
        <v>95.681912472107939</v>
      </c>
      <c r="AU5" s="9" t="s">
        <v>60</v>
      </c>
      <c r="AW5" s="9">
        <v>3</v>
      </c>
      <c r="AX5" s="9">
        <v>2227.4299999999998</v>
      </c>
      <c r="AY5" s="11">
        <f t="shared" si="20"/>
        <v>679.3299999999997</v>
      </c>
      <c r="AZ5" s="17">
        <f t="shared" si="21"/>
        <v>65.832929547436734</v>
      </c>
      <c r="BA5" s="17">
        <f t="shared" si="22"/>
        <v>79.610228284816912</v>
      </c>
      <c r="BB5" s="9" t="s">
        <v>60</v>
      </c>
      <c r="BD5" s="9">
        <v>3</v>
      </c>
      <c r="BE5" s="9">
        <v>2157.35</v>
      </c>
      <c r="BF5" s="9">
        <f t="shared" si="23"/>
        <v>609.24999999999977</v>
      </c>
      <c r="BG5" s="17">
        <f t="shared" si="24"/>
        <v>59.041573795910431</v>
      </c>
      <c r="BH5" s="17">
        <f t="shared" si="25"/>
        <v>89.683953306934782</v>
      </c>
      <c r="BI5" s="9" t="s">
        <v>62</v>
      </c>
      <c r="BK5" s="9">
        <v>3</v>
      </c>
      <c r="BL5" s="9">
        <v>2078.3000000000002</v>
      </c>
      <c r="BM5" s="9">
        <f t="shared" si="26"/>
        <v>530.20000000000005</v>
      </c>
      <c r="BN5" s="17">
        <f t="shared" si="27"/>
        <v>51.380947766256426</v>
      </c>
      <c r="BO5" s="17">
        <f t="shared" si="28"/>
        <v>87.02503077554374</v>
      </c>
      <c r="BP5" s="9" t="s">
        <v>62</v>
      </c>
      <c r="BR5" s="9">
        <v>3</v>
      </c>
      <c r="BS5" s="9">
        <v>2179.2800000000002</v>
      </c>
      <c r="BT5" s="9">
        <f t="shared" si="29"/>
        <v>631.18000000000006</v>
      </c>
      <c r="BU5" s="17">
        <f t="shared" si="30"/>
        <v>61.166779726717699</v>
      </c>
      <c r="BV5" s="17">
        <f t="shared" si="31"/>
        <v>119.04564315352697</v>
      </c>
      <c r="BW5" s="9" t="s">
        <v>62</v>
      </c>
      <c r="BY5" s="9">
        <v>3</v>
      </c>
      <c r="BZ5" s="9">
        <v>-12.12</v>
      </c>
      <c r="CA5" s="9">
        <v>2088.62</v>
      </c>
      <c r="CB5" s="9">
        <f t="shared" si="32"/>
        <v>540.51999999999975</v>
      </c>
      <c r="CC5" s="17">
        <f t="shared" si="33"/>
        <v>52.381044674871568</v>
      </c>
      <c r="CD5" s="17">
        <f t="shared" si="34"/>
        <v>85.636427009727768</v>
      </c>
      <c r="CE5" s="9" t="s">
        <v>62</v>
      </c>
      <c r="CG5" s="9">
        <v>3</v>
      </c>
      <c r="CH5" s="9">
        <v>1959.3</v>
      </c>
      <c r="CI5" s="9">
        <f t="shared" si="1"/>
        <v>411.19999999999982</v>
      </c>
      <c r="CJ5" s="17">
        <f t="shared" si="35"/>
        <v>39.848822560325594</v>
      </c>
      <c r="CK5" s="17">
        <f t="shared" si="36"/>
        <v>76.074890845852138</v>
      </c>
      <c r="CL5" s="9" t="s">
        <v>76</v>
      </c>
      <c r="CN5" s="9">
        <v>3</v>
      </c>
      <c r="CO5" s="9">
        <v>2160.33</v>
      </c>
      <c r="CP5" s="9">
        <f t="shared" si="37"/>
        <v>612.22999999999979</v>
      </c>
      <c r="CQ5" s="17">
        <f t="shared" si="38"/>
        <v>59.330361469134587</v>
      </c>
      <c r="CR5" s="17">
        <f t="shared" si="39"/>
        <v>148.88861867704281</v>
      </c>
      <c r="CS5" s="9" t="s">
        <v>69</v>
      </c>
      <c r="CU5" s="9">
        <v>3</v>
      </c>
      <c r="CV5" s="9">
        <v>2014.61</v>
      </c>
      <c r="CW5" s="9">
        <f t="shared" si="40"/>
        <v>466.50999999999976</v>
      </c>
      <c r="CX5" s="17">
        <f t="shared" si="41"/>
        <v>45.208838065704015</v>
      </c>
      <c r="CY5" s="17">
        <f t="shared" si="42"/>
        <v>76.198487496529069</v>
      </c>
      <c r="CZ5" s="9" t="s">
        <v>69</v>
      </c>
      <c r="DB5" s="9">
        <v>3</v>
      </c>
      <c r="DC5" s="9">
        <v>2116.7600000000002</v>
      </c>
      <c r="DD5" s="9">
        <f t="shared" si="43"/>
        <v>568.66000000000008</v>
      </c>
      <c r="DE5" s="17">
        <f t="shared" si="44"/>
        <v>55.108053105921115</v>
      </c>
      <c r="DF5" s="17">
        <f t="shared" si="45"/>
        <v>121.8966367280445</v>
      </c>
      <c r="DG5" s="9" t="s">
        <v>100</v>
      </c>
      <c r="DI5" s="9">
        <v>3</v>
      </c>
      <c r="DJ5" s="9">
        <v>2085.79</v>
      </c>
      <c r="DK5" s="9">
        <f t="shared" si="46"/>
        <v>537.68999999999983</v>
      </c>
      <c r="DL5" s="17">
        <f t="shared" si="47"/>
        <v>52.106793293923801</v>
      </c>
      <c r="DM5" s="17">
        <f t="shared" si="48"/>
        <v>94.553863468504858</v>
      </c>
      <c r="DN5" s="9" t="s">
        <v>100</v>
      </c>
      <c r="DP5" s="9">
        <v>3</v>
      </c>
      <c r="DQ5" s="9">
        <v>1931</v>
      </c>
      <c r="DR5" s="9">
        <f t="shared" si="49"/>
        <v>382.89999999999986</v>
      </c>
      <c r="DS5" s="17">
        <f t="shared" si="50"/>
        <v>37.10630875084793</v>
      </c>
      <c r="DT5" s="17">
        <f t="shared" si="51"/>
        <v>71.212036675407759</v>
      </c>
      <c r="DU5" s="9" t="s">
        <v>100</v>
      </c>
      <c r="DV5" s="9">
        <v>722.33</v>
      </c>
      <c r="DW5" s="23">
        <f t="shared" si="52"/>
        <v>339.43000000000018</v>
      </c>
      <c r="DY5" s="9">
        <v>3</v>
      </c>
      <c r="DZ5" s="9">
        <v>2103.9</v>
      </c>
      <c r="EA5" s="9">
        <f t="shared" si="53"/>
        <v>555.79999999999995</v>
      </c>
      <c r="EB5" s="48">
        <f t="shared" si="54"/>
        <v>53.861808314759173</v>
      </c>
      <c r="EC5" s="18">
        <f t="shared" si="55"/>
        <v>145.1553930530165</v>
      </c>
      <c r="ED5" s="9" t="s">
        <v>104</v>
      </c>
      <c r="EE5" s="9">
        <v>722.33</v>
      </c>
      <c r="EF5" s="48">
        <f t="shared" si="56"/>
        <v>166.53000000000009</v>
      </c>
      <c r="EH5" s="9">
        <v>3</v>
      </c>
      <c r="EI5" s="9">
        <v>1968.01</v>
      </c>
      <c r="EJ5" s="9">
        <f t="shared" si="57"/>
        <v>419.90999999999985</v>
      </c>
      <c r="EK5" s="17">
        <f t="shared" si="58"/>
        <v>40.692896598507588</v>
      </c>
      <c r="EL5" s="18">
        <f t="shared" si="59"/>
        <v>75.55055775458797</v>
      </c>
      <c r="EM5" s="51" t="s">
        <v>104</v>
      </c>
      <c r="EN5" s="9">
        <v>722.33</v>
      </c>
      <c r="EO5" s="17">
        <f t="shared" si="60"/>
        <v>302.42000000000019</v>
      </c>
      <c r="EQ5" s="9">
        <v>3</v>
      </c>
      <c r="ER5" s="9">
        <v>2119.54</v>
      </c>
      <c r="ES5" s="9">
        <f t="shared" si="61"/>
        <v>571.43999999999983</v>
      </c>
      <c r="ET5" s="23">
        <f t="shared" si="62"/>
        <v>55.377459056110069</v>
      </c>
      <c r="EU5" s="18">
        <f t="shared" si="63"/>
        <v>136.0863042080446</v>
      </c>
      <c r="EV5" s="9" t="s">
        <v>104</v>
      </c>
      <c r="EW5" s="9">
        <v>722.33</v>
      </c>
      <c r="EX5" s="17">
        <f t="shared" si="64"/>
        <v>150.89000000000021</v>
      </c>
    </row>
    <row r="6" spans="1:154" x14ac:dyDescent="0.25">
      <c r="A6" s="9">
        <v>4</v>
      </c>
      <c r="B6" s="9">
        <v>1.1436999999999999</v>
      </c>
      <c r="C6" s="9">
        <v>0.40550000000000003</v>
      </c>
      <c r="D6" s="12">
        <v>1.5491999999999999</v>
      </c>
      <c r="F6" s="9">
        <v>4</v>
      </c>
      <c r="G6" s="9">
        <v>2.6093000000000002</v>
      </c>
      <c r="K6" s="9">
        <v>4</v>
      </c>
      <c r="L6" s="17">
        <v>2527.5</v>
      </c>
      <c r="M6" s="19">
        <f t="shared" si="2"/>
        <v>1060.1000000000004</v>
      </c>
      <c r="N6" s="17">
        <f t="shared" si="3"/>
        <v>978.30000000000018</v>
      </c>
      <c r="O6" s="18">
        <f t="shared" si="4"/>
        <v>92.283746816338066</v>
      </c>
      <c r="P6" s="17">
        <f t="shared" si="0"/>
        <v>81.800000000000182</v>
      </c>
      <c r="Q6" s="9">
        <v>2529.12</v>
      </c>
      <c r="R6" s="17">
        <f t="shared" si="5"/>
        <v>1.6199999999998909</v>
      </c>
      <c r="S6" s="26">
        <f t="shared" si="6"/>
        <v>979.92000000000007</v>
      </c>
      <c r="T6" s="23">
        <f t="shared" si="7"/>
        <v>92.436562588435038</v>
      </c>
      <c r="V6" s="9">
        <v>4</v>
      </c>
      <c r="W6" s="9">
        <v>2520.9499999999998</v>
      </c>
      <c r="X6" s="11">
        <f t="shared" si="8"/>
        <v>971.75</v>
      </c>
      <c r="Y6" s="18">
        <f t="shared" si="9"/>
        <v>91.665880577303994</v>
      </c>
      <c r="Z6" s="17">
        <f t="shared" si="10"/>
        <v>99.166258470079185</v>
      </c>
      <c r="AB6" s="9">
        <v>4</v>
      </c>
      <c r="AC6" s="9">
        <v>2499.1799999999998</v>
      </c>
      <c r="AD6" s="9">
        <f t="shared" si="11"/>
        <v>949.98</v>
      </c>
      <c r="AE6" s="18">
        <f t="shared" si="12"/>
        <v>89.612300726346533</v>
      </c>
      <c r="AF6" s="17">
        <f t="shared" si="13"/>
        <v>97.759711860046309</v>
      </c>
      <c r="AG6" s="9" t="s">
        <v>57</v>
      </c>
      <c r="AI6" s="9">
        <v>4</v>
      </c>
      <c r="AJ6" s="9">
        <v>2467.37</v>
      </c>
      <c r="AK6" s="9">
        <f t="shared" si="14"/>
        <v>918.17000000000007</v>
      </c>
      <c r="AL6" s="17">
        <f t="shared" si="15"/>
        <v>86.611640411281925</v>
      </c>
      <c r="AM6" s="17">
        <f t="shared" si="16"/>
        <v>96.651508452809537</v>
      </c>
      <c r="AN6" s="9" t="s">
        <v>57</v>
      </c>
      <c r="AP6" s="9">
        <v>4</v>
      </c>
      <c r="AQ6" s="9">
        <v>2421.34</v>
      </c>
      <c r="AR6" s="9">
        <f t="shared" si="17"/>
        <v>872.14000000000033</v>
      </c>
      <c r="AS6" s="17">
        <f t="shared" si="18"/>
        <v>82.269597207810591</v>
      </c>
      <c r="AT6" s="17">
        <f t="shared" si="19"/>
        <v>94.986767156408973</v>
      </c>
      <c r="AU6" s="9" t="s">
        <v>57</v>
      </c>
      <c r="AW6" s="9">
        <v>4</v>
      </c>
      <c r="AX6" s="9">
        <v>2226.65</v>
      </c>
      <c r="AY6" s="11">
        <f t="shared" si="20"/>
        <v>677.45000000000027</v>
      </c>
      <c r="AZ6" s="17">
        <f t="shared" si="21"/>
        <v>63.904348646354123</v>
      </c>
      <c r="BA6" s="17">
        <f t="shared" si="22"/>
        <v>77.67674914577934</v>
      </c>
      <c r="BB6" s="9" t="s">
        <v>60</v>
      </c>
      <c r="BD6" s="9">
        <v>4</v>
      </c>
      <c r="BE6" s="9">
        <v>2166.13</v>
      </c>
      <c r="BF6" s="9">
        <f t="shared" si="23"/>
        <v>616.93000000000029</v>
      </c>
      <c r="BG6" s="17">
        <f t="shared" si="24"/>
        <v>58.195453259126509</v>
      </c>
      <c r="BH6" s="17">
        <f t="shared" si="25"/>
        <v>91.066499372647442</v>
      </c>
      <c r="BI6" s="9" t="s">
        <v>62</v>
      </c>
      <c r="BK6" s="9">
        <v>4</v>
      </c>
      <c r="BL6" s="9">
        <v>2097.48</v>
      </c>
      <c r="BM6" s="9">
        <f t="shared" si="26"/>
        <v>548.2800000000002</v>
      </c>
      <c r="BN6" s="17">
        <f t="shared" si="27"/>
        <v>51.719649089708518</v>
      </c>
      <c r="BO6" s="17">
        <f t="shared" si="28"/>
        <v>88.87231938793704</v>
      </c>
      <c r="BP6" s="9" t="s">
        <v>62</v>
      </c>
      <c r="BR6" s="9">
        <v>4</v>
      </c>
      <c r="BS6" s="9">
        <v>2208.92</v>
      </c>
      <c r="BT6" s="9">
        <f t="shared" si="29"/>
        <v>659.72000000000025</v>
      </c>
      <c r="BU6" s="17">
        <f>BT6/M6*100</f>
        <v>62.231864918403922</v>
      </c>
      <c r="BV6" s="17">
        <f t="shared" si="31"/>
        <v>120.32538119209164</v>
      </c>
      <c r="BW6" s="9" t="s">
        <v>62</v>
      </c>
      <c r="BY6" s="9">
        <v>4</v>
      </c>
      <c r="BZ6" s="9">
        <v>0.03</v>
      </c>
      <c r="CA6" s="9">
        <v>2113.71</v>
      </c>
      <c r="CB6" s="9">
        <f t="shared" si="32"/>
        <v>564.51000000000022</v>
      </c>
      <c r="CC6" s="17">
        <f t="shared" si="33"/>
        <v>53.25063673238374</v>
      </c>
      <c r="CD6" s="17">
        <f t="shared" si="34"/>
        <v>85.568119808403566</v>
      </c>
      <c r="CE6" s="9" t="s">
        <v>62</v>
      </c>
      <c r="CG6" s="9">
        <v>4</v>
      </c>
      <c r="CH6" s="9">
        <v>1985.38</v>
      </c>
      <c r="CI6" s="9">
        <f t="shared" si="1"/>
        <v>436.18000000000029</v>
      </c>
      <c r="CJ6" s="17">
        <f t="shared" si="35"/>
        <v>41.14517498349214</v>
      </c>
      <c r="CK6" s="17">
        <f t="shared" si="36"/>
        <v>77.267010327540717</v>
      </c>
      <c r="CL6" s="9" t="s">
        <v>76</v>
      </c>
      <c r="CN6" s="9">
        <v>4</v>
      </c>
      <c r="CO6" s="9">
        <v>2152.96</v>
      </c>
      <c r="CP6" s="9">
        <f t="shared" si="37"/>
        <v>603.76000000000022</v>
      </c>
      <c r="CQ6" s="17">
        <f t="shared" si="38"/>
        <v>56.95311763041223</v>
      </c>
      <c r="CR6" s="17">
        <f t="shared" si="39"/>
        <v>138.41991838231917</v>
      </c>
      <c r="CS6" s="9" t="s">
        <v>69</v>
      </c>
      <c r="CU6" s="9">
        <v>4</v>
      </c>
      <c r="CV6" s="9">
        <v>2007.8</v>
      </c>
      <c r="CW6" s="9">
        <f t="shared" si="40"/>
        <v>458.60000000000014</v>
      </c>
      <c r="CX6" s="17">
        <f t="shared" si="41"/>
        <v>43.260069804735402</v>
      </c>
      <c r="CY6" s="17">
        <f t="shared" si="42"/>
        <v>75.957334040015894</v>
      </c>
      <c r="CZ6" s="9" t="s">
        <v>69</v>
      </c>
      <c r="DB6" s="9">
        <v>4</v>
      </c>
      <c r="DC6" s="9">
        <v>2188.96</v>
      </c>
      <c r="DD6" s="9">
        <f t="shared" si="43"/>
        <v>639.76000000000022</v>
      </c>
      <c r="DE6" s="17">
        <f t="shared" si="44"/>
        <v>60.349023677011601</v>
      </c>
      <c r="DF6" s="17">
        <f t="shared" si="45"/>
        <v>139.50283471434801</v>
      </c>
      <c r="DG6" s="9" t="s">
        <v>100</v>
      </c>
      <c r="DI6" s="9">
        <v>4</v>
      </c>
      <c r="DJ6" s="9">
        <v>2025.11</v>
      </c>
      <c r="DK6" s="9">
        <f t="shared" si="46"/>
        <v>475.91000000000008</v>
      </c>
      <c r="DL6" s="17">
        <f t="shared" si="47"/>
        <v>44.892934628808597</v>
      </c>
      <c r="DM6" s="17">
        <f t="shared" si="48"/>
        <v>74.388833312492181</v>
      </c>
      <c r="DN6" s="9" t="s">
        <v>100</v>
      </c>
      <c r="DP6" s="9">
        <v>4</v>
      </c>
      <c r="DQ6" s="9">
        <v>1936</v>
      </c>
      <c r="DR6" s="9">
        <f t="shared" si="49"/>
        <v>386.80000000000018</v>
      </c>
      <c r="DS6" s="17">
        <f t="shared" si="50"/>
        <v>36.487123856239982</v>
      </c>
      <c r="DT6" s="17">
        <f t="shared" si="51"/>
        <v>81.275871488306635</v>
      </c>
      <c r="DU6" s="9" t="s">
        <v>100</v>
      </c>
      <c r="DV6" s="9">
        <v>742.07000000000028</v>
      </c>
      <c r="DW6" s="23">
        <f t="shared" si="52"/>
        <v>355.2700000000001</v>
      </c>
      <c r="DY6" s="9">
        <v>4</v>
      </c>
      <c r="DZ6" s="9">
        <v>2148.92</v>
      </c>
      <c r="EA6" s="9">
        <f t="shared" si="53"/>
        <v>599.72000000000025</v>
      </c>
      <c r="EB6" s="17">
        <f t="shared" si="54"/>
        <v>56.572021507404969</v>
      </c>
      <c r="EC6" s="18">
        <f t="shared" si="55"/>
        <v>155.04653567735264</v>
      </c>
      <c r="ED6" s="9" t="s">
        <v>104</v>
      </c>
      <c r="EE6" s="9">
        <v>742.07000000000028</v>
      </c>
      <c r="EF6" s="17">
        <f t="shared" si="56"/>
        <v>142.35000000000002</v>
      </c>
      <c r="EH6" s="9">
        <v>4</v>
      </c>
      <c r="EI6" s="9">
        <v>1926.78</v>
      </c>
      <c r="EJ6" s="9">
        <f t="shared" si="57"/>
        <v>377.58000000000015</v>
      </c>
      <c r="EK6" s="17">
        <f t="shared" si="58"/>
        <v>35.61739458541647</v>
      </c>
      <c r="EL6" s="18">
        <f t="shared" si="59"/>
        <v>62.959381044487429</v>
      </c>
      <c r="EM6" s="51" t="s">
        <v>104</v>
      </c>
      <c r="EN6" s="9">
        <v>742.07000000000028</v>
      </c>
      <c r="EO6" s="17">
        <f t="shared" si="60"/>
        <v>364.49000000000012</v>
      </c>
      <c r="EQ6" s="9">
        <v>4</v>
      </c>
      <c r="ER6" s="9">
        <v>2207.9299999999998</v>
      </c>
      <c r="ES6" s="9">
        <f t="shared" si="61"/>
        <v>658.73</v>
      </c>
      <c r="ET6" s="23">
        <f t="shared" si="62"/>
        <v>62.138477502122427</v>
      </c>
      <c r="EU6" s="18">
        <f t="shared" si="63"/>
        <v>174.46104136871651</v>
      </c>
      <c r="EV6" s="9" t="s">
        <v>116</v>
      </c>
      <c r="EW6" s="9">
        <v>742.07000000000028</v>
      </c>
      <c r="EX6" s="17">
        <f t="shared" si="64"/>
        <v>83.340000000000259</v>
      </c>
    </row>
    <row r="7" spans="1:154" x14ac:dyDescent="0.25">
      <c r="A7" s="9">
        <v>5</v>
      </c>
      <c r="B7" s="9">
        <v>1.3794</v>
      </c>
      <c r="C7" s="9">
        <v>0.41020000000000001</v>
      </c>
      <c r="D7" s="12">
        <f>SUM(B7,C7)</f>
        <v>1.7896000000000001</v>
      </c>
      <c r="F7" s="9">
        <v>5</v>
      </c>
      <c r="G7" s="9">
        <v>2.8687999999999998</v>
      </c>
      <c r="K7" s="9">
        <v>5</v>
      </c>
      <c r="L7" s="17">
        <v>2813.5</v>
      </c>
      <c r="M7" s="19">
        <f t="shared" si="2"/>
        <v>1079.1999999999998</v>
      </c>
      <c r="N7" s="29">
        <f t="shared" si="3"/>
        <v>1023.8999999999999</v>
      </c>
      <c r="O7" s="18">
        <f t="shared" si="4"/>
        <v>94.875833951074867</v>
      </c>
      <c r="P7" s="17">
        <f t="shared" si="0"/>
        <v>55.299999999999727</v>
      </c>
      <c r="Q7" s="9">
        <v>2814.75</v>
      </c>
      <c r="R7" s="17">
        <f t="shared" si="5"/>
        <v>1.25</v>
      </c>
      <c r="S7" s="31">
        <f t="shared" si="6"/>
        <v>1025.1499999999999</v>
      </c>
      <c r="T7" s="23">
        <f t="shared" si="7"/>
        <v>94.991660489251302</v>
      </c>
      <c r="V7" s="9">
        <v>5</v>
      </c>
      <c r="W7" s="9">
        <v>2829.3</v>
      </c>
      <c r="X7" s="30">
        <f t="shared" si="8"/>
        <v>1039.7</v>
      </c>
      <c r="Y7" s="18">
        <f t="shared" si="9"/>
        <v>96.339881393624921</v>
      </c>
      <c r="Z7" s="17">
        <f t="shared" si="10"/>
        <v>101.41930449202559</v>
      </c>
      <c r="AB7" s="9">
        <v>5</v>
      </c>
      <c r="AC7" s="9">
        <v>2818.82</v>
      </c>
      <c r="AD7" s="31">
        <f t="shared" si="11"/>
        <v>1029.22</v>
      </c>
      <c r="AE7" s="18">
        <f t="shared" si="12"/>
        <v>95.368791697553775</v>
      </c>
      <c r="AF7" s="17">
        <f t="shared" si="13"/>
        <v>98.992016927959995</v>
      </c>
      <c r="AG7" s="9" t="s">
        <v>56</v>
      </c>
      <c r="AI7" s="9">
        <v>5</v>
      </c>
      <c r="AJ7" s="9">
        <v>2804.08</v>
      </c>
      <c r="AK7" s="9">
        <f t="shared" si="14"/>
        <v>1014.4799999999998</v>
      </c>
      <c r="AL7" s="17">
        <f t="shared" si="15"/>
        <v>94.002965159377311</v>
      </c>
      <c r="AM7" s="17">
        <f t="shared" si="16"/>
        <v>98.567847496162116</v>
      </c>
      <c r="AN7" s="9" t="s">
        <v>57</v>
      </c>
      <c r="AP7" s="9">
        <v>5</v>
      </c>
      <c r="AQ7" s="9">
        <v>2784.34</v>
      </c>
      <c r="AR7" s="9">
        <f t="shared" si="17"/>
        <v>994.74</v>
      </c>
      <c r="AS7" s="17">
        <f t="shared" si="18"/>
        <v>92.173832468495192</v>
      </c>
      <c r="AT7" s="17">
        <f t="shared" si="19"/>
        <v>98.054175538206792</v>
      </c>
      <c r="AU7" s="9" t="s">
        <v>57</v>
      </c>
      <c r="AW7" s="9">
        <v>5</v>
      </c>
      <c r="AX7" s="9">
        <v>2694.14</v>
      </c>
      <c r="AY7" s="11">
        <f t="shared" si="20"/>
        <v>904.53999999999974</v>
      </c>
      <c r="AZ7" s="17">
        <f t="shared" si="21"/>
        <v>83.815789473684205</v>
      </c>
      <c r="BA7" s="17">
        <f t="shared" si="22"/>
        <v>90.932303918611865</v>
      </c>
      <c r="BB7" s="9" t="s">
        <v>60</v>
      </c>
      <c r="BD7" s="9">
        <v>5</v>
      </c>
      <c r="BE7" s="9">
        <v>2653.22</v>
      </c>
      <c r="BF7" s="9">
        <f t="shared" si="23"/>
        <v>863.61999999999966</v>
      </c>
      <c r="BG7" s="17">
        <f t="shared" si="24"/>
        <v>80.024091919940673</v>
      </c>
      <c r="BH7" s="17">
        <f t="shared" si="25"/>
        <v>95.476153625046976</v>
      </c>
      <c r="BI7" s="9" t="s">
        <v>60</v>
      </c>
      <c r="BK7" s="9">
        <v>5</v>
      </c>
      <c r="BL7" s="9">
        <v>2593.1</v>
      </c>
      <c r="BM7" s="9">
        <f t="shared" si="26"/>
        <v>803.49999999999977</v>
      </c>
      <c r="BN7" s="17">
        <f t="shared" si="27"/>
        <v>74.453298739807266</v>
      </c>
      <c r="BO7" s="17">
        <f t="shared" si="28"/>
        <v>93.038604941988396</v>
      </c>
      <c r="BP7" s="9" t="s">
        <v>62</v>
      </c>
      <c r="BR7" s="9">
        <v>5</v>
      </c>
      <c r="BS7" s="9">
        <v>2527.7199999999998</v>
      </c>
      <c r="BT7" s="9">
        <f t="shared" si="29"/>
        <v>738.11999999999966</v>
      </c>
      <c r="BU7" s="17">
        <f t="shared" si="30"/>
        <v>68.395107487027403</v>
      </c>
      <c r="BV7" s="17">
        <f t="shared" si="31"/>
        <v>91.863098942128175</v>
      </c>
      <c r="BW7" s="9" t="s">
        <v>62</v>
      </c>
      <c r="BY7" s="9">
        <v>5</v>
      </c>
      <c r="BZ7" s="9">
        <v>18.38</v>
      </c>
      <c r="CA7" s="9">
        <v>2457.16</v>
      </c>
      <c r="CB7" s="9">
        <f t="shared" si="32"/>
        <v>667.55999999999972</v>
      </c>
      <c r="CC7" s="17">
        <f t="shared" si="33"/>
        <v>61.85693106004446</v>
      </c>
      <c r="CD7" s="17">
        <f t="shared" si="34"/>
        <v>90.440578767680051</v>
      </c>
      <c r="CE7" s="9" t="s">
        <v>62</v>
      </c>
      <c r="CG7" s="9">
        <v>5</v>
      </c>
      <c r="CH7" s="9">
        <v>2320.77</v>
      </c>
      <c r="CI7" s="9">
        <f t="shared" si="1"/>
        <v>531.16999999999985</v>
      </c>
      <c r="CJ7" s="17">
        <f t="shared" si="35"/>
        <v>49.21886582653817</v>
      </c>
      <c r="CK7" s="17">
        <f t="shared" si="36"/>
        <v>79.568877703876822</v>
      </c>
      <c r="CL7" s="9" t="s">
        <v>76</v>
      </c>
      <c r="CN7" s="9">
        <v>5</v>
      </c>
      <c r="CO7" s="9">
        <v>2456.1</v>
      </c>
      <c r="CP7" s="9">
        <f t="shared" si="37"/>
        <v>666.49999999999977</v>
      </c>
      <c r="CQ7" s="17">
        <f t="shared" si="38"/>
        <v>61.758710155670862</v>
      </c>
      <c r="CR7" s="17">
        <f t="shared" si="39"/>
        <v>125.47771899768433</v>
      </c>
      <c r="CS7" s="9" t="s">
        <v>69</v>
      </c>
      <c r="CU7" s="9">
        <v>5</v>
      </c>
      <c r="CV7" s="9">
        <v>2356.71</v>
      </c>
      <c r="CW7" s="9">
        <f t="shared" si="40"/>
        <v>567.1099999999999</v>
      </c>
      <c r="CX7" s="17">
        <f t="shared" si="41"/>
        <v>52.54911045218681</v>
      </c>
      <c r="CY7" s="17">
        <f t="shared" si="42"/>
        <v>85.087771942985754</v>
      </c>
      <c r="CZ7" s="9" t="s">
        <v>69</v>
      </c>
      <c r="DB7" s="9">
        <v>5</v>
      </c>
      <c r="DC7" s="9">
        <v>2436.4699999999998</v>
      </c>
      <c r="DD7" s="9">
        <f t="shared" si="43"/>
        <v>646.86999999999966</v>
      </c>
      <c r="DE7" s="17">
        <f t="shared" si="44"/>
        <v>59.939770200148232</v>
      </c>
      <c r="DF7" s="17">
        <f t="shared" si="45"/>
        <v>114.0642908783128</v>
      </c>
      <c r="DG7" s="9" t="s">
        <v>69</v>
      </c>
      <c r="DI7" s="9">
        <v>5</v>
      </c>
      <c r="DJ7" s="9">
        <v>2331.94</v>
      </c>
      <c r="DK7" s="9">
        <f t="shared" si="46"/>
        <v>542.33999999999992</v>
      </c>
      <c r="DL7" s="17">
        <f t="shared" si="47"/>
        <v>50.253891771682724</v>
      </c>
      <c r="DM7" s="17">
        <f t="shared" si="48"/>
        <v>83.840648043656401</v>
      </c>
      <c r="DN7" s="9" t="s">
        <v>100</v>
      </c>
      <c r="DP7" s="9">
        <v>5</v>
      </c>
      <c r="DQ7" s="9">
        <v>2286</v>
      </c>
      <c r="DR7" s="9">
        <f t="shared" si="49"/>
        <v>496.39999999999986</v>
      </c>
      <c r="DS7" s="17">
        <f t="shared" si="50"/>
        <v>45.997034840622682</v>
      </c>
      <c r="DT7" s="17">
        <f t="shared" si="51"/>
        <v>91.529298963749667</v>
      </c>
      <c r="DU7" s="9" t="s">
        <v>100</v>
      </c>
      <c r="DV7" s="9">
        <v>755.43999999999983</v>
      </c>
      <c r="DW7" s="23">
        <f t="shared" si="52"/>
        <v>259.03999999999996</v>
      </c>
      <c r="DY7" s="9">
        <v>5</v>
      </c>
      <c r="DZ7" s="9">
        <v>2403.5700000000002</v>
      </c>
      <c r="EA7" s="9">
        <f t="shared" si="53"/>
        <v>613.97</v>
      </c>
      <c r="EB7" s="17">
        <f t="shared" si="54"/>
        <v>56.891215715344714</v>
      </c>
      <c r="EC7" s="18">
        <f t="shared" si="55"/>
        <v>123.68452860596297</v>
      </c>
      <c r="ED7" s="9" t="s">
        <v>100</v>
      </c>
      <c r="EE7" s="9">
        <v>755.43999999999983</v>
      </c>
      <c r="EF7" s="17">
        <f t="shared" si="56"/>
        <v>141.4699999999998</v>
      </c>
      <c r="EH7" s="9">
        <v>5</v>
      </c>
      <c r="EI7" s="9">
        <v>2235.5100000000002</v>
      </c>
      <c r="EJ7" s="9">
        <f t="shared" si="57"/>
        <v>445.91000000000008</v>
      </c>
      <c r="EK7" s="17">
        <f t="shared" si="58"/>
        <v>41.318569310600459</v>
      </c>
      <c r="EL7" s="18">
        <f t="shared" si="59"/>
        <v>72.627327068097799</v>
      </c>
      <c r="EM7" s="51" t="s">
        <v>104</v>
      </c>
      <c r="EN7" s="9">
        <v>755.43999999999983</v>
      </c>
      <c r="EO7" s="17">
        <f t="shared" si="60"/>
        <v>309.52999999999975</v>
      </c>
      <c r="EQ7" s="9">
        <v>5</v>
      </c>
      <c r="ER7" s="9">
        <v>2458.84</v>
      </c>
      <c r="ES7" s="9">
        <f t="shared" si="61"/>
        <v>669.24</v>
      </c>
      <c r="ET7" s="23">
        <f t="shared" si="62"/>
        <v>62.012601927353607</v>
      </c>
      <c r="EU7" s="18">
        <f t="shared" si="63"/>
        <v>150.08409768787422</v>
      </c>
      <c r="EV7" s="9" t="s">
        <v>100</v>
      </c>
      <c r="EW7" s="9">
        <v>755.43999999999983</v>
      </c>
      <c r="EX7" s="17">
        <f t="shared" si="64"/>
        <v>86.199999999999818</v>
      </c>
    </row>
    <row r="8" spans="1:154" x14ac:dyDescent="0.25">
      <c r="A8" s="9">
        <v>6</v>
      </c>
      <c r="B8" s="9">
        <v>1.4078999999999999</v>
      </c>
      <c r="C8" s="9">
        <v>0.40610000000000002</v>
      </c>
      <c r="D8" s="12">
        <f t="shared" ref="D8:D18" si="65">SUM(B8,C8)</f>
        <v>1.8140000000000001</v>
      </c>
      <c r="F8" s="9">
        <v>6</v>
      </c>
      <c r="G8" s="9">
        <v>2.8502999999999998</v>
      </c>
      <c r="K8" s="9">
        <v>6</v>
      </c>
      <c r="L8" s="17">
        <v>2800.6</v>
      </c>
      <c r="M8" s="19">
        <f t="shared" si="2"/>
        <v>1036.2999999999997</v>
      </c>
      <c r="N8" s="17">
        <f t="shared" si="3"/>
        <v>986.59999999999991</v>
      </c>
      <c r="O8" s="18">
        <f t="shared" si="4"/>
        <v>95.204091479301383</v>
      </c>
      <c r="P8" s="17">
        <f t="shared" si="0"/>
        <v>49.699999999999818</v>
      </c>
      <c r="Q8" s="9">
        <v>2800.11</v>
      </c>
      <c r="R8" s="17">
        <f t="shared" si="5"/>
        <v>-0.48999999999978172</v>
      </c>
      <c r="S8" s="26">
        <f t="shared" si="6"/>
        <v>986.11000000000013</v>
      </c>
      <c r="T8" s="23">
        <f t="shared" si="7"/>
        <v>95.156807874167754</v>
      </c>
      <c r="V8" s="9">
        <v>6</v>
      </c>
      <c r="W8" s="9">
        <v>2786.89</v>
      </c>
      <c r="X8" s="11">
        <f t="shared" si="8"/>
        <v>972.88999999999987</v>
      </c>
      <c r="Y8" s="18">
        <f t="shared" si="9"/>
        <v>93.881115507092545</v>
      </c>
      <c r="Z8" s="17">
        <f t="shared" si="10"/>
        <v>98.659378771130974</v>
      </c>
      <c r="AB8" s="9">
        <v>6</v>
      </c>
      <c r="AC8" s="9">
        <v>2772.74</v>
      </c>
      <c r="AD8" s="9">
        <f t="shared" si="11"/>
        <v>958.73999999999978</v>
      </c>
      <c r="AE8" s="18">
        <f t="shared" si="12"/>
        <v>92.51568078741677</v>
      </c>
      <c r="AF8" s="17">
        <f t="shared" si="13"/>
        <v>98.545570413921396</v>
      </c>
      <c r="AG8" s="9" t="s">
        <v>57</v>
      </c>
      <c r="AI8" s="9">
        <v>6</v>
      </c>
      <c r="AJ8" s="9">
        <v>2753.35</v>
      </c>
      <c r="AK8" s="9">
        <f t="shared" si="14"/>
        <v>939.34999999999991</v>
      </c>
      <c r="AL8" s="17">
        <f t="shared" si="15"/>
        <v>90.64460098427098</v>
      </c>
      <c r="AM8" s="17">
        <f t="shared" si="16"/>
        <v>97.97755387279139</v>
      </c>
      <c r="AN8" s="9" t="s">
        <v>57</v>
      </c>
      <c r="AP8" s="9">
        <v>6</v>
      </c>
      <c r="AQ8" s="9">
        <v>2726.63</v>
      </c>
      <c r="AR8" s="9">
        <f t="shared" si="17"/>
        <v>912.63000000000011</v>
      </c>
      <c r="AS8" s="17">
        <f t="shared" si="18"/>
        <v>88.066197047187146</v>
      </c>
      <c r="AT8" s="17">
        <f t="shared" si="19"/>
        <v>97.155479853089915</v>
      </c>
      <c r="AU8" s="9" t="s">
        <v>57</v>
      </c>
      <c r="AW8" s="9">
        <v>6</v>
      </c>
      <c r="AX8" s="9">
        <v>2606.89</v>
      </c>
      <c r="AY8" s="11">
        <f t="shared" si="20"/>
        <v>792.88999999999987</v>
      </c>
      <c r="AZ8" s="17">
        <f t="shared" si="21"/>
        <v>76.511627906976756</v>
      </c>
      <c r="BA8" s="17">
        <f t="shared" si="22"/>
        <v>86.879677415820183</v>
      </c>
      <c r="BB8" s="9" t="s">
        <v>60</v>
      </c>
      <c r="BD8" s="9">
        <v>6</v>
      </c>
      <c r="BE8" s="9">
        <v>2549.77</v>
      </c>
      <c r="BF8" s="9">
        <f t="shared" si="23"/>
        <v>735.77</v>
      </c>
      <c r="BG8" s="17">
        <f t="shared" si="24"/>
        <v>70.999710508540019</v>
      </c>
      <c r="BH8" s="17">
        <f t="shared" si="25"/>
        <v>92.795974220888155</v>
      </c>
      <c r="BI8" s="9" t="s">
        <v>62</v>
      </c>
      <c r="BK8" s="9">
        <v>6</v>
      </c>
      <c r="BL8" s="9">
        <v>2472.65</v>
      </c>
      <c r="BM8" s="9">
        <f t="shared" si="26"/>
        <v>658.65000000000009</v>
      </c>
      <c r="BN8" s="17">
        <f t="shared" si="27"/>
        <v>63.557850043423748</v>
      </c>
      <c r="BO8" s="17">
        <f t="shared" si="28"/>
        <v>89.518463650325515</v>
      </c>
      <c r="BP8" s="9" t="s">
        <v>62</v>
      </c>
      <c r="BR8" s="9">
        <v>6</v>
      </c>
      <c r="BS8" s="9">
        <v>2391.61</v>
      </c>
      <c r="BT8" s="9">
        <f t="shared" si="29"/>
        <v>577.61000000000013</v>
      </c>
      <c r="BU8" s="17">
        <f t="shared" si="30"/>
        <v>55.737720737238284</v>
      </c>
      <c r="BV8" s="17">
        <f t="shared" si="31"/>
        <v>87.696044940408413</v>
      </c>
      <c r="BW8" s="9" t="s">
        <v>62</v>
      </c>
      <c r="BY8" s="9">
        <v>6</v>
      </c>
      <c r="BZ8" s="9">
        <v>-13.21</v>
      </c>
      <c r="CA8" s="9">
        <v>2580.31</v>
      </c>
      <c r="CB8" s="9">
        <f t="shared" si="32"/>
        <v>766.31</v>
      </c>
      <c r="CC8" s="17">
        <f t="shared" si="33"/>
        <v>73.946733571359658</v>
      </c>
      <c r="CD8" s="17">
        <f t="shared" si="34"/>
        <v>132.66910198923145</v>
      </c>
      <c r="CE8" s="9" t="s">
        <v>69</v>
      </c>
      <c r="CG8" s="9">
        <v>6</v>
      </c>
      <c r="CH8" s="9">
        <v>2281.02</v>
      </c>
      <c r="CI8" s="9">
        <f t="shared" si="1"/>
        <v>467.02</v>
      </c>
      <c r="CJ8" s="17">
        <f t="shared" si="35"/>
        <v>45.066100550033781</v>
      </c>
      <c r="CK8" s="17">
        <f t="shared" si="36"/>
        <v>60.944004384648508</v>
      </c>
      <c r="CL8" s="9" t="s">
        <v>76</v>
      </c>
      <c r="CN8" s="9">
        <v>6</v>
      </c>
      <c r="CO8" s="9">
        <v>2428.37</v>
      </c>
      <c r="CP8" s="9">
        <f t="shared" si="37"/>
        <v>614.36999999999989</v>
      </c>
      <c r="CQ8" s="17">
        <f t="shared" si="38"/>
        <v>59.284956093795238</v>
      </c>
      <c r="CR8" s="17">
        <f t="shared" si="39"/>
        <v>131.55111130144317</v>
      </c>
      <c r="CS8" s="9" t="s">
        <v>69</v>
      </c>
      <c r="CU8" s="9">
        <v>6</v>
      </c>
      <c r="CV8" s="9">
        <v>2299.42</v>
      </c>
      <c r="CW8" s="9">
        <f t="shared" si="40"/>
        <v>485.42000000000007</v>
      </c>
      <c r="CX8" s="17">
        <f t="shared" si="41"/>
        <v>46.841648171378964</v>
      </c>
      <c r="CY8" s="17">
        <f t="shared" si="42"/>
        <v>79.011019418265889</v>
      </c>
      <c r="CZ8" s="9" t="s">
        <v>100</v>
      </c>
      <c r="DB8" s="9">
        <v>6</v>
      </c>
      <c r="DC8" s="9">
        <v>2415.14</v>
      </c>
      <c r="DD8" s="9">
        <f t="shared" si="43"/>
        <v>601.13999999999987</v>
      </c>
      <c r="DE8" s="17">
        <f t="shared" si="44"/>
        <v>58.008298755186729</v>
      </c>
      <c r="DF8" s="17">
        <f t="shared" si="45"/>
        <v>123.83914960240612</v>
      </c>
      <c r="DG8" s="9" t="s">
        <v>100</v>
      </c>
      <c r="DI8" s="9">
        <v>6</v>
      </c>
      <c r="DJ8" s="9">
        <v>2273.04</v>
      </c>
      <c r="DK8" s="9">
        <f t="shared" si="46"/>
        <v>459.03999999999996</v>
      </c>
      <c r="DL8" s="17">
        <f t="shared" si="47"/>
        <v>44.29605326642865</v>
      </c>
      <c r="DM8" s="17">
        <f t="shared" si="48"/>
        <v>76.3615796653026</v>
      </c>
      <c r="DN8" s="9" t="s">
        <v>100</v>
      </c>
      <c r="DP8" s="9">
        <v>6</v>
      </c>
      <c r="DQ8" s="9">
        <v>2215</v>
      </c>
      <c r="DR8" s="9">
        <f t="shared" si="49"/>
        <v>401</v>
      </c>
      <c r="DS8" s="17">
        <f t="shared" si="50"/>
        <v>38.695358486924647</v>
      </c>
      <c r="DT8" s="17">
        <f t="shared" si="51"/>
        <v>87.356221680027886</v>
      </c>
      <c r="DU8" s="9" t="s">
        <v>100</v>
      </c>
      <c r="DV8" s="9">
        <v>725.40999999999985</v>
      </c>
      <c r="DW8" s="23">
        <f t="shared" si="52"/>
        <v>324.40999999999985</v>
      </c>
      <c r="DY8" s="9">
        <v>6</v>
      </c>
      <c r="DZ8" s="9">
        <v>2394.77</v>
      </c>
      <c r="EA8" s="9">
        <f t="shared" si="53"/>
        <v>580.77</v>
      </c>
      <c r="EB8" s="17">
        <f>EA8/$M8*100</f>
        <v>56.042651741773632</v>
      </c>
      <c r="EC8" s="18">
        <f t="shared" si="55"/>
        <v>144.83042394014961</v>
      </c>
      <c r="ED8" s="9" t="s">
        <v>104</v>
      </c>
      <c r="EE8" s="9">
        <v>725.40999999999985</v>
      </c>
      <c r="EF8" s="17">
        <f t="shared" si="56"/>
        <v>144.63999999999987</v>
      </c>
      <c r="EH8" s="9">
        <v>6</v>
      </c>
      <c r="EI8" s="9">
        <v>2192.0300000000002</v>
      </c>
      <c r="EJ8" s="9">
        <f t="shared" si="57"/>
        <v>378.0300000000002</v>
      </c>
      <c r="EK8" s="17">
        <f t="shared" si="58"/>
        <v>36.47881887484322</v>
      </c>
      <c r="EL8" s="18">
        <f t="shared" si="59"/>
        <v>65.091172064672804</v>
      </c>
      <c r="EM8" s="51" t="s">
        <v>104</v>
      </c>
      <c r="EN8" s="9">
        <v>725.40999999999985</v>
      </c>
      <c r="EO8" s="17">
        <f t="shared" si="60"/>
        <v>347.37999999999965</v>
      </c>
      <c r="EQ8" s="9">
        <v>6</v>
      </c>
      <c r="ER8" s="9">
        <v>2460.0700000000002</v>
      </c>
      <c r="ES8" s="9">
        <f t="shared" si="61"/>
        <v>646.07000000000016</v>
      </c>
      <c r="ET8" s="23">
        <f t="shared" si="62"/>
        <v>62.343915854482326</v>
      </c>
      <c r="EU8" s="18">
        <f t="shared" si="63"/>
        <v>170.90442557468978</v>
      </c>
      <c r="EV8" s="9" t="s">
        <v>104</v>
      </c>
      <c r="EW8" s="9">
        <v>725.40999999999985</v>
      </c>
      <c r="EX8" s="17">
        <f t="shared" si="64"/>
        <v>79.339999999999691</v>
      </c>
    </row>
    <row r="9" spans="1:154" x14ac:dyDescent="0.25">
      <c r="A9" s="9">
        <v>7</v>
      </c>
      <c r="B9" s="9">
        <v>1.2076</v>
      </c>
      <c r="C9" s="9">
        <v>0.40810000000000002</v>
      </c>
      <c r="D9" s="12">
        <f t="shared" si="65"/>
        <v>1.6156999999999999</v>
      </c>
      <c r="F9" s="9">
        <v>7</v>
      </c>
      <c r="G9" s="9">
        <v>2.5884999999999998</v>
      </c>
      <c r="K9" s="14">
        <v>7</v>
      </c>
      <c r="L9" s="27">
        <v>2545.3000000000002</v>
      </c>
      <c r="M9" s="28">
        <f t="shared" si="2"/>
        <v>972.79999999999984</v>
      </c>
      <c r="N9" s="27">
        <f t="shared" si="3"/>
        <v>929.60000000000036</v>
      </c>
      <c r="O9" s="25">
        <f t="shared" si="4"/>
        <v>95.559210526315837</v>
      </c>
      <c r="P9" s="27">
        <f t="shared" si="0"/>
        <v>43.199999999999818</v>
      </c>
      <c r="Q9" s="14">
        <v>0</v>
      </c>
      <c r="R9" s="27">
        <f t="shared" si="5"/>
        <v>-2545.3000000000002</v>
      </c>
      <c r="S9" s="14">
        <f t="shared" si="6"/>
        <v>-1615.6999999999998</v>
      </c>
      <c r="T9" s="27">
        <f t="shared" si="7"/>
        <v>-166.08758223684214</v>
      </c>
      <c r="V9" s="14">
        <v>7</v>
      </c>
      <c r="W9" s="14">
        <v>0</v>
      </c>
      <c r="X9" s="24">
        <f t="shared" si="8"/>
        <v>-1615.6999999999998</v>
      </c>
      <c r="Y9" s="25">
        <f t="shared" si="9"/>
        <v>-166.08758223684214</v>
      </c>
      <c r="Z9" s="27">
        <f t="shared" si="10"/>
        <v>100</v>
      </c>
      <c r="AB9" s="14">
        <v>7</v>
      </c>
      <c r="AC9" s="14">
        <v>0</v>
      </c>
      <c r="AD9" s="14">
        <f t="shared" si="11"/>
        <v>-1615.6999999999998</v>
      </c>
      <c r="AE9" s="25">
        <f t="shared" si="12"/>
        <v>-166.08758223684214</v>
      </c>
      <c r="AF9" s="27">
        <f t="shared" si="13"/>
        <v>100</v>
      </c>
      <c r="AG9" s="14" t="s">
        <v>56</v>
      </c>
      <c r="AI9" s="14">
        <v>7</v>
      </c>
      <c r="AJ9" s="14">
        <v>0</v>
      </c>
      <c r="AK9" s="14">
        <f t="shared" si="14"/>
        <v>-1615.6999999999998</v>
      </c>
      <c r="AL9" s="27">
        <f t="shared" si="15"/>
        <v>-166.08758223684214</v>
      </c>
      <c r="AM9" s="27">
        <f t="shared" si="16"/>
        <v>100</v>
      </c>
      <c r="AN9" s="14" t="s">
        <v>57</v>
      </c>
      <c r="AP9" s="14">
        <v>7</v>
      </c>
      <c r="AQ9" s="14">
        <v>0</v>
      </c>
      <c r="AR9" s="14">
        <f t="shared" si="17"/>
        <v>-1615.6999999999998</v>
      </c>
      <c r="AS9" s="27">
        <f t="shared" si="18"/>
        <v>-166.08758223684214</v>
      </c>
      <c r="AT9" s="27">
        <f t="shared" si="19"/>
        <v>100</v>
      </c>
      <c r="AU9" s="14" t="s">
        <v>57</v>
      </c>
      <c r="AW9" s="14">
        <v>7</v>
      </c>
      <c r="AX9" s="14">
        <v>0</v>
      </c>
      <c r="AY9" s="24">
        <f t="shared" si="20"/>
        <v>-1615.6999999999998</v>
      </c>
      <c r="AZ9" s="27">
        <f t="shared" si="21"/>
        <v>-166.08758223684214</v>
      </c>
      <c r="BA9" s="27">
        <f t="shared" si="22"/>
        <v>100</v>
      </c>
      <c r="BB9" s="14" t="s">
        <v>60</v>
      </c>
      <c r="BD9" s="14">
        <v>7</v>
      </c>
      <c r="BE9" s="14">
        <v>0</v>
      </c>
      <c r="BF9" s="14">
        <f t="shared" si="23"/>
        <v>-1615.6999999999998</v>
      </c>
      <c r="BG9" s="27">
        <f t="shared" si="24"/>
        <v>-166.08758223684214</v>
      </c>
      <c r="BH9" s="27">
        <f t="shared" si="25"/>
        <v>100</v>
      </c>
      <c r="BI9" s="14" t="s">
        <v>60</v>
      </c>
      <c r="BK9" s="14">
        <v>7</v>
      </c>
      <c r="BL9" s="14">
        <v>0</v>
      </c>
      <c r="BM9" s="14">
        <f t="shared" si="26"/>
        <v>-1615.6999999999998</v>
      </c>
      <c r="BN9" s="27">
        <f t="shared" si="27"/>
        <v>-166.08758223684214</v>
      </c>
      <c r="BO9" s="27">
        <f t="shared" si="28"/>
        <v>100</v>
      </c>
      <c r="BP9" s="14" t="s">
        <v>60</v>
      </c>
      <c r="BR9" s="14">
        <v>7</v>
      </c>
      <c r="BS9" s="14">
        <v>0</v>
      </c>
      <c r="BT9" s="14">
        <f t="shared" si="29"/>
        <v>-1615.6999999999998</v>
      </c>
      <c r="BU9" s="27">
        <f t="shared" si="30"/>
        <v>-166.08758223684214</v>
      </c>
      <c r="BV9" s="27">
        <f t="shared" si="31"/>
        <v>100</v>
      </c>
      <c r="BW9" s="14" t="s">
        <v>62</v>
      </c>
      <c r="BY9" s="14">
        <v>7</v>
      </c>
      <c r="BZ9" s="14">
        <v>0</v>
      </c>
      <c r="CA9" s="14">
        <v>0</v>
      </c>
      <c r="CB9" s="14">
        <f t="shared" si="32"/>
        <v>-1615.6999999999998</v>
      </c>
      <c r="CC9" s="27">
        <f t="shared" si="33"/>
        <v>-166.08758223684214</v>
      </c>
      <c r="CD9" s="27">
        <f t="shared" si="34"/>
        <v>100</v>
      </c>
      <c r="CE9" s="14" t="s">
        <v>62</v>
      </c>
      <c r="CG9" s="14">
        <v>7</v>
      </c>
      <c r="CH9" s="14">
        <v>0</v>
      </c>
      <c r="CI9" s="14">
        <f t="shared" si="1"/>
        <v>-1615.6999999999998</v>
      </c>
      <c r="CJ9" s="27">
        <f t="shared" si="35"/>
        <v>-166.08758223684214</v>
      </c>
      <c r="CK9" s="27">
        <f t="shared" si="36"/>
        <v>100</v>
      </c>
      <c r="CL9" s="14" t="s">
        <v>76</v>
      </c>
      <c r="CN9" s="14">
        <v>7</v>
      </c>
      <c r="CO9" s="14">
        <v>0</v>
      </c>
      <c r="CP9" s="14">
        <f t="shared" si="37"/>
        <v>-1615.6999999999998</v>
      </c>
      <c r="CQ9" s="27">
        <f t="shared" si="38"/>
        <v>-166.08758223684214</v>
      </c>
      <c r="CR9" s="27">
        <f t="shared" si="39"/>
        <v>100</v>
      </c>
      <c r="CS9" s="14" t="s">
        <v>69</v>
      </c>
      <c r="CU9" s="14">
        <v>7</v>
      </c>
      <c r="CV9" s="14">
        <v>0</v>
      </c>
      <c r="CW9" s="14">
        <f t="shared" si="40"/>
        <v>-1615.6999999999998</v>
      </c>
      <c r="CX9" s="27">
        <f t="shared" si="41"/>
        <v>-166.08758223684214</v>
      </c>
      <c r="CY9" s="27">
        <f t="shared" si="42"/>
        <v>100</v>
      </c>
      <c r="CZ9" s="14" t="s">
        <v>69</v>
      </c>
      <c r="DB9" s="14">
        <v>7</v>
      </c>
      <c r="DC9" s="14">
        <v>0</v>
      </c>
      <c r="DD9" s="14">
        <f t="shared" si="43"/>
        <v>-1615.6999999999998</v>
      </c>
      <c r="DE9" s="27">
        <f t="shared" si="44"/>
        <v>-166.08758223684214</v>
      </c>
      <c r="DF9" s="27">
        <f t="shared" si="45"/>
        <v>100</v>
      </c>
      <c r="DG9" s="14" t="s">
        <v>69</v>
      </c>
      <c r="DI9" s="14">
        <v>7</v>
      </c>
      <c r="DJ9" s="14">
        <v>0</v>
      </c>
      <c r="DK9" s="14">
        <f t="shared" si="46"/>
        <v>-1615.6999999999998</v>
      </c>
      <c r="DL9" s="27">
        <f t="shared" si="47"/>
        <v>-166.08758223684214</v>
      </c>
      <c r="DM9" s="27">
        <f t="shared" si="48"/>
        <v>100</v>
      </c>
      <c r="DN9" s="14" t="s">
        <v>69</v>
      </c>
      <c r="DP9" s="14">
        <v>7</v>
      </c>
      <c r="DQ9" s="14"/>
      <c r="DR9" s="14">
        <f t="shared" si="49"/>
        <v>-1615.6999999999998</v>
      </c>
      <c r="DS9" s="27">
        <f t="shared" si="50"/>
        <v>-166.08758223684214</v>
      </c>
      <c r="DT9" s="27">
        <f t="shared" si="51"/>
        <v>100</v>
      </c>
      <c r="DU9" s="14" t="s">
        <v>69</v>
      </c>
      <c r="DV9" s="14">
        <v>680.95999999999981</v>
      </c>
      <c r="DW9" s="27">
        <f t="shared" si="52"/>
        <v>2296.66</v>
      </c>
      <c r="DY9" s="14">
        <v>7</v>
      </c>
      <c r="DZ9" s="14">
        <v>0</v>
      </c>
      <c r="EA9" s="14">
        <f t="shared" si="53"/>
        <v>-1615.6999999999998</v>
      </c>
      <c r="EB9" s="27">
        <f t="shared" si="54"/>
        <v>-166.08758223684214</v>
      </c>
      <c r="EC9" s="25">
        <f t="shared" si="55"/>
        <v>100</v>
      </c>
      <c r="ED9" s="14" t="s">
        <v>100</v>
      </c>
      <c r="EE9" s="14">
        <v>680.95999999999981</v>
      </c>
      <c r="EF9" s="27">
        <f t="shared" si="56"/>
        <v>2296.66</v>
      </c>
      <c r="EH9" s="14">
        <v>7</v>
      </c>
      <c r="EI9" s="14">
        <v>0</v>
      </c>
      <c r="EJ9" s="14">
        <f t="shared" si="57"/>
        <v>-1615.6999999999998</v>
      </c>
      <c r="EK9" s="27">
        <f t="shared" si="58"/>
        <v>-166.08758223684214</v>
      </c>
      <c r="EL9" s="25">
        <f t="shared" si="59"/>
        <v>100</v>
      </c>
      <c r="EM9" s="52" t="s">
        <v>100</v>
      </c>
      <c r="EN9" s="14">
        <v>680.95999999999981</v>
      </c>
      <c r="EO9" s="27">
        <f t="shared" si="60"/>
        <v>2296.66</v>
      </c>
      <c r="EQ9" s="14">
        <v>7</v>
      </c>
      <c r="ER9" s="14"/>
      <c r="ES9" s="14">
        <f t="shared" si="61"/>
        <v>-1615.6999999999998</v>
      </c>
      <c r="ET9" s="23">
        <f t="shared" si="62"/>
        <v>-166.08758223684214</v>
      </c>
      <c r="EU9" s="25">
        <f t="shared" si="63"/>
        <v>100</v>
      </c>
      <c r="EV9" s="14" t="s">
        <v>104</v>
      </c>
      <c r="EW9" s="14">
        <v>680.95999999999981</v>
      </c>
      <c r="EX9" s="27">
        <f t="shared" si="64"/>
        <v>2296.66</v>
      </c>
    </row>
    <row r="10" spans="1:154" x14ac:dyDescent="0.25">
      <c r="A10" s="9">
        <v>8</v>
      </c>
      <c r="B10" s="9">
        <v>1.1959</v>
      </c>
      <c r="C10" s="9">
        <v>0.40670000000000001</v>
      </c>
      <c r="D10" s="12">
        <f t="shared" si="65"/>
        <v>1.6026</v>
      </c>
      <c r="F10" s="9">
        <v>8</v>
      </c>
      <c r="G10" s="9">
        <v>2.6833999999999998</v>
      </c>
      <c r="K10" s="9">
        <v>8</v>
      </c>
      <c r="L10" s="17">
        <v>2599.5</v>
      </c>
      <c r="M10" s="19">
        <f t="shared" si="2"/>
        <v>1080.7999999999997</v>
      </c>
      <c r="N10" s="17">
        <f t="shared" si="3"/>
        <v>996.89999999999986</v>
      </c>
      <c r="O10" s="18">
        <f t="shared" si="4"/>
        <v>92.237231680236874</v>
      </c>
      <c r="P10" s="17">
        <f t="shared" si="0"/>
        <v>83.899999999999636</v>
      </c>
      <c r="Q10" s="9">
        <v>2600.7800000000002</v>
      </c>
      <c r="R10" s="17">
        <f t="shared" si="5"/>
        <v>1.2800000000002001</v>
      </c>
      <c r="S10" s="26">
        <f t="shared" si="6"/>
        <v>998.18000000000006</v>
      </c>
      <c r="T10" s="23">
        <f t="shared" si="7"/>
        <v>92.355662472242813</v>
      </c>
      <c r="V10" s="9">
        <v>8</v>
      </c>
      <c r="W10" s="9">
        <v>2591.3000000000002</v>
      </c>
      <c r="X10" s="11">
        <f t="shared" si="8"/>
        <v>988.7</v>
      </c>
      <c r="Y10" s="18">
        <f t="shared" si="9"/>
        <v>91.478534418948954</v>
      </c>
      <c r="Z10" s="17">
        <f t="shared" si="10"/>
        <v>99.050271494119286</v>
      </c>
      <c r="AB10" s="9">
        <v>8</v>
      </c>
      <c r="AC10" s="9">
        <v>2575.98</v>
      </c>
      <c r="AD10" s="9">
        <f t="shared" si="11"/>
        <v>973.37999999999988</v>
      </c>
      <c r="AE10" s="18">
        <f t="shared" si="12"/>
        <v>90.061065877128073</v>
      </c>
      <c r="AF10" s="17">
        <f t="shared" si="13"/>
        <v>98.450490543137434</v>
      </c>
      <c r="AG10" s="9" t="s">
        <v>56</v>
      </c>
      <c r="AI10" s="9">
        <v>8</v>
      </c>
      <c r="AJ10" s="9">
        <v>2556.5500000000002</v>
      </c>
      <c r="AK10" s="9">
        <f t="shared" si="14"/>
        <v>953.95</v>
      </c>
      <c r="AL10" s="17">
        <f t="shared" si="15"/>
        <v>88.263323464100694</v>
      </c>
      <c r="AM10" s="17">
        <f t="shared" si="16"/>
        <v>98.003862828494533</v>
      </c>
      <c r="AN10" s="9" t="s">
        <v>57</v>
      </c>
      <c r="AP10" s="9">
        <v>8</v>
      </c>
      <c r="AQ10" s="9">
        <v>2530.14</v>
      </c>
      <c r="AR10" s="9">
        <f t="shared" si="17"/>
        <v>927.53999999999974</v>
      </c>
      <c r="AS10" s="17">
        <f t="shared" si="18"/>
        <v>85.819763138415979</v>
      </c>
      <c r="AT10" s="17">
        <f t="shared" si="19"/>
        <v>97.23151108548663</v>
      </c>
      <c r="AU10" s="9" t="s">
        <v>57</v>
      </c>
      <c r="AW10" s="9">
        <v>8</v>
      </c>
      <c r="AX10" s="9">
        <v>2413.63</v>
      </c>
      <c r="AY10" s="11">
        <f t="shared" si="20"/>
        <v>811.03</v>
      </c>
      <c r="AZ10" s="17">
        <f t="shared" si="21"/>
        <v>75.039785344189497</v>
      </c>
      <c r="BA10" s="17">
        <f t="shared" si="22"/>
        <v>87.438816654807354</v>
      </c>
      <c r="BB10" s="9" t="s">
        <v>60</v>
      </c>
      <c r="BD10" s="9">
        <v>8</v>
      </c>
      <c r="BE10" s="9">
        <v>2367.02</v>
      </c>
      <c r="BF10" s="9">
        <f t="shared" si="23"/>
        <v>764.41999999999985</v>
      </c>
      <c r="BG10" s="17">
        <f t="shared" si="24"/>
        <v>70.727239082161361</v>
      </c>
      <c r="BH10" s="17">
        <f t="shared" si="25"/>
        <v>94.252986942529844</v>
      </c>
      <c r="BI10" s="9" t="s">
        <v>60</v>
      </c>
      <c r="BK10" s="9">
        <v>8</v>
      </c>
      <c r="BL10" s="9">
        <v>2304.42</v>
      </c>
      <c r="BM10" s="9">
        <f t="shared" si="26"/>
        <v>701.81999999999994</v>
      </c>
      <c r="BN10" s="17">
        <f t="shared" si="27"/>
        <v>64.935233160621777</v>
      </c>
      <c r="BO10" s="17">
        <f t="shared" si="28"/>
        <v>91.810784647183496</v>
      </c>
      <c r="BP10" s="9" t="s">
        <v>62</v>
      </c>
      <c r="BR10" s="9">
        <v>8</v>
      </c>
      <c r="BS10" s="9">
        <v>2239.87</v>
      </c>
      <c r="BT10" s="9">
        <f t="shared" si="29"/>
        <v>637.26999999999975</v>
      </c>
      <c r="BU10" s="17">
        <f t="shared" si="30"/>
        <v>58.962805329385638</v>
      </c>
      <c r="BV10" s="17">
        <f t="shared" si="31"/>
        <v>90.802484967655488</v>
      </c>
      <c r="BW10" s="9" t="s">
        <v>62</v>
      </c>
      <c r="BY10" s="9">
        <v>8</v>
      </c>
      <c r="BZ10" s="9">
        <v>-5.51</v>
      </c>
      <c r="CA10" s="9">
        <v>2288.5700000000002</v>
      </c>
      <c r="CB10" s="9">
        <f t="shared" si="32"/>
        <v>685.97</v>
      </c>
      <c r="CC10" s="17">
        <f t="shared" si="33"/>
        <v>63.468726868985961</v>
      </c>
      <c r="CD10" s="17">
        <f t="shared" si="34"/>
        <v>107.64197279018317</v>
      </c>
      <c r="CE10" s="9" t="s">
        <v>62</v>
      </c>
      <c r="CG10" s="9">
        <v>8</v>
      </c>
      <c r="CH10" s="9">
        <v>2084.41</v>
      </c>
      <c r="CI10" s="9">
        <f t="shared" si="1"/>
        <v>481.80999999999972</v>
      </c>
      <c r="CJ10" s="17">
        <f t="shared" si="35"/>
        <v>44.579015544041432</v>
      </c>
      <c r="CK10" s="17">
        <f t="shared" si="36"/>
        <v>70.237765499948935</v>
      </c>
      <c r="CL10" s="9" t="s">
        <v>76</v>
      </c>
      <c r="CN10" s="9">
        <v>8</v>
      </c>
      <c r="CO10" s="9">
        <v>2241.17</v>
      </c>
      <c r="CP10" s="9">
        <f t="shared" si="37"/>
        <v>638.56999999999994</v>
      </c>
      <c r="CQ10" s="17">
        <f t="shared" si="38"/>
        <v>59.083086602516666</v>
      </c>
      <c r="CR10" s="17">
        <f t="shared" si="39"/>
        <v>132.53564683173872</v>
      </c>
      <c r="CS10" s="9" t="s">
        <v>69</v>
      </c>
      <c r="CU10" s="9">
        <v>8</v>
      </c>
      <c r="CV10" s="9">
        <v>2104.71</v>
      </c>
      <c r="CW10" s="9">
        <f t="shared" si="40"/>
        <v>502.1099999999999</v>
      </c>
      <c r="CX10" s="17">
        <f t="shared" si="41"/>
        <v>46.457253886010363</v>
      </c>
      <c r="CY10" s="17">
        <f t="shared" si="42"/>
        <v>78.630377249166088</v>
      </c>
      <c r="CZ10" s="9" t="s">
        <v>69</v>
      </c>
      <c r="DB10" s="9">
        <v>8</v>
      </c>
      <c r="DC10" s="9">
        <v>2214.88</v>
      </c>
      <c r="DD10" s="9">
        <f t="shared" si="43"/>
        <v>612.28</v>
      </c>
      <c r="DE10" s="17">
        <f t="shared" si="44"/>
        <v>56.650629163582543</v>
      </c>
      <c r="DF10" s="17">
        <f t="shared" si="45"/>
        <v>121.9414072613571</v>
      </c>
      <c r="DG10" s="9" t="s">
        <v>100</v>
      </c>
      <c r="DI10" s="9">
        <v>8</v>
      </c>
      <c r="DJ10" s="9">
        <v>2060.7399999999998</v>
      </c>
      <c r="DK10" s="9">
        <f t="shared" si="46"/>
        <v>458.13999999999965</v>
      </c>
      <c r="DL10" s="17">
        <f t="shared" si="47"/>
        <v>42.388971132494426</v>
      </c>
      <c r="DM10" s="17">
        <f t="shared" si="48"/>
        <v>74.825243352714381</v>
      </c>
      <c r="DN10" s="9" t="s">
        <v>100</v>
      </c>
      <c r="DP10" s="9">
        <v>8</v>
      </c>
      <c r="DQ10" s="9">
        <v>1988</v>
      </c>
      <c r="DR10" s="9">
        <f t="shared" si="49"/>
        <v>385.39999999999986</v>
      </c>
      <c r="DS10" s="17">
        <f t="shared" si="50"/>
        <v>35.658771280532939</v>
      </c>
      <c r="DT10" s="17">
        <f t="shared" si="51"/>
        <v>84.122757235779488</v>
      </c>
      <c r="DU10" s="9" t="s">
        <v>100</v>
      </c>
      <c r="DV10" s="9">
        <v>756.55999999999983</v>
      </c>
      <c r="DW10" s="23">
        <f t="shared" si="52"/>
        <v>371.15999999999997</v>
      </c>
      <c r="DY10" s="9">
        <v>8</v>
      </c>
      <c r="DZ10" s="9">
        <v>2187.84</v>
      </c>
      <c r="EA10" s="9">
        <f t="shared" si="53"/>
        <v>585.24</v>
      </c>
      <c r="EB10" s="48">
        <f t="shared" si="54"/>
        <v>54.148778682457454</v>
      </c>
      <c r="EC10" s="18">
        <f t="shared" si="55"/>
        <v>151.85262065386618</v>
      </c>
      <c r="ED10" s="9" t="s">
        <v>104</v>
      </c>
      <c r="EE10" s="9">
        <v>756.55999999999983</v>
      </c>
      <c r="EF10" s="48">
        <f t="shared" si="56"/>
        <v>171.31999999999982</v>
      </c>
      <c r="EH10" s="9">
        <v>8</v>
      </c>
      <c r="EI10" s="9">
        <v>2036.53</v>
      </c>
      <c r="EJ10" s="9">
        <f t="shared" si="57"/>
        <v>433.92999999999984</v>
      </c>
      <c r="EK10" s="17">
        <f t="shared" si="58"/>
        <v>40.148963730569939</v>
      </c>
      <c r="EL10" s="18">
        <f t="shared" si="59"/>
        <v>74.145649648007634</v>
      </c>
      <c r="EM10" s="51" t="s">
        <v>104</v>
      </c>
      <c r="EN10" s="9">
        <v>756.55999999999983</v>
      </c>
      <c r="EO10" s="17">
        <f t="shared" si="60"/>
        <v>322.63</v>
      </c>
      <c r="EQ10" s="9">
        <v>8</v>
      </c>
      <c r="ER10" s="9">
        <v>2486.0700000000002</v>
      </c>
      <c r="ES10" s="9">
        <f t="shared" si="61"/>
        <v>883.47</v>
      </c>
      <c r="ET10" s="23">
        <f t="shared" si="62"/>
        <v>81.742227979274645</v>
      </c>
      <c r="EU10" s="18">
        <f t="shared" si="63"/>
        <v>203.59735441200203</v>
      </c>
      <c r="EV10" s="9" t="s">
        <v>104</v>
      </c>
      <c r="EW10" s="9">
        <v>756.55999999999983</v>
      </c>
      <c r="EX10" s="17">
        <f t="shared" si="64"/>
        <v>-126.9100000000002</v>
      </c>
    </row>
    <row r="11" spans="1:154" x14ac:dyDescent="0.25">
      <c r="A11" s="9">
        <v>9</v>
      </c>
      <c r="B11" s="9">
        <v>1.1435999999999999</v>
      </c>
      <c r="C11" s="9">
        <v>0.40610000000000002</v>
      </c>
      <c r="D11" s="12">
        <f t="shared" si="65"/>
        <v>1.5497000000000001</v>
      </c>
      <c r="F11" s="9">
        <v>9</v>
      </c>
      <c r="G11" s="9">
        <v>2.6190000000000002</v>
      </c>
      <c r="K11" s="9">
        <v>9</v>
      </c>
      <c r="L11" s="17">
        <v>2527.3000000000002</v>
      </c>
      <c r="M11" s="19">
        <f t="shared" si="2"/>
        <v>1069.3000000000002</v>
      </c>
      <c r="N11" s="17">
        <f t="shared" si="3"/>
        <v>977.60000000000014</v>
      </c>
      <c r="O11" s="18">
        <f t="shared" si="4"/>
        <v>91.424296268586929</v>
      </c>
      <c r="P11" s="17">
        <f t="shared" si="0"/>
        <v>91.699999999999818</v>
      </c>
      <c r="Q11" s="9">
        <v>2531.0300000000002</v>
      </c>
      <c r="R11" s="17">
        <f t="shared" si="5"/>
        <v>3.7300000000000182</v>
      </c>
      <c r="S11" s="26">
        <f t="shared" si="6"/>
        <v>981.33000000000015</v>
      </c>
      <c r="T11" s="23">
        <f t="shared" si="7"/>
        <v>91.773122603572432</v>
      </c>
      <c r="V11" s="9">
        <v>9</v>
      </c>
      <c r="W11" s="9">
        <v>2523.59</v>
      </c>
      <c r="X11" s="11">
        <f t="shared" si="8"/>
        <v>973.8900000000001</v>
      </c>
      <c r="Y11" s="18">
        <f t="shared" si="9"/>
        <v>91.077340316094634</v>
      </c>
      <c r="Z11" s="17">
        <f t="shared" si="10"/>
        <v>99.241845250833052</v>
      </c>
      <c r="AB11" s="9">
        <v>9</v>
      </c>
      <c r="AC11" s="9">
        <v>2498.1</v>
      </c>
      <c r="AD11" s="9">
        <f t="shared" si="11"/>
        <v>948.39999999999986</v>
      </c>
      <c r="AE11" s="18">
        <f t="shared" si="12"/>
        <v>88.693537828485901</v>
      </c>
      <c r="AF11" s="17">
        <f t="shared" si="13"/>
        <v>97.382661286182199</v>
      </c>
      <c r="AG11" s="9" t="s">
        <v>57</v>
      </c>
      <c r="AI11" s="9">
        <v>9</v>
      </c>
      <c r="AJ11" s="9">
        <v>2463.89</v>
      </c>
      <c r="AK11" s="9">
        <f t="shared" si="14"/>
        <v>914.18999999999983</v>
      </c>
      <c r="AL11" s="17">
        <f t="shared" si="15"/>
        <v>85.494248573833318</v>
      </c>
      <c r="AM11" s="17">
        <f t="shared" si="16"/>
        <v>96.392872205820325</v>
      </c>
      <c r="AN11" s="9" t="s">
        <v>57</v>
      </c>
      <c r="AP11" s="9">
        <v>9</v>
      </c>
      <c r="AQ11" s="9">
        <v>2419.4899999999998</v>
      </c>
      <c r="AR11" s="9">
        <f t="shared" si="17"/>
        <v>869.78999999999974</v>
      </c>
      <c r="AS11" s="17">
        <f t="shared" si="18"/>
        <v>81.34199943888521</v>
      </c>
      <c r="AT11" s="17">
        <f t="shared" si="19"/>
        <v>95.143241558100598</v>
      </c>
      <c r="AU11" s="9" t="s">
        <v>60</v>
      </c>
      <c r="AW11" s="9">
        <v>9</v>
      </c>
      <c r="AX11" s="9">
        <v>2204.4699999999998</v>
      </c>
      <c r="AY11" s="11">
        <f t="shared" si="20"/>
        <v>654.76999999999975</v>
      </c>
      <c r="AZ11" s="17">
        <f t="shared" si="21"/>
        <v>61.233517254278468</v>
      </c>
      <c r="BA11" s="17">
        <f t="shared" si="22"/>
        <v>75.279090355143182</v>
      </c>
      <c r="BB11" s="9" t="s">
        <v>62</v>
      </c>
      <c r="BD11" s="9">
        <v>9</v>
      </c>
      <c r="BE11" s="9">
        <v>2135.9299999999998</v>
      </c>
      <c r="BF11" s="9">
        <f t="shared" si="23"/>
        <v>586.22999999999979</v>
      </c>
      <c r="BG11" s="17">
        <f t="shared" si="24"/>
        <v>54.823716450014004</v>
      </c>
      <c r="BH11" s="17">
        <f t="shared" si="25"/>
        <v>89.532202147318912</v>
      </c>
      <c r="BI11" s="9" t="s">
        <v>62</v>
      </c>
      <c r="BK11" s="9">
        <v>9</v>
      </c>
      <c r="BL11" s="9">
        <v>2065.29</v>
      </c>
      <c r="BM11" s="9">
        <f t="shared" si="26"/>
        <v>515.58999999999992</v>
      </c>
      <c r="BN11" s="17">
        <f t="shared" si="27"/>
        <v>48.217525483961452</v>
      </c>
      <c r="BO11" s="17">
        <f t="shared" si="28"/>
        <v>87.950121965781364</v>
      </c>
      <c r="BP11" s="9" t="s">
        <v>62</v>
      </c>
      <c r="BR11" s="9">
        <v>9</v>
      </c>
      <c r="BS11" s="9">
        <v>2205.15</v>
      </c>
      <c r="BT11" s="9">
        <f t="shared" si="29"/>
        <v>655.45</v>
      </c>
      <c r="BU11" s="17">
        <f t="shared" si="30"/>
        <v>61.297110259047969</v>
      </c>
      <c r="BV11" s="17">
        <f t="shared" si="31"/>
        <v>127.12620493027408</v>
      </c>
      <c r="BW11" s="9" t="s">
        <v>62</v>
      </c>
      <c r="BY11" s="9">
        <v>9</v>
      </c>
      <c r="BZ11" s="9">
        <v>8.5299999999999994</v>
      </c>
      <c r="CA11" s="9">
        <v>2105.23</v>
      </c>
      <c r="CB11" s="9">
        <f t="shared" si="32"/>
        <v>555.53</v>
      </c>
      <c r="CC11" s="17">
        <f t="shared" si="33"/>
        <v>51.952679322921526</v>
      </c>
      <c r="CD11" s="17">
        <f t="shared" si="34"/>
        <v>84.755511480662122</v>
      </c>
      <c r="CE11" s="9" t="s">
        <v>62</v>
      </c>
      <c r="CG11" s="9">
        <v>9</v>
      </c>
      <c r="CH11" s="9">
        <v>1995.88</v>
      </c>
      <c r="CI11" s="9">
        <f t="shared" si="1"/>
        <v>446.18000000000006</v>
      </c>
      <c r="CJ11" s="17">
        <f t="shared" si="35"/>
        <v>41.726363041241932</v>
      </c>
      <c r="CK11" s="17">
        <f t="shared" si="36"/>
        <v>80.316094540348871</v>
      </c>
      <c r="CL11" s="9" t="s">
        <v>76</v>
      </c>
      <c r="CN11" s="9">
        <v>9</v>
      </c>
      <c r="CO11" s="9">
        <v>2377.39</v>
      </c>
      <c r="CP11" s="9">
        <f t="shared" si="37"/>
        <v>827.68999999999983</v>
      </c>
      <c r="CQ11" s="17">
        <f t="shared" si="38"/>
        <v>77.404844290657422</v>
      </c>
      <c r="CR11" s="17">
        <f t="shared" si="39"/>
        <v>185.50584965708902</v>
      </c>
      <c r="CS11" s="9" t="s">
        <v>69</v>
      </c>
      <c r="CU11" s="9">
        <v>9</v>
      </c>
      <c r="CV11" s="9">
        <v>2234.13</v>
      </c>
      <c r="CW11" s="9">
        <f t="shared" si="40"/>
        <v>684.43000000000006</v>
      </c>
      <c r="CX11" s="17">
        <f t="shared" si="41"/>
        <v>64.007294491723556</v>
      </c>
      <c r="CY11" s="17">
        <f t="shared" si="42"/>
        <v>82.69158743007651</v>
      </c>
      <c r="CZ11" s="9" t="s">
        <v>69</v>
      </c>
      <c r="DB11" s="9">
        <v>9</v>
      </c>
      <c r="DC11" s="9">
        <v>2099.6</v>
      </c>
      <c r="DD11" s="9">
        <f t="shared" si="43"/>
        <v>549.89999999999986</v>
      </c>
      <c r="DE11" s="17">
        <f t="shared" si="44"/>
        <v>51.426166651080131</v>
      </c>
      <c r="DF11" s="17">
        <f t="shared" si="45"/>
        <v>80.344228043773626</v>
      </c>
      <c r="DG11" s="9" t="s">
        <v>69</v>
      </c>
      <c r="DI11" s="9">
        <v>9</v>
      </c>
      <c r="DJ11" s="9">
        <v>2159.5700000000002</v>
      </c>
      <c r="DK11" s="9">
        <f t="shared" si="46"/>
        <v>609.87000000000012</v>
      </c>
      <c r="DL11" s="17">
        <f t="shared" si="47"/>
        <v>57.03450855699991</v>
      </c>
      <c r="DM11" s="17">
        <f t="shared" si="48"/>
        <v>110.9056192034916</v>
      </c>
      <c r="DN11" s="9" t="s">
        <v>100</v>
      </c>
      <c r="DP11" s="9">
        <v>9</v>
      </c>
      <c r="DQ11" s="9">
        <v>1980</v>
      </c>
      <c r="DR11" s="9">
        <f t="shared" si="49"/>
        <v>430.29999999999995</v>
      </c>
      <c r="DS11" s="17">
        <f t="shared" si="50"/>
        <v>40.241279341625351</v>
      </c>
      <c r="DT11" s="17">
        <f t="shared" si="51"/>
        <v>70.556020135438686</v>
      </c>
      <c r="DU11" s="9" t="s">
        <v>100</v>
      </c>
      <c r="DV11" s="9">
        <v>748.5100000000001</v>
      </c>
      <c r="DW11" s="23">
        <f t="shared" si="52"/>
        <v>318.21000000000015</v>
      </c>
      <c r="DY11" s="9">
        <v>9</v>
      </c>
      <c r="DZ11" s="9">
        <v>2168.71</v>
      </c>
      <c r="EA11" s="9">
        <f t="shared" si="53"/>
        <v>619.01</v>
      </c>
      <c r="EB11" s="17">
        <f t="shared" si="54"/>
        <v>57.889273356401375</v>
      </c>
      <c r="EC11" s="18">
        <f t="shared" si="55"/>
        <v>143.85544968626539</v>
      </c>
      <c r="ED11" s="9" t="s">
        <v>104</v>
      </c>
      <c r="EE11" s="9">
        <v>748.5100000000001</v>
      </c>
      <c r="EF11" s="17">
        <f t="shared" si="56"/>
        <v>129.50000000000011</v>
      </c>
      <c r="EH11" s="9">
        <v>9</v>
      </c>
      <c r="EI11" s="9">
        <v>1961.64</v>
      </c>
      <c r="EJ11" s="9">
        <f t="shared" si="57"/>
        <v>411.94000000000005</v>
      </c>
      <c r="EK11" s="17">
        <f t="shared" si="58"/>
        <v>38.524268212849528</v>
      </c>
      <c r="EL11" s="18">
        <f t="shared" si="59"/>
        <v>66.548197928951083</v>
      </c>
      <c r="EM11" s="51" t="s">
        <v>104</v>
      </c>
      <c r="EN11" s="9">
        <v>748.5100000000001</v>
      </c>
      <c r="EO11" s="17">
        <f t="shared" si="60"/>
        <v>336.57000000000005</v>
      </c>
      <c r="EQ11" s="9">
        <v>9</v>
      </c>
      <c r="ER11" s="9">
        <v>2234.54</v>
      </c>
      <c r="ES11" s="9">
        <f t="shared" si="61"/>
        <v>684.83999999999992</v>
      </c>
      <c r="ET11" s="23">
        <f t="shared" si="62"/>
        <v>64.045637332834545</v>
      </c>
      <c r="EU11" s="18">
        <f t="shared" si="63"/>
        <v>166.24751177355921</v>
      </c>
      <c r="EV11" s="9" t="s">
        <v>104</v>
      </c>
      <c r="EW11" s="9">
        <v>748.5100000000001</v>
      </c>
      <c r="EX11" s="17">
        <f t="shared" si="64"/>
        <v>63.670000000000186</v>
      </c>
    </row>
    <row r="12" spans="1:154" x14ac:dyDescent="0.25">
      <c r="A12" s="9">
        <v>10</v>
      </c>
      <c r="B12" s="9">
        <v>1.2853000000000001</v>
      </c>
      <c r="C12" s="9">
        <v>0.4042</v>
      </c>
      <c r="D12" s="12">
        <f t="shared" si="65"/>
        <v>1.6895000000000002</v>
      </c>
      <c r="F12" s="9">
        <v>10</v>
      </c>
      <c r="G12" s="9">
        <v>2.6280000000000001</v>
      </c>
      <c r="K12" s="9">
        <v>10</v>
      </c>
      <c r="L12" s="17">
        <v>2558.3000000000002</v>
      </c>
      <c r="M12" s="19">
        <f t="shared" si="2"/>
        <v>938.49999999999989</v>
      </c>
      <c r="N12" s="17">
        <f t="shared" si="3"/>
        <v>868.8</v>
      </c>
      <c r="O12" s="18">
        <f t="shared" si="4"/>
        <v>92.57325519445925</v>
      </c>
      <c r="P12" s="17">
        <f t="shared" si="0"/>
        <v>69.699999999999818</v>
      </c>
      <c r="Q12" s="9">
        <v>2558.39</v>
      </c>
      <c r="R12" s="17">
        <f t="shared" si="5"/>
        <v>8.9999999999690772E-2</v>
      </c>
      <c r="S12" s="26">
        <f t="shared" si="6"/>
        <v>868.88999999999965</v>
      </c>
      <c r="T12" s="23">
        <f t="shared" si="7"/>
        <v>92.582844965370242</v>
      </c>
      <c r="V12" s="9">
        <v>10</v>
      </c>
      <c r="W12" s="9">
        <v>2534.9299999999998</v>
      </c>
      <c r="X12" s="11">
        <f t="shared" si="8"/>
        <v>845.42999999999961</v>
      </c>
      <c r="Y12" s="18">
        <f t="shared" si="9"/>
        <v>90.083111347895553</v>
      </c>
      <c r="Z12" s="17">
        <f t="shared" si="10"/>
        <v>97.300003452681011</v>
      </c>
      <c r="AB12" s="9">
        <v>10</v>
      </c>
      <c r="AC12" s="9">
        <v>2514.48</v>
      </c>
      <c r="AD12" s="9">
        <f t="shared" si="11"/>
        <v>824.97999999999979</v>
      </c>
      <c r="AE12" s="18">
        <f t="shared" si="12"/>
        <v>87.904102290889711</v>
      </c>
      <c r="AF12" s="17">
        <f t="shared" si="13"/>
        <v>97.581112569934845</v>
      </c>
      <c r="AG12" s="9" t="s">
        <v>57</v>
      </c>
      <c r="AI12" s="9">
        <v>10</v>
      </c>
      <c r="AJ12" s="9">
        <v>2488.98</v>
      </c>
      <c r="AK12" s="9">
        <f t="shared" si="14"/>
        <v>799.47999999999979</v>
      </c>
      <c r="AL12" s="17">
        <f t="shared" si="15"/>
        <v>85.18700053276504</v>
      </c>
      <c r="AM12" s="17">
        <f t="shared" si="16"/>
        <v>96.909015976144872</v>
      </c>
      <c r="AN12" s="9" t="s">
        <v>57</v>
      </c>
      <c r="AP12" s="9">
        <v>10</v>
      </c>
      <c r="AQ12" s="9">
        <v>2458.42</v>
      </c>
      <c r="AR12" s="9">
        <f t="shared" si="17"/>
        <v>768.91999999999985</v>
      </c>
      <c r="AS12" s="17">
        <f t="shared" si="18"/>
        <v>81.930740543420342</v>
      </c>
      <c r="AT12" s="17">
        <f t="shared" si="19"/>
        <v>96.177515385000262</v>
      </c>
      <c r="AU12" s="9" t="s">
        <v>60</v>
      </c>
      <c r="AW12" s="9">
        <v>10</v>
      </c>
      <c r="AX12" s="9">
        <v>2312.81</v>
      </c>
      <c r="AY12" s="11">
        <f t="shared" si="20"/>
        <v>623.30999999999972</v>
      </c>
      <c r="AZ12" s="17">
        <f t="shared" si="21"/>
        <v>66.415556739477864</v>
      </c>
      <c r="BA12" s="17">
        <f t="shared" si="22"/>
        <v>81.063049471986659</v>
      </c>
      <c r="BB12" s="9" t="s">
        <v>60</v>
      </c>
      <c r="BD12" s="9">
        <v>10</v>
      </c>
      <c r="BE12" s="9">
        <v>2258.15</v>
      </c>
      <c r="BF12" s="9">
        <f t="shared" si="23"/>
        <v>568.64999999999986</v>
      </c>
      <c r="BG12" s="17">
        <f t="shared" si="24"/>
        <v>60.591369206180069</v>
      </c>
      <c r="BH12" s="17">
        <f t="shared" si="25"/>
        <v>91.230687779756479</v>
      </c>
      <c r="BI12" s="9" t="s">
        <v>62</v>
      </c>
      <c r="BK12" s="9">
        <v>10</v>
      </c>
      <c r="BL12" s="9">
        <v>2194.27</v>
      </c>
      <c r="BM12" s="9">
        <f t="shared" si="26"/>
        <v>504.76999999999975</v>
      </c>
      <c r="BN12" s="17">
        <f t="shared" si="27"/>
        <v>53.784762919552456</v>
      </c>
      <c r="BO12" s="17">
        <f t="shared" si="28"/>
        <v>88.76637650575924</v>
      </c>
      <c r="BP12" s="9" t="s">
        <v>62</v>
      </c>
      <c r="BR12" s="9">
        <v>10</v>
      </c>
      <c r="BS12" s="9">
        <v>2268.15</v>
      </c>
      <c r="BT12" s="9">
        <f t="shared" si="29"/>
        <v>578.64999999999986</v>
      </c>
      <c r="BU12" s="17">
        <f t="shared" si="30"/>
        <v>61.656899307405425</v>
      </c>
      <c r="BV12" s="17">
        <f t="shared" si="31"/>
        <v>114.6363690393645</v>
      </c>
      <c r="BW12" s="9" t="s">
        <v>62</v>
      </c>
      <c r="BY12" s="9">
        <v>10</v>
      </c>
      <c r="BZ12" s="9">
        <v>-14.75</v>
      </c>
      <c r="CA12" s="9">
        <v>2191.94</v>
      </c>
      <c r="CB12" s="9">
        <f t="shared" si="32"/>
        <v>502.43999999999983</v>
      </c>
      <c r="CC12" s="17">
        <f t="shared" si="33"/>
        <v>53.536494405966963</v>
      </c>
      <c r="CD12" s="17">
        <f t="shared" si="34"/>
        <v>86.829689795212985</v>
      </c>
      <c r="CE12" s="9" t="s">
        <v>69</v>
      </c>
      <c r="CG12" s="9">
        <v>10</v>
      </c>
      <c r="CH12" s="9">
        <v>2096</v>
      </c>
      <c r="CI12" s="9">
        <f t="shared" si="1"/>
        <v>406.49999999999977</v>
      </c>
      <c r="CJ12" s="17">
        <f t="shared" si="35"/>
        <v>43.31379861481085</v>
      </c>
      <c r="CK12" s="17">
        <f t="shared" si="36"/>
        <v>80.905182708383066</v>
      </c>
      <c r="CL12" s="9" t="s">
        <v>76</v>
      </c>
      <c r="CN12" s="9">
        <v>10</v>
      </c>
      <c r="CO12" s="9">
        <v>2259.27</v>
      </c>
      <c r="CP12" s="9">
        <f t="shared" si="37"/>
        <v>569.76999999999975</v>
      </c>
      <c r="CQ12" s="17">
        <f t="shared" si="38"/>
        <v>60.710708577517295</v>
      </c>
      <c r="CR12" s="17">
        <f t="shared" si="39"/>
        <v>140.1648216482165</v>
      </c>
      <c r="CS12" s="9" t="s">
        <v>69</v>
      </c>
      <c r="CU12" s="9">
        <v>10</v>
      </c>
      <c r="CV12" s="9">
        <v>2149.35</v>
      </c>
      <c r="CW12" s="9">
        <f t="shared" si="40"/>
        <v>459.84999999999968</v>
      </c>
      <c r="CX12" s="17">
        <f t="shared" si="41"/>
        <v>48.998401704848135</v>
      </c>
      <c r="CY12" s="17">
        <f t="shared" si="42"/>
        <v>80.708004984467394</v>
      </c>
      <c r="CZ12" s="9" t="s">
        <v>100</v>
      </c>
      <c r="DB12" s="9">
        <v>10</v>
      </c>
      <c r="DC12" s="9">
        <v>2236.98</v>
      </c>
      <c r="DD12" s="9">
        <f t="shared" si="43"/>
        <v>547.47999999999979</v>
      </c>
      <c r="DE12" s="17">
        <f t="shared" si="44"/>
        <v>58.335641981885978</v>
      </c>
      <c r="DF12" s="17">
        <f t="shared" si="45"/>
        <v>119.05621398282051</v>
      </c>
      <c r="DG12" s="9" t="s">
        <v>100</v>
      </c>
      <c r="DI12" s="9">
        <v>10</v>
      </c>
      <c r="DJ12" s="9">
        <v>2132.11</v>
      </c>
      <c r="DK12" s="9">
        <f t="shared" si="46"/>
        <v>442.6099999999999</v>
      </c>
      <c r="DL12" s="17">
        <f t="shared" si="47"/>
        <v>47.161427810335638</v>
      </c>
      <c r="DM12" s="17">
        <f t="shared" si="48"/>
        <v>80.844962373054742</v>
      </c>
      <c r="DN12" s="9" t="s">
        <v>100</v>
      </c>
      <c r="DP12" s="9">
        <v>10</v>
      </c>
      <c r="DQ12" s="9">
        <v>2113</v>
      </c>
      <c r="DR12" s="9">
        <f t="shared" si="49"/>
        <v>423.49999999999977</v>
      </c>
      <c r="DS12" s="17">
        <f t="shared" si="50"/>
        <v>45.125199786893958</v>
      </c>
      <c r="DT12" s="17">
        <f t="shared" si="51"/>
        <v>95.682429226632891</v>
      </c>
      <c r="DU12" s="9" t="s">
        <v>100</v>
      </c>
      <c r="DV12" s="9">
        <v>656.94999999999982</v>
      </c>
      <c r="DW12" s="23">
        <f t="shared" si="52"/>
        <v>233.45000000000005</v>
      </c>
      <c r="DY12" s="9">
        <v>10</v>
      </c>
      <c r="DZ12" s="9">
        <v>2219.41</v>
      </c>
      <c r="EA12" s="9">
        <f t="shared" si="53"/>
        <v>529.90999999999963</v>
      </c>
      <c r="EB12" s="17">
        <f t="shared" si="54"/>
        <v>56.463505594033002</v>
      </c>
      <c r="EC12" s="18">
        <f t="shared" si="55"/>
        <v>125.12632821723729</v>
      </c>
      <c r="ED12" s="9" t="s">
        <v>100</v>
      </c>
      <c r="EE12" s="9">
        <v>656.94999999999982</v>
      </c>
      <c r="EF12" s="17">
        <f t="shared" si="56"/>
        <v>127.04000000000019</v>
      </c>
      <c r="EH12" s="9">
        <v>10</v>
      </c>
      <c r="EI12" s="9">
        <v>2086.5300000000002</v>
      </c>
      <c r="EJ12" s="9">
        <f t="shared" si="57"/>
        <v>397.03</v>
      </c>
      <c r="EK12" s="17">
        <f t="shared" si="58"/>
        <v>42.304741608950451</v>
      </c>
      <c r="EL12" s="18">
        <f t="shared" si="59"/>
        <v>74.924043705534942</v>
      </c>
      <c r="EM12" s="51" t="s">
        <v>104</v>
      </c>
      <c r="EN12" s="9">
        <v>656.94999999999982</v>
      </c>
      <c r="EO12" s="17">
        <f t="shared" si="60"/>
        <v>259.91999999999985</v>
      </c>
      <c r="EQ12" s="9">
        <v>10</v>
      </c>
      <c r="ER12" s="9">
        <v>2282.39</v>
      </c>
      <c r="ES12" s="9">
        <f t="shared" si="61"/>
        <v>592.88999999999965</v>
      </c>
      <c r="ET12" s="23">
        <f t="shared" si="62"/>
        <v>63.174214171550311</v>
      </c>
      <c r="EU12" s="18">
        <f t="shared" si="63"/>
        <v>149.3312847895624</v>
      </c>
      <c r="EV12" s="9" t="s">
        <v>104</v>
      </c>
      <c r="EW12" s="9">
        <v>656.94999999999982</v>
      </c>
      <c r="EX12" s="17">
        <f t="shared" si="64"/>
        <v>64.060000000000173</v>
      </c>
    </row>
    <row r="13" spans="1:154" x14ac:dyDescent="0.25">
      <c r="A13" s="9">
        <v>11</v>
      </c>
      <c r="B13" s="9">
        <v>1.1549</v>
      </c>
      <c r="C13" s="9">
        <v>0.40699999999999997</v>
      </c>
      <c r="D13" s="12">
        <f t="shared" si="65"/>
        <v>1.5619000000000001</v>
      </c>
      <c r="F13" s="9">
        <v>11</v>
      </c>
      <c r="G13" s="9">
        <v>2.6417000000000002</v>
      </c>
      <c r="H13" s="9">
        <v>2.6271</v>
      </c>
      <c r="I13" s="9">
        <f>G13-H13</f>
        <v>1.4600000000000168E-2</v>
      </c>
      <c r="K13" s="9">
        <v>11</v>
      </c>
      <c r="L13" s="17">
        <v>2561</v>
      </c>
      <c r="M13" s="19">
        <f t="shared" si="2"/>
        <v>1079.8000000000002</v>
      </c>
      <c r="N13" s="29">
        <f t="shared" si="3"/>
        <v>999.09999999999991</v>
      </c>
      <c r="O13" s="18">
        <f t="shared" si="4"/>
        <v>92.526393776625284</v>
      </c>
      <c r="P13" s="17">
        <f t="shared" si="0"/>
        <v>80.700000000000273</v>
      </c>
      <c r="Q13" s="9">
        <v>2564.6799999999998</v>
      </c>
      <c r="R13" s="17">
        <f t="shared" si="5"/>
        <v>3.6799999999998363</v>
      </c>
      <c r="S13" s="31">
        <f t="shared" si="6"/>
        <v>1002.7799999999997</v>
      </c>
      <c r="T13" s="23">
        <f t="shared" si="7"/>
        <v>92.867197629190557</v>
      </c>
      <c r="V13" s="9">
        <v>11</v>
      </c>
      <c r="W13" s="9">
        <v>2563.27</v>
      </c>
      <c r="X13" s="30">
        <f t="shared" si="8"/>
        <v>1001.3699999999999</v>
      </c>
      <c r="Y13" s="18">
        <f t="shared" si="9"/>
        <v>92.736617892202233</v>
      </c>
      <c r="Z13" s="17">
        <f t="shared" si="10"/>
        <v>99.859390893316586</v>
      </c>
      <c r="AB13" s="9">
        <v>11</v>
      </c>
      <c r="AC13" s="9">
        <v>2541.64</v>
      </c>
      <c r="AD13" s="9">
        <f t="shared" si="11"/>
        <v>979.73999999999978</v>
      </c>
      <c r="AE13" s="18">
        <f t="shared" si="12"/>
        <v>90.733469160955693</v>
      </c>
      <c r="AF13" s="17">
        <f t="shared" si="13"/>
        <v>97.839959255819522</v>
      </c>
      <c r="AG13" s="9" t="s">
        <v>56</v>
      </c>
      <c r="AI13" s="9">
        <v>11</v>
      </c>
      <c r="AJ13" s="9">
        <v>2513.06</v>
      </c>
      <c r="AK13" s="9">
        <f t="shared" si="14"/>
        <v>951.15999999999985</v>
      </c>
      <c r="AL13" s="17">
        <f t="shared" si="15"/>
        <v>88.086682719022008</v>
      </c>
      <c r="AM13" s="17">
        <f t="shared" si="16"/>
        <v>97.082899544777192</v>
      </c>
      <c r="AN13" s="9" t="s">
        <v>57</v>
      </c>
      <c r="AP13" s="9">
        <v>11</v>
      </c>
      <c r="AQ13" s="9">
        <v>2475.9899999999998</v>
      </c>
      <c r="AR13" s="9">
        <f t="shared" si="17"/>
        <v>914.08999999999969</v>
      </c>
      <c r="AS13" s="17">
        <f t="shared" si="18"/>
        <v>84.653639562881978</v>
      </c>
      <c r="AT13" s="17">
        <f t="shared" si="19"/>
        <v>96.102653601917638</v>
      </c>
      <c r="AU13" s="9" t="s">
        <v>57</v>
      </c>
      <c r="AW13" s="9">
        <v>11</v>
      </c>
      <c r="AX13" s="9">
        <v>2324.1</v>
      </c>
      <c r="AY13" s="11">
        <f t="shared" si="20"/>
        <v>762.19999999999982</v>
      </c>
      <c r="AZ13" s="17">
        <f t="shared" si="21"/>
        <v>70.587145767734739</v>
      </c>
      <c r="BA13" s="17">
        <f t="shared" si="22"/>
        <v>83.383474274961983</v>
      </c>
      <c r="BB13" s="9" t="s">
        <v>60</v>
      </c>
      <c r="BD13" s="9">
        <v>11</v>
      </c>
      <c r="BE13" s="9">
        <v>2274.41</v>
      </c>
      <c r="BF13" s="9">
        <f t="shared" si="23"/>
        <v>712.50999999999976</v>
      </c>
      <c r="BG13" s="17">
        <f t="shared" si="24"/>
        <v>65.985367660677881</v>
      </c>
      <c r="BH13" s="17">
        <f t="shared" si="25"/>
        <v>93.48071372343216</v>
      </c>
      <c r="BI13" s="9" t="s">
        <v>60</v>
      </c>
      <c r="BK13" s="9">
        <v>11</v>
      </c>
      <c r="BL13" s="9">
        <v>2213.85</v>
      </c>
      <c r="BM13" s="9">
        <f t="shared" si="26"/>
        <v>651.94999999999982</v>
      </c>
      <c r="BN13" s="17">
        <f t="shared" si="27"/>
        <v>60.376921652157776</v>
      </c>
      <c r="BO13" s="17">
        <f t="shared" si="28"/>
        <v>91.50047016883974</v>
      </c>
      <c r="BP13" s="9" t="s">
        <v>60</v>
      </c>
      <c r="BR13" s="9">
        <v>11</v>
      </c>
      <c r="BS13" s="9">
        <v>2154.4499999999998</v>
      </c>
      <c r="BT13" s="9">
        <f t="shared" si="29"/>
        <v>592.54999999999973</v>
      </c>
      <c r="BU13" s="17">
        <f t="shared" si="30"/>
        <v>54.875902944989775</v>
      </c>
      <c r="BV13" s="17">
        <f t="shared" si="31"/>
        <v>90.888871846000441</v>
      </c>
      <c r="BW13" s="9" t="s">
        <v>60</v>
      </c>
      <c r="BY13" s="9">
        <v>11</v>
      </c>
      <c r="BZ13" s="9">
        <v>5.05</v>
      </c>
      <c r="CA13" s="9">
        <v>2244.92</v>
      </c>
      <c r="CB13" s="9">
        <f t="shared" si="32"/>
        <v>683.02</v>
      </c>
      <c r="CC13" s="17">
        <f t="shared" si="33"/>
        <v>63.254306353028319</v>
      </c>
      <c r="CD13" s="17">
        <f t="shared" si="34"/>
        <v>115.26790988102276</v>
      </c>
      <c r="CE13" s="9" t="s">
        <v>62</v>
      </c>
      <c r="CG13" s="9">
        <v>11</v>
      </c>
      <c r="CH13" s="9">
        <v>2062.23</v>
      </c>
      <c r="CI13" s="9">
        <f t="shared" si="1"/>
        <v>500.32999999999993</v>
      </c>
      <c r="CJ13" s="17">
        <f t="shared" si="35"/>
        <v>46.33543248749767</v>
      </c>
      <c r="CK13" s="17">
        <f t="shared" si="36"/>
        <v>73.252613393458461</v>
      </c>
      <c r="CL13" s="9" t="s">
        <v>62</v>
      </c>
      <c r="CN13" s="9">
        <v>11</v>
      </c>
      <c r="CO13" s="9">
        <v>2216.0100000000002</v>
      </c>
      <c r="CP13" s="9">
        <f t="shared" si="37"/>
        <v>654.11000000000013</v>
      </c>
      <c r="CQ13" s="17">
        <f t="shared" si="38"/>
        <v>60.576958696054831</v>
      </c>
      <c r="CR13" s="17">
        <f t="shared" si="39"/>
        <v>130.73571442847725</v>
      </c>
      <c r="CS13" s="9" t="s">
        <v>69</v>
      </c>
      <c r="CU13" s="9">
        <v>11</v>
      </c>
      <c r="CV13" s="9">
        <v>2093.1799999999998</v>
      </c>
      <c r="CW13" s="9">
        <f t="shared" si="40"/>
        <v>531.27999999999975</v>
      </c>
      <c r="CX13" s="17">
        <f t="shared" si="41"/>
        <v>49.201704019262792</v>
      </c>
      <c r="CY13" s="17">
        <f t="shared" si="42"/>
        <v>81.221812844934277</v>
      </c>
      <c r="CZ13" s="9" t="s">
        <v>69</v>
      </c>
      <c r="DB13" s="9">
        <v>11</v>
      </c>
      <c r="DC13" s="9">
        <v>2188.37</v>
      </c>
      <c r="DD13" s="9">
        <f t="shared" si="43"/>
        <v>626.4699999999998</v>
      </c>
      <c r="DE13" s="17">
        <f t="shared" si="44"/>
        <v>58.017225412113326</v>
      </c>
      <c r="DF13" s="17">
        <f t="shared" si="45"/>
        <v>117.91710585755159</v>
      </c>
      <c r="DG13" s="9" t="s">
        <v>69</v>
      </c>
      <c r="DI13" s="9">
        <v>11</v>
      </c>
      <c r="DJ13" s="9">
        <v>2046.2</v>
      </c>
      <c r="DK13" s="9">
        <f t="shared" si="46"/>
        <v>484.29999999999995</v>
      </c>
      <c r="DL13" s="17">
        <f t="shared" si="47"/>
        <v>44.850898314502672</v>
      </c>
      <c r="DM13" s="17">
        <f t="shared" si="48"/>
        <v>77.306175874343566</v>
      </c>
      <c r="DN13" s="9" t="s">
        <v>69</v>
      </c>
      <c r="DP13" s="9">
        <v>11</v>
      </c>
      <c r="DQ13" s="9">
        <v>1987</v>
      </c>
      <c r="DR13" s="9">
        <f t="shared" si="49"/>
        <v>425.09999999999991</v>
      </c>
      <c r="DS13" s="17">
        <f t="shared" si="50"/>
        <v>39.368401555843654</v>
      </c>
      <c r="DT13" s="17">
        <f t="shared" si="51"/>
        <v>87.776171794342332</v>
      </c>
      <c r="DU13" s="9" t="s">
        <v>69</v>
      </c>
      <c r="DV13" s="9">
        <v>755.86000000000013</v>
      </c>
      <c r="DW13" s="23">
        <f t="shared" si="52"/>
        <v>330.76000000000022</v>
      </c>
      <c r="DY13" s="9">
        <v>11</v>
      </c>
      <c r="DZ13" s="9">
        <v>2168.62</v>
      </c>
      <c r="EA13" s="9">
        <f t="shared" si="53"/>
        <v>606.7199999999998</v>
      </c>
      <c r="EB13" s="17">
        <f t="shared" si="54"/>
        <v>56.188182996851246</v>
      </c>
      <c r="EC13" s="18">
        <f t="shared" si="55"/>
        <v>142.72406492589977</v>
      </c>
      <c r="ED13" s="9" t="s">
        <v>100</v>
      </c>
      <c r="EE13" s="9">
        <v>755.86000000000013</v>
      </c>
      <c r="EF13" s="17">
        <f t="shared" si="56"/>
        <v>149.14000000000033</v>
      </c>
      <c r="EH13" s="9">
        <v>11</v>
      </c>
      <c r="EI13" s="9">
        <v>1953.03</v>
      </c>
      <c r="EJ13" s="9">
        <f t="shared" si="57"/>
        <v>391.12999999999988</v>
      </c>
      <c r="EK13" s="17">
        <f t="shared" si="58"/>
        <v>36.222448601592873</v>
      </c>
      <c r="EL13" s="18">
        <f t="shared" si="59"/>
        <v>64.466310654008439</v>
      </c>
      <c r="EM13" s="51" t="s">
        <v>104</v>
      </c>
      <c r="EN13" s="9">
        <v>755.86000000000013</v>
      </c>
      <c r="EO13" s="17">
        <f t="shared" si="60"/>
        <v>364.73000000000025</v>
      </c>
      <c r="EQ13" s="9">
        <v>11</v>
      </c>
      <c r="ER13" s="9">
        <v>2244.04</v>
      </c>
      <c r="ES13" s="9">
        <f t="shared" si="61"/>
        <v>682.13999999999987</v>
      </c>
      <c r="ET13" s="23">
        <f t="shared" si="62"/>
        <v>63.172809779588789</v>
      </c>
      <c r="EU13" s="18">
        <f t="shared" si="63"/>
        <v>174.40237261268635</v>
      </c>
      <c r="EV13" s="9" t="s">
        <v>104</v>
      </c>
      <c r="EW13" s="9">
        <v>755.86000000000013</v>
      </c>
      <c r="EX13" s="17">
        <f t="shared" si="64"/>
        <v>73.720000000000255</v>
      </c>
    </row>
    <row r="14" spans="1:154" x14ac:dyDescent="0.25">
      <c r="A14" s="9">
        <v>12</v>
      </c>
      <c r="B14" s="9">
        <v>1.0956999999999999</v>
      </c>
      <c r="C14" s="9">
        <v>0.41270000000000001</v>
      </c>
      <c r="D14" s="12">
        <f t="shared" si="65"/>
        <v>1.5084</v>
      </c>
      <c r="F14" s="9">
        <v>12</v>
      </c>
      <c r="G14" s="9">
        <v>2.4382999999999999</v>
      </c>
      <c r="K14" s="9">
        <v>12</v>
      </c>
      <c r="L14" s="17">
        <v>2367.5</v>
      </c>
      <c r="M14" s="19">
        <f t="shared" si="2"/>
        <v>929.9</v>
      </c>
      <c r="N14" s="17">
        <f t="shared" si="3"/>
        <v>859.10000000000014</v>
      </c>
      <c r="O14" s="18">
        <f t="shared" si="4"/>
        <v>92.38627809441877</v>
      </c>
      <c r="P14" s="17">
        <f t="shared" si="0"/>
        <v>70.799999999999727</v>
      </c>
      <c r="Q14" s="9">
        <v>2368.29</v>
      </c>
      <c r="R14" s="17">
        <f t="shared" si="5"/>
        <v>0.78999999999996362</v>
      </c>
      <c r="S14" s="26">
        <f t="shared" si="6"/>
        <v>859.8900000000001</v>
      </c>
      <c r="T14" s="23">
        <f t="shared" si="7"/>
        <v>92.471233465964104</v>
      </c>
      <c r="V14" s="9">
        <v>12</v>
      </c>
      <c r="W14" s="9">
        <v>2348.56</v>
      </c>
      <c r="X14" s="11">
        <f t="shared" si="8"/>
        <v>840.16000000000008</v>
      </c>
      <c r="Y14" s="18">
        <f t="shared" si="9"/>
        <v>90.349499946230793</v>
      </c>
      <c r="Z14" s="17">
        <f t="shared" si="10"/>
        <v>97.705520473548944</v>
      </c>
      <c r="AB14" s="9">
        <v>12</v>
      </c>
      <c r="AC14" s="9">
        <v>2329.61</v>
      </c>
      <c r="AD14" s="9">
        <f t="shared" si="11"/>
        <v>821.21000000000026</v>
      </c>
      <c r="AE14" s="18">
        <f t="shared" si="12"/>
        <v>88.311646413592896</v>
      </c>
      <c r="AF14" s="17">
        <f t="shared" si="13"/>
        <v>97.744477242430037</v>
      </c>
      <c r="AG14" s="9" t="s">
        <v>57</v>
      </c>
      <c r="AI14" s="9">
        <v>12</v>
      </c>
      <c r="AJ14" s="9">
        <v>2303.42</v>
      </c>
      <c r="AK14" s="9">
        <f t="shared" si="14"/>
        <v>795.02000000000021</v>
      </c>
      <c r="AL14" s="17">
        <f t="shared" si="15"/>
        <v>85.495214539197789</v>
      </c>
      <c r="AM14" s="17">
        <f t="shared" si="16"/>
        <v>96.810803570341321</v>
      </c>
      <c r="AN14" s="9" t="s">
        <v>57</v>
      </c>
      <c r="AP14" s="9">
        <v>12</v>
      </c>
      <c r="AQ14" s="9">
        <v>2267.0300000000002</v>
      </c>
      <c r="AR14" s="9">
        <f t="shared" si="17"/>
        <v>758.63000000000034</v>
      </c>
      <c r="AS14" s="17">
        <f t="shared" si="18"/>
        <v>81.581890525863031</v>
      </c>
      <c r="AT14" s="17">
        <f t="shared" si="19"/>
        <v>95.422756660209828</v>
      </c>
      <c r="AU14" s="9" t="s">
        <v>57</v>
      </c>
      <c r="AW14" s="9">
        <v>12</v>
      </c>
      <c r="AX14" s="9">
        <v>2126.7800000000002</v>
      </c>
      <c r="AY14" s="11">
        <f t="shared" si="20"/>
        <v>618.38000000000034</v>
      </c>
      <c r="AZ14" s="17">
        <f t="shared" si="21"/>
        <v>66.499623615442559</v>
      </c>
      <c r="BA14" s="17">
        <f t="shared" si="22"/>
        <v>81.512726889260918</v>
      </c>
      <c r="BB14" s="9" t="s">
        <v>60</v>
      </c>
      <c r="BD14" s="9">
        <v>12</v>
      </c>
      <c r="BE14" s="9">
        <v>2085.58</v>
      </c>
      <c r="BF14" s="9">
        <f t="shared" si="23"/>
        <v>577.18000000000006</v>
      </c>
      <c r="BG14" s="17">
        <f t="shared" si="24"/>
        <v>62.069039681686213</v>
      </c>
      <c r="BH14" s="17">
        <f t="shared" si="25"/>
        <v>93.337430059186872</v>
      </c>
      <c r="BI14" s="9" t="s">
        <v>60</v>
      </c>
      <c r="BK14" s="9">
        <v>12</v>
      </c>
      <c r="BL14" s="9">
        <v>2039.46</v>
      </c>
      <c r="BM14" s="9">
        <f t="shared" si="26"/>
        <v>531.06000000000017</v>
      </c>
      <c r="BN14" s="17">
        <f t="shared" si="27"/>
        <v>57.109366598559006</v>
      </c>
      <c r="BO14" s="17">
        <f t="shared" si="28"/>
        <v>92.009425136006115</v>
      </c>
      <c r="BP14" s="9" t="s">
        <v>60</v>
      </c>
      <c r="BR14" s="9">
        <v>12</v>
      </c>
      <c r="BS14" s="9">
        <v>2113.69</v>
      </c>
      <c r="BT14" s="9">
        <f t="shared" si="29"/>
        <v>605.29000000000019</v>
      </c>
      <c r="BU14" s="17">
        <f t="shared" si="30"/>
        <v>65.091945370469958</v>
      </c>
      <c r="BV14" s="17">
        <f t="shared" si="31"/>
        <v>113.97770496742363</v>
      </c>
      <c r="BW14" s="9" t="s">
        <v>60</v>
      </c>
      <c r="BY14" s="9">
        <v>12</v>
      </c>
      <c r="BZ14" s="9">
        <v>-12.46</v>
      </c>
      <c r="CA14" s="9">
        <v>2065.71</v>
      </c>
      <c r="CB14" s="9">
        <f t="shared" si="32"/>
        <v>557.31000000000017</v>
      </c>
      <c r="CC14" s="17">
        <f t="shared" si="33"/>
        <v>59.932250779653749</v>
      </c>
      <c r="CD14" s="17">
        <f t="shared" si="34"/>
        <v>92.073221100629453</v>
      </c>
      <c r="CE14" s="9" t="s">
        <v>60</v>
      </c>
      <c r="CG14" s="9">
        <v>12</v>
      </c>
      <c r="CH14" s="9">
        <v>2015.78</v>
      </c>
      <c r="CI14" s="9">
        <f t="shared" si="1"/>
        <v>507.38000000000011</v>
      </c>
      <c r="CJ14" s="17">
        <f t="shared" si="35"/>
        <v>54.562856221099054</v>
      </c>
      <c r="CK14" s="17">
        <f t="shared" si="36"/>
        <v>91.040892860347014</v>
      </c>
      <c r="CL14" s="9" t="s">
        <v>62</v>
      </c>
      <c r="CN14" s="9">
        <v>12</v>
      </c>
      <c r="CO14" s="9">
        <v>2104.29</v>
      </c>
      <c r="CP14" s="9">
        <f t="shared" si="37"/>
        <v>595.8900000000001</v>
      </c>
      <c r="CQ14" s="17">
        <f t="shared" si="38"/>
        <v>64.08108398752556</v>
      </c>
      <c r="CR14" s="17">
        <f t="shared" si="39"/>
        <v>117.44451890102093</v>
      </c>
      <c r="CS14" s="9" t="s">
        <v>62</v>
      </c>
      <c r="CU14" s="9">
        <v>12</v>
      </c>
      <c r="CV14" s="9">
        <v>2054.12</v>
      </c>
      <c r="CW14" s="9">
        <f t="shared" si="40"/>
        <v>545.72</v>
      </c>
      <c r="CX14" s="17">
        <f t="shared" si="41"/>
        <v>58.685880202172278</v>
      </c>
      <c r="CY14" s="17">
        <f t="shared" si="42"/>
        <v>91.580660860225876</v>
      </c>
      <c r="CZ14" s="9" t="s">
        <v>62</v>
      </c>
      <c r="DB14" s="9">
        <v>12</v>
      </c>
      <c r="DC14" s="9">
        <v>2007.68</v>
      </c>
      <c r="DD14" s="9">
        <f t="shared" si="43"/>
        <v>499.2800000000002</v>
      </c>
      <c r="DE14" s="17">
        <f t="shared" si="44"/>
        <v>53.691794816646976</v>
      </c>
      <c r="DF14" s="17">
        <f t="shared" si="45"/>
        <v>91.490141464487323</v>
      </c>
      <c r="DG14" s="9" t="s">
        <v>62</v>
      </c>
      <c r="DI14" s="9">
        <v>12</v>
      </c>
      <c r="DJ14" s="9">
        <v>1965.32</v>
      </c>
      <c r="DK14" s="9">
        <f t="shared" si="46"/>
        <v>456.92000000000007</v>
      </c>
      <c r="DL14" s="17">
        <f t="shared" si="47"/>
        <v>49.136466286697505</v>
      </c>
      <c r="DM14" s="17">
        <f t="shared" si="48"/>
        <v>91.515782727127032</v>
      </c>
      <c r="DN14" s="9" t="s">
        <v>62</v>
      </c>
      <c r="DP14" s="9">
        <v>12</v>
      </c>
      <c r="DQ14" s="9">
        <v>2055</v>
      </c>
      <c r="DR14" s="9">
        <f t="shared" si="49"/>
        <v>546.60000000000014</v>
      </c>
      <c r="DS14" s="17">
        <f t="shared" si="50"/>
        <v>58.780514033767084</v>
      </c>
      <c r="DT14" s="17">
        <f t="shared" si="51"/>
        <v>119.62706819574545</v>
      </c>
      <c r="DU14" s="9" t="s">
        <v>62</v>
      </c>
      <c r="DV14" s="9">
        <v>650.92999999999995</v>
      </c>
      <c r="DW14" s="23">
        <f t="shared" si="52"/>
        <v>104.32999999999981</v>
      </c>
      <c r="DY14" s="9">
        <v>12</v>
      </c>
      <c r="DZ14" s="9">
        <v>2108</v>
      </c>
      <c r="EA14" s="9">
        <f t="shared" si="53"/>
        <v>599.60000000000014</v>
      </c>
      <c r="EB14" s="17">
        <f t="shared" si="54"/>
        <v>64.480051618453615</v>
      </c>
      <c r="EC14" s="18">
        <f t="shared" si="55"/>
        <v>109.6963044273692</v>
      </c>
      <c r="ED14" s="9" t="s">
        <v>69</v>
      </c>
      <c r="EE14" s="9">
        <v>650.92999999999995</v>
      </c>
      <c r="EF14" s="17">
        <f t="shared" si="56"/>
        <v>51.329999999999814</v>
      </c>
      <c r="EH14" s="9">
        <v>12</v>
      </c>
      <c r="EI14" s="9">
        <v>2036.64</v>
      </c>
      <c r="EJ14" s="9">
        <f t="shared" si="57"/>
        <v>528.24000000000024</v>
      </c>
      <c r="EK14" s="17">
        <f t="shared" si="58"/>
        <v>56.806108183675683</v>
      </c>
      <c r="EL14" s="18">
        <f t="shared" si="59"/>
        <v>88.098732488325567</v>
      </c>
      <c r="EM14" s="51" t="s">
        <v>69</v>
      </c>
      <c r="EN14" s="9">
        <v>650.92999999999995</v>
      </c>
      <c r="EO14" s="17">
        <f t="shared" si="60"/>
        <v>122.68999999999971</v>
      </c>
      <c r="EQ14" s="9">
        <v>12</v>
      </c>
      <c r="ER14" s="9">
        <v>2122.85</v>
      </c>
      <c r="ES14" s="9">
        <f t="shared" si="61"/>
        <v>614.45000000000005</v>
      </c>
      <c r="ET14" s="23">
        <f t="shared" si="62"/>
        <v>66.07699752661577</v>
      </c>
      <c r="EU14" s="18">
        <f t="shared" si="63"/>
        <v>116.32023322732088</v>
      </c>
      <c r="EV14" s="9" t="s">
        <v>100</v>
      </c>
      <c r="EW14" s="9">
        <v>650.92999999999995</v>
      </c>
      <c r="EX14" s="17">
        <f t="shared" si="64"/>
        <v>36.479999999999905</v>
      </c>
    </row>
    <row r="15" spans="1:154" x14ac:dyDescent="0.25">
      <c r="A15" s="9">
        <v>13</v>
      </c>
      <c r="B15" s="9">
        <v>1.1797</v>
      </c>
      <c r="C15" s="9">
        <v>0.4073</v>
      </c>
      <c r="D15" s="12">
        <f t="shared" si="65"/>
        <v>1.587</v>
      </c>
      <c r="F15" s="9">
        <v>13</v>
      </c>
      <c r="G15" s="9">
        <v>2.6114999999999999</v>
      </c>
      <c r="K15" s="9">
        <v>13</v>
      </c>
      <c r="L15" s="17">
        <v>2527.8000000000002</v>
      </c>
      <c r="M15" s="19">
        <f t="shared" si="2"/>
        <v>1024.5</v>
      </c>
      <c r="N15" s="29">
        <f t="shared" si="3"/>
        <v>940.80000000000018</v>
      </c>
      <c r="O15" s="18">
        <f t="shared" si="4"/>
        <v>91.830161054172791</v>
      </c>
      <c r="P15" s="17">
        <f t="shared" si="0"/>
        <v>83.699999999999818</v>
      </c>
      <c r="Q15" s="9">
        <v>2534.91</v>
      </c>
      <c r="R15" s="17">
        <f t="shared" si="5"/>
        <v>7.1099999999996726</v>
      </c>
      <c r="S15" s="31">
        <f t="shared" si="6"/>
        <v>947.90999999999985</v>
      </c>
      <c r="T15" s="23">
        <f t="shared" si="7"/>
        <v>92.524158125915065</v>
      </c>
      <c r="V15" s="9">
        <v>13</v>
      </c>
      <c r="W15" s="9">
        <v>2560.58</v>
      </c>
      <c r="X15" s="30">
        <f t="shared" si="8"/>
        <v>973.57999999999993</v>
      </c>
      <c r="Y15" s="18">
        <f t="shared" si="9"/>
        <v>95.029770619814542</v>
      </c>
      <c r="Z15" s="17">
        <f t="shared" si="10"/>
        <v>102.70806300176179</v>
      </c>
      <c r="AB15" s="9">
        <v>13</v>
      </c>
      <c r="AC15" s="9">
        <v>2543.08</v>
      </c>
      <c r="AD15" s="31">
        <f t="shared" si="11"/>
        <v>956.07999999999993</v>
      </c>
      <c r="AE15" s="18">
        <f t="shared" si="12"/>
        <v>93.321620302586609</v>
      </c>
      <c r="AF15" s="17">
        <f t="shared" si="13"/>
        <v>98.20251032272644</v>
      </c>
      <c r="AG15" s="9" t="s">
        <v>57</v>
      </c>
      <c r="AI15" s="9">
        <v>13</v>
      </c>
      <c r="AJ15" s="9">
        <v>2519.2399999999998</v>
      </c>
      <c r="AK15" s="9">
        <f t="shared" si="14"/>
        <v>932.23999999999978</v>
      </c>
      <c r="AL15" s="17">
        <f t="shared" si="15"/>
        <v>90.994631527574413</v>
      </c>
      <c r="AM15" s="17">
        <f t="shared" si="16"/>
        <v>97.506484812986344</v>
      </c>
      <c r="AN15" s="9" t="s">
        <v>57</v>
      </c>
      <c r="AP15" s="9">
        <v>13</v>
      </c>
      <c r="AQ15" s="9">
        <v>2490.86</v>
      </c>
      <c r="AR15" s="9">
        <f t="shared" si="17"/>
        <v>903.86000000000013</v>
      </c>
      <c r="AS15" s="17">
        <f t="shared" si="18"/>
        <v>88.224499755978542</v>
      </c>
      <c r="AT15" s="17">
        <f t="shared" si="19"/>
        <v>96.955719557195607</v>
      </c>
      <c r="AU15" s="9" t="s">
        <v>57</v>
      </c>
      <c r="AW15" s="9">
        <v>13</v>
      </c>
      <c r="AX15" s="9">
        <v>2364.98</v>
      </c>
      <c r="AY15" s="11">
        <f t="shared" si="20"/>
        <v>777.98</v>
      </c>
      <c r="AZ15" s="17">
        <f t="shared" si="21"/>
        <v>75.93753050268424</v>
      </c>
      <c r="BA15" s="17">
        <f t="shared" si="22"/>
        <v>86.073064412630259</v>
      </c>
      <c r="BB15" s="9" t="s">
        <v>60</v>
      </c>
      <c r="BD15" s="9">
        <v>13</v>
      </c>
      <c r="BE15" s="9">
        <v>2310</v>
      </c>
      <c r="BF15" s="9">
        <f t="shared" si="23"/>
        <v>723</v>
      </c>
      <c r="BG15" s="17">
        <f t="shared" si="24"/>
        <v>70.571010248901899</v>
      </c>
      <c r="BH15" s="17">
        <f t="shared" si="25"/>
        <v>92.932980282269455</v>
      </c>
      <c r="BI15" s="9" t="s">
        <v>62</v>
      </c>
      <c r="BK15" s="9">
        <v>13</v>
      </c>
      <c r="BL15" s="9">
        <v>2240.36</v>
      </c>
      <c r="BM15" s="9">
        <f t="shared" si="26"/>
        <v>653.36000000000013</v>
      </c>
      <c r="BN15" s="17">
        <f t="shared" si="27"/>
        <v>63.773548072230369</v>
      </c>
      <c r="BO15" s="17">
        <f t="shared" si="28"/>
        <v>90.367911479944695</v>
      </c>
      <c r="BP15" s="9" t="s">
        <v>62</v>
      </c>
      <c r="BR15" s="9">
        <v>13</v>
      </c>
      <c r="BS15" s="9">
        <v>2171.89</v>
      </c>
      <c r="BT15" s="9">
        <f t="shared" si="29"/>
        <v>584.88999999999987</v>
      </c>
      <c r="BU15" s="17">
        <f t="shared" si="30"/>
        <v>57.090287945339178</v>
      </c>
      <c r="BV15" s="17">
        <f t="shared" si="31"/>
        <v>89.520325700991748</v>
      </c>
      <c r="BW15" s="9" t="s">
        <v>62</v>
      </c>
      <c r="BY15" s="9">
        <v>13</v>
      </c>
      <c r="BZ15" s="9">
        <v>38.58</v>
      </c>
      <c r="CA15" s="9">
        <v>2235.85</v>
      </c>
      <c r="CB15" s="9">
        <f t="shared" si="32"/>
        <v>648.84999999999991</v>
      </c>
      <c r="CC15" s="17">
        <f t="shared" si="33"/>
        <v>63.333333333333321</v>
      </c>
      <c r="CD15" s="17">
        <f t="shared" si="34"/>
        <v>110.93538956043017</v>
      </c>
      <c r="CE15" s="9" t="s">
        <v>62</v>
      </c>
      <c r="CG15" s="9">
        <v>13</v>
      </c>
      <c r="CH15" s="9">
        <v>2062.9899999999998</v>
      </c>
      <c r="CI15" s="9">
        <f t="shared" si="1"/>
        <v>475.98999999999978</v>
      </c>
      <c r="CJ15" s="17">
        <f t="shared" si="35"/>
        <v>46.460712542703739</v>
      </c>
      <c r="CK15" s="17">
        <f t="shared" si="36"/>
        <v>73.359019804269067</v>
      </c>
      <c r="CL15" s="9" t="s">
        <v>69</v>
      </c>
      <c r="CN15" s="9">
        <v>13</v>
      </c>
      <c r="CO15" s="9">
        <v>2219.23</v>
      </c>
      <c r="CP15" s="9">
        <f t="shared" si="37"/>
        <v>632.23</v>
      </c>
      <c r="CQ15" s="17">
        <f t="shared" si="38"/>
        <v>61.711078574914588</v>
      </c>
      <c r="CR15" s="17">
        <f t="shared" si="39"/>
        <v>132.82421899619749</v>
      </c>
      <c r="CS15" s="9" t="s">
        <v>69</v>
      </c>
      <c r="CU15" s="9">
        <v>13</v>
      </c>
      <c r="CV15" s="9">
        <v>2095.06</v>
      </c>
      <c r="CW15" s="9">
        <f t="shared" si="40"/>
        <v>508.05999999999995</v>
      </c>
      <c r="CX15" s="17">
        <f t="shared" si="41"/>
        <v>49.591020009760854</v>
      </c>
      <c r="CY15" s="17">
        <f t="shared" si="42"/>
        <v>80.359995571231977</v>
      </c>
      <c r="CZ15" s="9" t="s">
        <v>69</v>
      </c>
      <c r="DB15" s="9">
        <v>13</v>
      </c>
      <c r="DC15" s="9">
        <v>2185.96</v>
      </c>
      <c r="DD15" s="9">
        <f t="shared" si="43"/>
        <v>598.96</v>
      </c>
      <c r="DE15" s="17">
        <f t="shared" si="44"/>
        <v>58.463640800390436</v>
      </c>
      <c r="DF15" s="17">
        <f t="shared" si="45"/>
        <v>117.89158760776289</v>
      </c>
      <c r="DG15" s="9" t="s">
        <v>100</v>
      </c>
      <c r="DI15" s="9">
        <v>13</v>
      </c>
      <c r="DJ15" s="9">
        <v>2053.8200000000002</v>
      </c>
      <c r="DK15" s="9">
        <f t="shared" si="46"/>
        <v>466.82000000000016</v>
      </c>
      <c r="DL15" s="17">
        <f t="shared" si="47"/>
        <v>45.565641776476348</v>
      </c>
      <c r="DM15" s="17">
        <f t="shared" si="48"/>
        <v>77.938426606117289</v>
      </c>
      <c r="DN15" s="9" t="s">
        <v>100</v>
      </c>
      <c r="DP15" s="9">
        <v>13</v>
      </c>
      <c r="DQ15" s="9">
        <v>2005</v>
      </c>
      <c r="DR15" s="9">
        <f t="shared" si="49"/>
        <v>418</v>
      </c>
      <c r="DS15" s="17">
        <f t="shared" si="50"/>
        <v>40.800390434358228</v>
      </c>
      <c r="DT15" s="17">
        <f t="shared" si="51"/>
        <v>89.542007626065683</v>
      </c>
      <c r="DU15" s="9" t="s">
        <v>100</v>
      </c>
      <c r="DV15" s="9">
        <v>717.15</v>
      </c>
      <c r="DW15" s="23">
        <f t="shared" si="52"/>
        <v>299.14999999999998</v>
      </c>
      <c r="DY15" s="9">
        <v>13</v>
      </c>
      <c r="DZ15" s="9">
        <v>2170.98</v>
      </c>
      <c r="EA15" s="9">
        <f t="shared" si="53"/>
        <v>583.98</v>
      </c>
      <c r="EB15" s="17">
        <f t="shared" si="54"/>
        <v>57.001464128843338</v>
      </c>
      <c r="EC15" s="18">
        <f t="shared" si="55"/>
        <v>139.70813397129186</v>
      </c>
      <c r="ED15" s="9" t="s">
        <v>104</v>
      </c>
      <c r="EE15" s="9">
        <v>717.15</v>
      </c>
      <c r="EF15" s="17">
        <f t="shared" si="56"/>
        <v>133.16999999999996</v>
      </c>
      <c r="EH15" s="9">
        <v>13</v>
      </c>
      <c r="EI15" s="9">
        <v>1979.6</v>
      </c>
      <c r="EJ15" s="9">
        <f t="shared" si="57"/>
        <v>392.59999999999991</v>
      </c>
      <c r="EK15" s="17">
        <f t="shared" si="58"/>
        <v>38.321132259638837</v>
      </c>
      <c r="EL15" s="18">
        <f t="shared" si="59"/>
        <v>67.228329737319754</v>
      </c>
      <c r="EM15" s="51" t="s">
        <v>104</v>
      </c>
      <c r="EN15" s="9">
        <v>717.15</v>
      </c>
      <c r="EO15" s="17">
        <f t="shared" si="60"/>
        <v>324.55000000000007</v>
      </c>
      <c r="EQ15" s="9">
        <v>13</v>
      </c>
      <c r="ER15" s="9">
        <v>2252.7600000000002</v>
      </c>
      <c r="ES15" s="9">
        <f t="shared" si="61"/>
        <v>665.76000000000022</v>
      </c>
      <c r="ET15" s="23">
        <f t="shared" si="62"/>
        <v>64.983894582723295</v>
      </c>
      <c r="EU15" s="18">
        <f t="shared" si="63"/>
        <v>169.57717778909841</v>
      </c>
      <c r="EV15" s="9" t="s">
        <v>104</v>
      </c>
      <c r="EW15" s="9">
        <v>717.15</v>
      </c>
      <c r="EX15" s="17">
        <f t="shared" si="64"/>
        <v>51.389999999999759</v>
      </c>
    </row>
    <row r="16" spans="1:154" x14ac:dyDescent="0.25">
      <c r="A16" s="9">
        <v>14</v>
      </c>
      <c r="B16" s="9">
        <v>1.3068</v>
      </c>
      <c r="C16" s="9">
        <v>0.41039999999999999</v>
      </c>
      <c r="D16" s="12">
        <f t="shared" si="65"/>
        <v>1.7172000000000001</v>
      </c>
      <c r="F16" s="9">
        <v>14</v>
      </c>
      <c r="G16" s="9">
        <v>2.7098</v>
      </c>
      <c r="K16" s="9">
        <v>14</v>
      </c>
      <c r="L16" s="17">
        <v>2636.7</v>
      </c>
      <c r="M16" s="19">
        <f t="shared" si="2"/>
        <v>992.59999999999991</v>
      </c>
      <c r="N16" s="17">
        <f t="shared" si="3"/>
        <v>919.49999999999977</v>
      </c>
      <c r="O16" s="18">
        <f t="shared" si="4"/>
        <v>92.63550272012894</v>
      </c>
      <c r="P16" s="17">
        <f t="shared" si="0"/>
        <v>73.100000000000364</v>
      </c>
      <c r="Q16" s="9">
        <v>2639.06</v>
      </c>
      <c r="R16" s="17">
        <f t="shared" si="5"/>
        <v>2.3600000000001273</v>
      </c>
      <c r="S16" s="26">
        <f t="shared" si="6"/>
        <v>921.8599999999999</v>
      </c>
      <c r="T16" s="23">
        <f t="shared" si="7"/>
        <v>92.873262139834779</v>
      </c>
      <c r="V16" s="9">
        <v>14</v>
      </c>
      <c r="W16" s="9">
        <v>2627.83</v>
      </c>
      <c r="X16" s="11">
        <f t="shared" si="8"/>
        <v>910.62999999999988</v>
      </c>
      <c r="Y16" s="18">
        <f t="shared" si="9"/>
        <v>91.741889985895625</v>
      </c>
      <c r="Z16" s="17">
        <f t="shared" si="10"/>
        <v>98.781810687089148</v>
      </c>
      <c r="AB16" s="9">
        <v>14</v>
      </c>
      <c r="AC16" s="9">
        <v>2608.92</v>
      </c>
      <c r="AD16" s="9">
        <f t="shared" si="11"/>
        <v>891.72</v>
      </c>
      <c r="AE16" s="18">
        <f t="shared" si="12"/>
        <v>89.836792262744311</v>
      </c>
      <c r="AF16" s="17">
        <f t="shared" si="13"/>
        <v>97.923415657292225</v>
      </c>
      <c r="AG16" s="9" t="s">
        <v>57</v>
      </c>
      <c r="AI16" s="9">
        <v>14</v>
      </c>
      <c r="AJ16" s="9">
        <v>2580.36</v>
      </c>
      <c r="AK16" s="9">
        <f t="shared" si="14"/>
        <v>863.16000000000008</v>
      </c>
      <c r="AL16" s="17">
        <f t="shared" si="15"/>
        <v>86.959500302236563</v>
      </c>
      <c r="AM16" s="17">
        <f t="shared" si="16"/>
        <v>96.797200915085455</v>
      </c>
      <c r="AN16" s="9" t="s">
        <v>57</v>
      </c>
      <c r="AP16" s="9">
        <v>14</v>
      </c>
      <c r="AQ16" s="9">
        <v>2540.8200000000002</v>
      </c>
      <c r="AR16" s="9">
        <f t="shared" si="17"/>
        <v>823.62000000000012</v>
      </c>
      <c r="AS16" s="17">
        <f t="shared" si="18"/>
        <v>82.976022566995795</v>
      </c>
      <c r="AT16" s="17">
        <f t="shared" si="19"/>
        <v>95.419157514249974</v>
      </c>
      <c r="AU16" s="9" t="s">
        <v>60</v>
      </c>
      <c r="AW16" s="9">
        <v>14</v>
      </c>
      <c r="AX16" s="9">
        <v>2363.8200000000002</v>
      </c>
      <c r="AY16" s="11">
        <f t="shared" si="20"/>
        <v>646.62000000000012</v>
      </c>
      <c r="AZ16" s="17">
        <f t="shared" si="21"/>
        <v>65.144066089059052</v>
      </c>
      <c r="BA16" s="17">
        <f t="shared" si="22"/>
        <v>78.509506811393607</v>
      </c>
      <c r="BB16" s="9" t="s">
        <v>60</v>
      </c>
      <c r="BD16" s="9">
        <v>14</v>
      </c>
      <c r="BE16" s="9">
        <v>2303.9299999999998</v>
      </c>
      <c r="BF16" s="9">
        <f t="shared" si="23"/>
        <v>586.72999999999979</v>
      </c>
      <c r="BG16" s="17">
        <f t="shared" si="24"/>
        <v>59.110417086439639</v>
      </c>
      <c r="BH16" s="17">
        <f t="shared" si="25"/>
        <v>90.737991401441292</v>
      </c>
      <c r="BI16" s="9" t="s">
        <v>62</v>
      </c>
      <c r="BK16" s="9">
        <v>14</v>
      </c>
      <c r="BL16" s="9">
        <v>2240.48</v>
      </c>
      <c r="BM16" s="9">
        <f t="shared" si="26"/>
        <v>523.28</v>
      </c>
      <c r="BN16" s="17">
        <f t="shared" si="27"/>
        <v>52.718114043925048</v>
      </c>
      <c r="BO16" s="17">
        <f t="shared" si="28"/>
        <v>89.185826530090523</v>
      </c>
      <c r="BP16" s="9" t="s">
        <v>62</v>
      </c>
      <c r="BR16" s="9">
        <v>14</v>
      </c>
      <c r="BS16" s="9">
        <v>2338.42</v>
      </c>
      <c r="BT16" s="9">
        <f t="shared" si="29"/>
        <v>621.22</v>
      </c>
      <c r="BU16" s="17">
        <f t="shared" si="30"/>
        <v>62.58512996171671</v>
      </c>
      <c r="BV16" s="17">
        <f t="shared" si="31"/>
        <v>118.71655710136066</v>
      </c>
      <c r="BW16" s="9" t="s">
        <v>62</v>
      </c>
      <c r="BY16" s="9">
        <v>14</v>
      </c>
      <c r="BZ16" s="9">
        <v>-5.05</v>
      </c>
      <c r="CA16" s="9">
        <v>2266.66</v>
      </c>
      <c r="CB16" s="9">
        <f t="shared" si="32"/>
        <v>549.45999999999981</v>
      </c>
      <c r="CC16" s="17">
        <f t="shared" si="33"/>
        <v>55.355631674390473</v>
      </c>
      <c r="CD16" s="17">
        <f t="shared" si="34"/>
        <v>88.448536750265575</v>
      </c>
      <c r="CE16" s="9" t="s">
        <v>62</v>
      </c>
      <c r="CG16" s="9">
        <v>14</v>
      </c>
      <c r="CH16" s="9">
        <v>2179.92</v>
      </c>
      <c r="CI16" s="9">
        <f t="shared" si="1"/>
        <v>462.72</v>
      </c>
      <c r="CJ16" s="17">
        <f t="shared" si="35"/>
        <v>46.616965545033253</v>
      </c>
      <c r="CK16" s="17">
        <f t="shared" si="36"/>
        <v>84.213591526225784</v>
      </c>
      <c r="CL16" s="9" t="s">
        <v>69</v>
      </c>
      <c r="CN16" s="9">
        <v>14</v>
      </c>
      <c r="CO16" s="9">
        <v>2322.1799999999998</v>
      </c>
      <c r="CP16" s="9">
        <f t="shared" si="37"/>
        <v>604.97999999999979</v>
      </c>
      <c r="CQ16" s="17">
        <f t="shared" si="38"/>
        <v>60.949022768486785</v>
      </c>
      <c r="CR16" s="17">
        <f t="shared" si="39"/>
        <v>130.74429460580907</v>
      </c>
      <c r="CS16" s="9" t="s">
        <v>69</v>
      </c>
      <c r="CU16" s="9">
        <v>14</v>
      </c>
      <c r="CV16" s="9">
        <v>2227.19</v>
      </c>
      <c r="CW16" s="9">
        <f t="shared" si="40"/>
        <v>509.99</v>
      </c>
      <c r="CX16" s="17">
        <f t="shared" si="41"/>
        <v>51.379206125327428</v>
      </c>
      <c r="CY16" s="17">
        <f t="shared" si="42"/>
        <v>84.29865450097526</v>
      </c>
      <c r="CZ16" s="9" t="s">
        <v>69</v>
      </c>
      <c r="DB16" s="9">
        <v>14</v>
      </c>
      <c r="DC16" s="9">
        <v>2314.27</v>
      </c>
      <c r="DD16" s="9">
        <f t="shared" si="43"/>
        <v>597.06999999999994</v>
      </c>
      <c r="DE16" s="17">
        <f t="shared" si="44"/>
        <v>60.15212573040499</v>
      </c>
      <c r="DF16" s="17">
        <f t="shared" si="45"/>
        <v>117.07484460479616</v>
      </c>
      <c r="DG16" s="9" t="s">
        <v>69</v>
      </c>
      <c r="DI16" s="9">
        <v>14</v>
      </c>
      <c r="DJ16" s="9">
        <v>2220.94</v>
      </c>
      <c r="DK16" s="9">
        <f t="shared" si="46"/>
        <v>503.74</v>
      </c>
      <c r="DL16" s="17">
        <f t="shared" si="47"/>
        <v>50.749546645174291</v>
      </c>
      <c r="DM16" s="17">
        <f t="shared" si="48"/>
        <v>84.368666990470146</v>
      </c>
      <c r="DN16" s="9" t="s">
        <v>100</v>
      </c>
      <c r="DP16" s="9">
        <v>14</v>
      </c>
      <c r="DQ16" s="9">
        <v>2195</v>
      </c>
      <c r="DR16" s="9">
        <f t="shared" si="49"/>
        <v>477.79999999999995</v>
      </c>
      <c r="DS16" s="17">
        <f t="shared" si="50"/>
        <v>48.136207938746729</v>
      </c>
      <c r="DT16" s="17">
        <f t="shared" si="51"/>
        <v>94.850518124429257</v>
      </c>
      <c r="DU16" s="9" t="s">
        <v>100</v>
      </c>
      <c r="DV16" s="9">
        <v>694.82</v>
      </c>
      <c r="DW16" s="23">
        <f t="shared" si="52"/>
        <v>217.0200000000001</v>
      </c>
      <c r="DY16" s="9">
        <v>14</v>
      </c>
      <c r="DZ16" s="9">
        <v>2323.75</v>
      </c>
      <c r="EA16" s="9">
        <f t="shared" si="53"/>
        <v>606.54999999999995</v>
      </c>
      <c r="EB16" s="17">
        <f t="shared" si="54"/>
        <v>61.10719322990127</v>
      </c>
      <c r="EC16" s="18">
        <f t="shared" si="55"/>
        <v>126.94642109669319</v>
      </c>
      <c r="ED16" s="9" t="s">
        <v>100</v>
      </c>
      <c r="EE16" s="9">
        <v>694.82</v>
      </c>
      <c r="EF16" s="17">
        <f t="shared" si="56"/>
        <v>88.270000000000095</v>
      </c>
      <c r="EH16" s="9">
        <v>14</v>
      </c>
      <c r="EI16" s="9">
        <v>2173.12</v>
      </c>
      <c r="EJ16" s="9">
        <f t="shared" si="57"/>
        <v>455.91999999999985</v>
      </c>
      <c r="EK16" s="17">
        <f t="shared" si="58"/>
        <v>45.931896030626625</v>
      </c>
      <c r="EL16" s="18">
        <f t="shared" si="59"/>
        <v>75.16610337152747</v>
      </c>
      <c r="EM16" s="51" t="s">
        <v>104</v>
      </c>
      <c r="EN16" s="9">
        <v>694.82</v>
      </c>
      <c r="EO16" s="17">
        <f t="shared" si="60"/>
        <v>238.9000000000002</v>
      </c>
      <c r="EQ16" s="9">
        <v>14</v>
      </c>
      <c r="ER16" s="9">
        <v>2339.25</v>
      </c>
      <c r="ES16" s="9">
        <f t="shared" si="61"/>
        <v>622.04999999999995</v>
      </c>
      <c r="ET16" s="23">
        <f t="shared" si="62"/>
        <v>62.668748740681046</v>
      </c>
      <c r="EU16" s="18">
        <f t="shared" si="63"/>
        <v>136.43841024741187</v>
      </c>
      <c r="EV16" s="9" t="s">
        <v>104</v>
      </c>
      <c r="EW16" s="9">
        <v>694.82</v>
      </c>
      <c r="EX16" s="17">
        <f t="shared" si="64"/>
        <v>72.770000000000095</v>
      </c>
    </row>
    <row r="17" spans="1:154" x14ac:dyDescent="0.25">
      <c r="A17" s="9">
        <v>15</v>
      </c>
      <c r="B17" s="9">
        <v>1.131</v>
      </c>
      <c r="C17" s="9">
        <v>0.4093</v>
      </c>
      <c r="D17" s="12">
        <f t="shared" si="65"/>
        <v>1.5403</v>
      </c>
      <c r="F17" s="9">
        <v>15</v>
      </c>
      <c r="G17" s="9">
        <v>2.4702000000000002</v>
      </c>
      <c r="K17" s="9">
        <v>15</v>
      </c>
      <c r="L17" s="17">
        <v>2392.6999999999998</v>
      </c>
      <c r="M17" s="19">
        <f t="shared" si="2"/>
        <v>929.9000000000002</v>
      </c>
      <c r="N17" s="17">
        <f t="shared" si="3"/>
        <v>852.39999999999986</v>
      </c>
      <c r="O17" s="18">
        <f t="shared" si="4"/>
        <v>91.665770512958346</v>
      </c>
      <c r="P17" s="17">
        <f t="shared" si="0"/>
        <v>77.500000000000455</v>
      </c>
      <c r="Q17" s="9">
        <v>2398.84</v>
      </c>
      <c r="R17" s="17">
        <f t="shared" si="5"/>
        <v>6.1400000000003274</v>
      </c>
      <c r="S17" s="26">
        <f t="shared" si="6"/>
        <v>858.54000000000019</v>
      </c>
      <c r="T17" s="23">
        <f t="shared" si="7"/>
        <v>92.326056565222075</v>
      </c>
      <c r="V17" s="9">
        <v>15</v>
      </c>
      <c r="W17" s="9">
        <v>2388.5700000000002</v>
      </c>
      <c r="X17" s="11">
        <f t="shared" si="8"/>
        <v>848.27000000000021</v>
      </c>
      <c r="Y17" s="18">
        <f t="shared" si="9"/>
        <v>91.221636735132819</v>
      </c>
      <c r="Z17" s="17">
        <f t="shared" si="10"/>
        <v>98.803783166771495</v>
      </c>
      <c r="AB17" s="9">
        <v>15</v>
      </c>
      <c r="AC17" s="9">
        <v>2366.6</v>
      </c>
      <c r="AD17" s="9">
        <f t="shared" si="11"/>
        <v>826.3</v>
      </c>
      <c r="AE17" s="18">
        <f t="shared" si="12"/>
        <v>88.859017098612725</v>
      </c>
      <c r="AF17" s="17">
        <f t="shared" si="13"/>
        <v>97.410022752189718</v>
      </c>
      <c r="AG17" s="9" t="s">
        <v>57</v>
      </c>
      <c r="AI17" s="9">
        <v>15</v>
      </c>
      <c r="AJ17" s="9">
        <v>2337.21</v>
      </c>
      <c r="AK17" s="9">
        <f t="shared" si="14"/>
        <v>796.91000000000008</v>
      </c>
      <c r="AL17" s="17">
        <f t="shared" si="15"/>
        <v>85.698462200236563</v>
      </c>
      <c r="AM17" s="17">
        <f t="shared" si="16"/>
        <v>96.443180442938413</v>
      </c>
      <c r="AN17" s="9" t="s">
        <v>57</v>
      </c>
      <c r="AP17" s="9">
        <v>15</v>
      </c>
      <c r="AQ17" s="9">
        <v>2302.0500000000002</v>
      </c>
      <c r="AR17" s="9">
        <f t="shared" si="17"/>
        <v>761.75000000000023</v>
      </c>
      <c r="AS17" s="17">
        <f t="shared" si="18"/>
        <v>81.917410474244548</v>
      </c>
      <c r="AT17" s="17">
        <f t="shared" si="19"/>
        <v>95.587958489666363</v>
      </c>
      <c r="AU17" s="9" t="s">
        <v>60</v>
      </c>
      <c r="AW17" s="9">
        <v>15</v>
      </c>
      <c r="AX17" s="9">
        <v>2144.2199999999998</v>
      </c>
      <c r="AY17" s="11">
        <f t="shared" si="20"/>
        <v>603.91999999999985</v>
      </c>
      <c r="AZ17" s="17">
        <f t="shared" si="21"/>
        <v>64.944617700828005</v>
      </c>
      <c r="BA17" s="17">
        <f t="shared" si="22"/>
        <v>79.280603872661587</v>
      </c>
      <c r="BB17" s="9" t="s">
        <v>60</v>
      </c>
      <c r="BD17" s="9">
        <v>15</v>
      </c>
      <c r="BE17" s="9">
        <v>2087.35</v>
      </c>
      <c r="BF17" s="9">
        <f t="shared" si="23"/>
        <v>547.04999999999995</v>
      </c>
      <c r="BG17" s="17">
        <f t="shared" si="24"/>
        <v>58.828906334014398</v>
      </c>
      <c r="BH17" s="17">
        <f t="shared" si="25"/>
        <v>90.583189826467091</v>
      </c>
      <c r="BI17" s="9" t="s">
        <v>62</v>
      </c>
      <c r="BK17" s="9">
        <v>15</v>
      </c>
      <c r="BL17" s="9">
        <v>2026.76</v>
      </c>
      <c r="BM17" s="9">
        <f t="shared" si="26"/>
        <v>486.46000000000004</v>
      </c>
      <c r="BN17" s="17">
        <f t="shared" si="27"/>
        <v>52.313151951822768</v>
      </c>
      <c r="BO17" s="17">
        <f t="shared" si="28"/>
        <v>88.924229960698312</v>
      </c>
      <c r="BP17" s="9" t="s">
        <v>62</v>
      </c>
      <c r="BR17" s="9">
        <v>15</v>
      </c>
      <c r="BS17" s="9">
        <v>2117.73</v>
      </c>
      <c r="BT17" s="9">
        <f t="shared" si="29"/>
        <v>577.43000000000006</v>
      </c>
      <c r="BU17" s="17">
        <f t="shared" si="30"/>
        <v>62.095924292934711</v>
      </c>
      <c r="BV17" s="17">
        <f t="shared" si="31"/>
        <v>118.70040702216009</v>
      </c>
      <c r="BW17" s="9" t="s">
        <v>62</v>
      </c>
      <c r="BY17" s="9">
        <v>15</v>
      </c>
      <c r="BZ17" s="9">
        <v>4.5199999999999996</v>
      </c>
      <c r="CA17" s="9">
        <v>2037.51</v>
      </c>
      <c r="CB17" s="9">
        <f t="shared" si="32"/>
        <v>497.21000000000004</v>
      </c>
      <c r="CC17" s="17">
        <f t="shared" si="33"/>
        <v>53.469190235509188</v>
      </c>
      <c r="CD17" s="17">
        <f t="shared" si="34"/>
        <v>86.10740695841919</v>
      </c>
      <c r="CE17" s="9" t="s">
        <v>62</v>
      </c>
      <c r="CG17" s="9">
        <v>15</v>
      </c>
      <c r="CH17" s="9">
        <v>1926.97</v>
      </c>
      <c r="CI17" s="9">
        <f t="shared" si="1"/>
        <v>386.67000000000007</v>
      </c>
      <c r="CJ17" s="17">
        <f t="shared" si="35"/>
        <v>41.581890525862995</v>
      </c>
      <c r="CK17" s="17">
        <f t="shared" si="36"/>
        <v>77.767945133846865</v>
      </c>
      <c r="CL17" s="9" t="s">
        <v>69</v>
      </c>
      <c r="CN17" s="9">
        <v>15</v>
      </c>
      <c r="CO17" s="9">
        <v>2100.46</v>
      </c>
      <c r="CP17" s="9">
        <f t="shared" si="37"/>
        <v>560.16000000000008</v>
      </c>
      <c r="CQ17" s="17">
        <f t="shared" si="38"/>
        <v>60.238735347886859</v>
      </c>
      <c r="CR17" s="17">
        <f t="shared" si="39"/>
        <v>144.86771665761501</v>
      </c>
      <c r="CS17" s="9" t="s">
        <v>69</v>
      </c>
      <c r="CU17" s="9">
        <v>15</v>
      </c>
      <c r="CV17" s="9">
        <v>1967.3</v>
      </c>
      <c r="CW17" s="9">
        <f t="shared" si="40"/>
        <v>427</v>
      </c>
      <c r="CX17" s="17">
        <f t="shared" si="41"/>
        <v>45.918916012474448</v>
      </c>
      <c r="CY17" s="17">
        <f t="shared" si="42"/>
        <v>76.228220508426148</v>
      </c>
      <c r="CZ17" s="9" t="s">
        <v>69</v>
      </c>
      <c r="DB17" s="9">
        <v>15</v>
      </c>
      <c r="DC17" s="9">
        <v>2055.1999999999998</v>
      </c>
      <c r="DD17" s="9">
        <f t="shared" si="43"/>
        <v>514.89999999999986</v>
      </c>
      <c r="DE17" s="17">
        <f t="shared" si="44"/>
        <v>55.371545327454541</v>
      </c>
      <c r="DF17" s="17">
        <f t="shared" si="45"/>
        <v>120.58548009367678</v>
      </c>
      <c r="DG17" s="9" t="s">
        <v>100</v>
      </c>
      <c r="DI17" s="9">
        <v>15</v>
      </c>
      <c r="DJ17" s="9">
        <v>2028.95</v>
      </c>
      <c r="DK17" s="9">
        <f t="shared" si="46"/>
        <v>488.65000000000009</v>
      </c>
      <c r="DL17" s="17">
        <f t="shared" si="47"/>
        <v>52.548661146359819</v>
      </c>
      <c r="DM17" s="17">
        <f t="shared" si="48"/>
        <v>94.901922703437606</v>
      </c>
      <c r="DN17" s="9" t="s">
        <v>100</v>
      </c>
      <c r="DP17" s="9">
        <v>15</v>
      </c>
      <c r="DQ17" s="9">
        <v>1886</v>
      </c>
      <c r="DR17" s="9">
        <f t="shared" si="49"/>
        <v>345.70000000000005</v>
      </c>
      <c r="DS17" s="17">
        <f t="shared" si="50"/>
        <v>37.176040434455317</v>
      </c>
      <c r="DT17" s="17">
        <f t="shared" si="51"/>
        <v>70.745932671646372</v>
      </c>
      <c r="DU17" s="9" t="s">
        <v>100</v>
      </c>
      <c r="DV17" s="9">
        <v>650.93000000000018</v>
      </c>
      <c r="DW17" s="23">
        <f t="shared" si="52"/>
        <v>305.23000000000013</v>
      </c>
      <c r="DY17" s="9">
        <v>15</v>
      </c>
      <c r="DZ17" s="9">
        <v>2078.87</v>
      </c>
      <c r="EA17" s="9">
        <f t="shared" si="53"/>
        <v>538.56999999999994</v>
      </c>
      <c r="EB17" s="17">
        <f t="shared" si="54"/>
        <v>57.916980320464553</v>
      </c>
      <c r="EC17" s="18">
        <f t="shared" si="55"/>
        <v>155.79114839456173</v>
      </c>
      <c r="ED17" s="9" t="s">
        <v>104</v>
      </c>
      <c r="EE17" s="9">
        <v>650.93000000000018</v>
      </c>
      <c r="EF17" s="17">
        <f t="shared" si="56"/>
        <v>112.36000000000024</v>
      </c>
      <c r="EH17" s="9">
        <v>15</v>
      </c>
      <c r="EI17" s="9">
        <v>1889</v>
      </c>
      <c r="EJ17" s="9">
        <f t="shared" si="57"/>
        <v>348.70000000000005</v>
      </c>
      <c r="EK17" s="17">
        <f t="shared" si="58"/>
        <v>37.498655769437569</v>
      </c>
      <c r="EL17" s="18">
        <f t="shared" si="59"/>
        <v>64.745529828991607</v>
      </c>
      <c r="EM17" s="51" t="s">
        <v>104</v>
      </c>
      <c r="EN17" s="9">
        <v>650.93000000000018</v>
      </c>
      <c r="EO17" s="17">
        <f t="shared" si="60"/>
        <v>302.23000000000013</v>
      </c>
      <c r="EQ17" s="9">
        <v>15</v>
      </c>
      <c r="ER17" s="9">
        <v>2102.06</v>
      </c>
      <c r="ES17" s="9">
        <f t="shared" si="61"/>
        <v>561.76</v>
      </c>
      <c r="ET17" s="23">
        <f t="shared" si="62"/>
        <v>60.410796859877394</v>
      </c>
      <c r="EU17" s="18">
        <f t="shared" si="63"/>
        <v>161.10123315170631</v>
      </c>
      <c r="EV17" s="9" t="s">
        <v>104</v>
      </c>
      <c r="EW17" s="9">
        <v>650.93000000000018</v>
      </c>
      <c r="EX17" s="17">
        <f t="shared" si="64"/>
        <v>89.170000000000186</v>
      </c>
    </row>
    <row r="18" spans="1:154" x14ac:dyDescent="0.25">
      <c r="A18" s="9">
        <v>16</v>
      </c>
      <c r="B18" s="9">
        <v>1.1023000000000001</v>
      </c>
      <c r="C18" s="9">
        <v>0.4078</v>
      </c>
      <c r="D18" s="12">
        <f t="shared" si="65"/>
        <v>1.5101</v>
      </c>
      <c r="F18" s="9">
        <v>16</v>
      </c>
      <c r="G18" s="9">
        <v>2.4632999999999998</v>
      </c>
      <c r="K18" s="9">
        <v>16</v>
      </c>
      <c r="L18" s="17">
        <v>2402.6999999999998</v>
      </c>
      <c r="M18" s="19">
        <f t="shared" si="2"/>
        <v>953.19999999999982</v>
      </c>
      <c r="N18" s="29">
        <f t="shared" si="3"/>
        <v>892.59999999999991</v>
      </c>
      <c r="O18" s="18">
        <f t="shared" si="4"/>
        <v>93.642467477968964</v>
      </c>
      <c r="P18" s="17">
        <f t="shared" si="0"/>
        <v>60.599999999999909</v>
      </c>
      <c r="Q18" s="9">
        <v>2406.73</v>
      </c>
      <c r="R18" s="17">
        <f t="shared" si="5"/>
        <v>4.0300000000002001</v>
      </c>
      <c r="S18" s="31">
        <f t="shared" si="6"/>
        <v>896.63000000000011</v>
      </c>
      <c r="T18" s="23">
        <f t="shared" si="7"/>
        <v>94.065253881661803</v>
      </c>
      <c r="V18" s="9">
        <v>16</v>
      </c>
      <c r="W18" s="9">
        <v>2410.79</v>
      </c>
      <c r="X18" s="30">
        <f t="shared" si="8"/>
        <v>900.69</v>
      </c>
      <c r="Y18" s="18">
        <f t="shared" si="9"/>
        <v>94.491187578682357</v>
      </c>
      <c r="Z18" s="17">
        <f t="shared" si="10"/>
        <v>100.45280662034506</v>
      </c>
      <c r="AB18" s="9">
        <v>16</v>
      </c>
      <c r="AC18" s="9">
        <v>2394.08</v>
      </c>
      <c r="AD18" s="9">
        <f t="shared" si="11"/>
        <v>883.98</v>
      </c>
      <c r="AE18" s="18">
        <f t="shared" si="12"/>
        <v>92.738145195132205</v>
      </c>
      <c r="AF18" s="17">
        <f t="shared" si="13"/>
        <v>98.1447556873064</v>
      </c>
      <c r="AG18" s="9" t="s">
        <v>57</v>
      </c>
      <c r="AI18" s="9">
        <v>16</v>
      </c>
      <c r="AJ18" s="9">
        <v>2372.2800000000002</v>
      </c>
      <c r="AK18" s="9">
        <f t="shared" si="14"/>
        <v>862.18000000000029</v>
      </c>
      <c r="AL18" s="17">
        <f t="shared" si="15"/>
        <v>90.45111204364251</v>
      </c>
      <c r="AM18" s="17">
        <f t="shared" si="16"/>
        <v>97.533880857032997</v>
      </c>
      <c r="AN18" s="9" t="s">
        <v>57</v>
      </c>
      <c r="AP18" s="9">
        <v>16</v>
      </c>
      <c r="AQ18" s="9">
        <v>2347.8200000000002</v>
      </c>
      <c r="AR18" s="9">
        <f t="shared" si="17"/>
        <v>837.72000000000025</v>
      </c>
      <c r="AS18" s="17">
        <f t="shared" si="18"/>
        <v>87.885018883760011</v>
      </c>
      <c r="AT18" s="17">
        <f t="shared" si="19"/>
        <v>97.163005404903842</v>
      </c>
      <c r="AU18" s="9" t="s">
        <v>60</v>
      </c>
      <c r="AW18" s="9">
        <v>16</v>
      </c>
      <c r="AX18" s="9">
        <v>2225.65</v>
      </c>
      <c r="AY18" s="11">
        <f t="shared" si="20"/>
        <v>715.55000000000018</v>
      </c>
      <c r="AZ18" s="17">
        <f t="shared" si="21"/>
        <v>75.068191355434351</v>
      </c>
      <c r="BA18" s="17">
        <f t="shared" si="22"/>
        <v>85.416368237597283</v>
      </c>
      <c r="BB18" s="9" t="s">
        <v>62</v>
      </c>
      <c r="BD18" s="9">
        <v>16</v>
      </c>
      <c r="BE18" s="9">
        <v>2173.66</v>
      </c>
      <c r="BF18" s="9">
        <f t="shared" si="23"/>
        <v>663.56</v>
      </c>
      <c r="BG18" s="17">
        <f t="shared" si="24"/>
        <v>69.613932018464126</v>
      </c>
      <c r="BH18" s="17">
        <f t="shared" si="25"/>
        <v>92.734260359164239</v>
      </c>
      <c r="BI18" s="9" t="s">
        <v>62</v>
      </c>
      <c r="BK18" s="9">
        <v>16</v>
      </c>
      <c r="BL18" s="9">
        <v>2108.63</v>
      </c>
      <c r="BM18" s="9">
        <f t="shared" si="26"/>
        <v>598.5300000000002</v>
      </c>
      <c r="BN18" s="17">
        <f t="shared" si="27"/>
        <v>62.791649181703768</v>
      </c>
      <c r="BO18" s="17">
        <f t="shared" si="28"/>
        <v>90.199831213454743</v>
      </c>
      <c r="BP18" s="9" t="s">
        <v>62</v>
      </c>
      <c r="BR18" s="9">
        <v>16</v>
      </c>
      <c r="BS18" s="9">
        <v>2045.8</v>
      </c>
      <c r="BT18" s="9">
        <f t="shared" si="29"/>
        <v>535.70000000000005</v>
      </c>
      <c r="BU18" s="17">
        <f t="shared" si="30"/>
        <v>56.200167855644153</v>
      </c>
      <c r="BV18" s="17">
        <f t="shared" si="31"/>
        <v>89.502614739444951</v>
      </c>
      <c r="BW18" s="9" t="s">
        <v>69</v>
      </c>
      <c r="BY18" s="9">
        <v>16</v>
      </c>
      <c r="BZ18" s="9">
        <v>17.8</v>
      </c>
      <c r="CA18" s="9">
        <v>2120.65</v>
      </c>
      <c r="CB18" s="9">
        <f t="shared" si="32"/>
        <v>610.55000000000018</v>
      </c>
      <c r="CC18" s="17">
        <f t="shared" si="33"/>
        <v>64.052664708350846</v>
      </c>
      <c r="CD18" s="17">
        <f t="shared" si="34"/>
        <v>113.9723725966026</v>
      </c>
      <c r="CE18" s="9" t="s">
        <v>69</v>
      </c>
      <c r="CG18" s="9">
        <v>16</v>
      </c>
      <c r="CH18" s="9">
        <v>1951.83</v>
      </c>
      <c r="CI18" s="9">
        <f t="shared" si="1"/>
        <v>441.73</v>
      </c>
      <c r="CJ18" s="17">
        <f t="shared" si="35"/>
        <v>46.341796055392379</v>
      </c>
      <c r="CK18" s="17">
        <f t="shared" si="36"/>
        <v>72.349520923757254</v>
      </c>
      <c r="CL18" s="9" t="s">
        <v>69</v>
      </c>
      <c r="CN18" s="9">
        <v>16</v>
      </c>
      <c r="CO18" s="9">
        <v>2097.91</v>
      </c>
      <c r="CP18" s="9">
        <f t="shared" si="37"/>
        <v>587.80999999999995</v>
      </c>
      <c r="CQ18" s="17">
        <f t="shared" si="38"/>
        <v>61.667016365925306</v>
      </c>
      <c r="CR18" s="17">
        <f t="shared" si="39"/>
        <v>133.06997487152782</v>
      </c>
      <c r="CS18" s="9" t="s">
        <v>100</v>
      </c>
      <c r="CU18" s="9">
        <v>16</v>
      </c>
      <c r="CV18" s="9">
        <v>2000.6</v>
      </c>
      <c r="CW18" s="9">
        <f t="shared" si="40"/>
        <v>490.5</v>
      </c>
      <c r="CX18" s="17">
        <f t="shared" si="41"/>
        <v>51.458245908518684</v>
      </c>
      <c r="CY18" s="17">
        <f t="shared" si="42"/>
        <v>83.445330974294421</v>
      </c>
      <c r="CZ18" s="9" t="s">
        <v>100</v>
      </c>
      <c r="DB18" s="9">
        <v>16</v>
      </c>
      <c r="DC18" s="9">
        <v>2078.33</v>
      </c>
      <c r="DD18" s="9">
        <f t="shared" si="43"/>
        <v>568.23</v>
      </c>
      <c r="DE18" s="17">
        <f t="shared" si="44"/>
        <v>59.612882920688229</v>
      </c>
      <c r="DF18" s="17">
        <f t="shared" si="45"/>
        <v>115.84709480122324</v>
      </c>
      <c r="DG18" s="9" t="s">
        <v>104</v>
      </c>
      <c r="DI18" s="9">
        <v>16</v>
      </c>
      <c r="DJ18" s="9">
        <v>1979.2</v>
      </c>
      <c r="DK18" s="9">
        <f t="shared" si="46"/>
        <v>469.10000000000014</v>
      </c>
      <c r="DL18" s="17">
        <f t="shared" si="47"/>
        <v>49.213176668065486</v>
      </c>
      <c r="DM18" s="17">
        <f t="shared" si="48"/>
        <v>82.554599369973445</v>
      </c>
      <c r="DN18" s="9" t="s">
        <v>104</v>
      </c>
      <c r="DP18" s="9">
        <v>16</v>
      </c>
      <c r="DQ18" s="9">
        <v>1957.25</v>
      </c>
      <c r="DR18" s="9">
        <f t="shared" si="49"/>
        <v>447.15000000000009</v>
      </c>
      <c r="DS18" s="17">
        <f t="shared" si="50"/>
        <v>46.910407049937078</v>
      </c>
      <c r="DT18" s="17">
        <f t="shared" si="51"/>
        <v>95.320827115753559</v>
      </c>
      <c r="DU18" s="9" t="s">
        <v>104</v>
      </c>
      <c r="DV18" s="9">
        <v>667.2399999999999</v>
      </c>
      <c r="DW18" s="23">
        <f t="shared" si="52"/>
        <v>220.0899999999998</v>
      </c>
      <c r="DY18" s="9">
        <v>16</v>
      </c>
      <c r="DZ18" s="9">
        <v>2060.9899999999998</v>
      </c>
      <c r="EA18" s="9">
        <f t="shared" si="53"/>
        <v>550.88999999999987</v>
      </c>
      <c r="EB18" s="17">
        <f t="shared" si="54"/>
        <v>57.793747377255556</v>
      </c>
      <c r="EC18" s="18">
        <f t="shared" si="55"/>
        <v>123.20026836631996</v>
      </c>
      <c r="ED18" s="9" t="s">
        <v>116</v>
      </c>
      <c r="EE18" s="9">
        <v>667.2399999999999</v>
      </c>
      <c r="EF18" s="17">
        <f t="shared" si="56"/>
        <v>116.35000000000002</v>
      </c>
      <c r="EH18" s="9">
        <v>16</v>
      </c>
      <c r="EI18" s="9">
        <v>1931</v>
      </c>
      <c r="EJ18" s="9">
        <f t="shared" si="57"/>
        <v>420.90000000000009</v>
      </c>
      <c r="EK18" s="17">
        <f t="shared" si="58"/>
        <v>44.156525388166195</v>
      </c>
      <c r="EL18" s="18">
        <f t="shared" si="59"/>
        <v>76.403637749823048</v>
      </c>
      <c r="EM18" s="51" t="s">
        <v>116</v>
      </c>
      <c r="EN18" s="9">
        <v>667.2399999999999</v>
      </c>
      <c r="EO18" s="17">
        <f t="shared" si="60"/>
        <v>246.3399999999998</v>
      </c>
      <c r="EQ18" s="9">
        <v>16</v>
      </c>
      <c r="ER18" s="9">
        <v>2132.36</v>
      </c>
      <c r="ES18" s="9">
        <f t="shared" si="61"/>
        <v>622.26000000000022</v>
      </c>
      <c r="ET18" s="23">
        <f t="shared" si="62"/>
        <v>65.281158203944642</v>
      </c>
      <c r="EU18" s="18">
        <f t="shared" si="63"/>
        <v>147.84034212401997</v>
      </c>
      <c r="EV18" s="9" t="s">
        <v>104</v>
      </c>
      <c r="EW18" s="9">
        <v>667.2399999999999</v>
      </c>
      <c r="EX18" s="17">
        <f t="shared" si="64"/>
        <v>44.979999999999677</v>
      </c>
    </row>
    <row r="19" spans="1:154" x14ac:dyDescent="0.25">
      <c r="L19" s="59" t="s">
        <v>51</v>
      </c>
      <c r="M19" s="59"/>
      <c r="N19" s="59"/>
      <c r="O19" s="59"/>
      <c r="CL19" s="41"/>
    </row>
  </sheetData>
  <mergeCells count="2">
    <mergeCell ref="Q1:T1"/>
    <mergeCell ref="L19:O19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43D6-4263-4F36-925A-4DC26E8DFC26}">
  <dimension ref="A1:BU18"/>
  <sheetViews>
    <sheetView workbookViewId="0">
      <selection activeCell="J3" sqref="J3:J18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1.42578125" bestFit="1" customWidth="1"/>
    <col min="4" max="4" width="13.28515625" customWidth="1"/>
    <col min="5" max="5" width="11.28515625" customWidth="1"/>
    <col min="9" max="9" width="11.42578125" bestFit="1" customWidth="1"/>
    <col min="10" max="10" width="12.42578125" bestFit="1" customWidth="1"/>
    <col min="11" max="11" width="11.42578125" bestFit="1" customWidth="1"/>
    <col min="12" max="12" width="11.5703125" customWidth="1"/>
    <col min="13" max="13" width="10.7109375" customWidth="1"/>
    <col min="17" max="17" width="11.42578125" bestFit="1" customWidth="1"/>
    <col min="18" max="18" width="12.42578125" bestFit="1" customWidth="1"/>
    <col min="19" max="19" width="11.42578125" bestFit="1" customWidth="1"/>
    <col min="20" max="20" width="12.7109375" customWidth="1"/>
    <col min="21" max="21" width="11" customWidth="1"/>
    <col min="25" max="25" width="11.42578125" bestFit="1" customWidth="1"/>
    <col min="26" max="26" width="12.42578125" bestFit="1" customWidth="1"/>
    <col min="27" max="27" width="11.42578125" bestFit="1" customWidth="1"/>
    <col min="28" max="28" width="13.28515625" customWidth="1"/>
    <col min="29" max="29" width="11.7109375" customWidth="1"/>
    <col min="33" max="33" width="11.42578125" bestFit="1" customWidth="1"/>
    <col min="34" max="34" width="12.42578125" bestFit="1" customWidth="1"/>
    <col min="35" max="35" width="11.42578125" bestFit="1" customWidth="1"/>
    <col min="36" max="36" width="13.42578125" customWidth="1"/>
    <col min="37" max="37" width="11" customWidth="1"/>
    <col min="41" max="41" width="11.42578125" bestFit="1" customWidth="1"/>
    <col min="42" max="42" width="12.42578125" bestFit="1" customWidth="1"/>
    <col min="43" max="43" width="11.42578125" bestFit="1" customWidth="1"/>
    <col min="44" max="44" width="13.42578125" customWidth="1"/>
    <col min="45" max="45" width="11" customWidth="1"/>
    <col min="49" max="49" width="11.42578125" bestFit="1" customWidth="1"/>
    <col min="50" max="50" width="12.42578125" bestFit="1" customWidth="1"/>
    <col min="51" max="51" width="11.42578125" bestFit="1" customWidth="1"/>
    <col min="52" max="52" width="13" customWidth="1"/>
    <col min="53" max="53" width="11.7109375" customWidth="1"/>
    <col min="57" max="57" width="11.42578125" bestFit="1" customWidth="1"/>
    <col min="58" max="58" width="12.42578125" bestFit="1" customWidth="1"/>
    <col min="59" max="59" width="11.42578125" bestFit="1" customWidth="1"/>
    <col min="65" max="65" width="11.42578125" bestFit="1" customWidth="1"/>
    <col min="66" max="66" width="14" bestFit="1" customWidth="1"/>
    <col min="70" max="70" width="11.42578125" bestFit="1" customWidth="1"/>
    <col min="71" max="71" width="14.28515625" bestFit="1" customWidth="1"/>
  </cols>
  <sheetData>
    <row r="1" spans="1:73" x14ac:dyDescent="0.25">
      <c r="B1" s="20" t="s">
        <v>32</v>
      </c>
      <c r="C1" s="32" t="s">
        <v>65</v>
      </c>
      <c r="J1" s="20" t="s">
        <v>32</v>
      </c>
      <c r="K1" s="32" t="s">
        <v>65</v>
      </c>
      <c r="R1" s="20" t="s">
        <v>32</v>
      </c>
      <c r="S1" s="32" t="s">
        <v>65</v>
      </c>
      <c r="Z1" s="20" t="s">
        <v>32</v>
      </c>
      <c r="AA1" s="32" t="s">
        <v>65</v>
      </c>
      <c r="AH1" s="20" t="s">
        <v>32</v>
      </c>
      <c r="AI1" s="32" t="s">
        <v>65</v>
      </c>
      <c r="AP1" s="20" t="s">
        <v>32</v>
      </c>
      <c r="AQ1" s="32" t="s">
        <v>65</v>
      </c>
      <c r="AX1" s="20" t="s">
        <v>32</v>
      </c>
      <c r="AY1" s="32" t="s">
        <v>65</v>
      </c>
      <c r="BF1" s="20" t="s">
        <v>32</v>
      </c>
      <c r="BG1" s="32" t="s">
        <v>65</v>
      </c>
    </row>
    <row r="2" spans="1:73" ht="45" x14ac:dyDescent="0.25">
      <c r="A2" s="7" t="s">
        <v>14</v>
      </c>
      <c r="B2" s="10" t="s">
        <v>35</v>
      </c>
      <c r="C2" s="10" t="s">
        <v>35</v>
      </c>
      <c r="D2" s="10" t="s">
        <v>34</v>
      </c>
      <c r="E2" s="10" t="s">
        <v>70</v>
      </c>
      <c r="F2" s="10" t="s">
        <v>72</v>
      </c>
      <c r="G2" s="10" t="s">
        <v>67</v>
      </c>
      <c r="I2" s="7" t="s">
        <v>14</v>
      </c>
      <c r="J2" s="10" t="s">
        <v>35</v>
      </c>
      <c r="K2" s="10" t="s">
        <v>35</v>
      </c>
      <c r="L2" s="10" t="s">
        <v>34</v>
      </c>
      <c r="M2" s="10" t="s">
        <v>70</v>
      </c>
      <c r="N2" s="10" t="s">
        <v>72</v>
      </c>
      <c r="O2" s="10" t="s">
        <v>67</v>
      </c>
      <c r="Q2" s="7" t="s">
        <v>14</v>
      </c>
      <c r="R2" s="10" t="s">
        <v>35</v>
      </c>
      <c r="S2" s="10" t="s">
        <v>35</v>
      </c>
      <c r="T2" s="10" t="s">
        <v>34</v>
      </c>
      <c r="U2" s="10" t="s">
        <v>70</v>
      </c>
      <c r="V2" s="10" t="s">
        <v>72</v>
      </c>
      <c r="W2" s="10" t="s">
        <v>67</v>
      </c>
      <c r="Y2" s="7" t="s">
        <v>14</v>
      </c>
      <c r="Z2" s="10" t="s">
        <v>35</v>
      </c>
      <c r="AA2" s="10" t="s">
        <v>35</v>
      </c>
      <c r="AB2" s="10" t="s">
        <v>34</v>
      </c>
      <c r="AC2" s="10" t="s">
        <v>70</v>
      </c>
      <c r="AD2" s="10" t="s">
        <v>72</v>
      </c>
      <c r="AE2" s="10" t="s">
        <v>67</v>
      </c>
      <c r="AG2" s="7" t="s">
        <v>14</v>
      </c>
      <c r="AH2" s="10" t="s">
        <v>35</v>
      </c>
      <c r="AI2" s="10" t="s">
        <v>35</v>
      </c>
      <c r="AJ2" s="10" t="s">
        <v>34</v>
      </c>
      <c r="AK2" s="10" t="s">
        <v>70</v>
      </c>
      <c r="AL2" s="10" t="s">
        <v>72</v>
      </c>
      <c r="AM2" s="10" t="s">
        <v>67</v>
      </c>
      <c r="AO2" s="7" t="s">
        <v>14</v>
      </c>
      <c r="AP2" s="10" t="s">
        <v>35</v>
      </c>
      <c r="AQ2" s="10" t="s">
        <v>35</v>
      </c>
      <c r="AR2" s="10" t="s">
        <v>34</v>
      </c>
      <c r="AS2" s="10" t="s">
        <v>70</v>
      </c>
      <c r="AT2" s="10" t="s">
        <v>72</v>
      </c>
      <c r="AU2" s="10" t="s">
        <v>67</v>
      </c>
      <c r="AW2" s="7" t="s">
        <v>14</v>
      </c>
      <c r="AX2" s="10" t="s">
        <v>35</v>
      </c>
      <c r="AY2" s="10" t="s">
        <v>35</v>
      </c>
      <c r="AZ2" s="10" t="s">
        <v>34</v>
      </c>
      <c r="BA2" s="10" t="s">
        <v>70</v>
      </c>
      <c r="BB2" s="10" t="s">
        <v>72</v>
      </c>
      <c r="BC2" s="10" t="s">
        <v>67</v>
      </c>
      <c r="BE2" s="7" t="s">
        <v>14</v>
      </c>
      <c r="BF2" s="10" t="s">
        <v>35</v>
      </c>
      <c r="BG2" s="10" t="s">
        <v>35</v>
      </c>
      <c r="BH2" s="10" t="s">
        <v>34</v>
      </c>
      <c r="BI2" s="10" t="s">
        <v>70</v>
      </c>
      <c r="BJ2" s="10" t="s">
        <v>72</v>
      </c>
      <c r="BK2" s="10" t="s">
        <v>67</v>
      </c>
      <c r="BM2" s="7" t="s">
        <v>14</v>
      </c>
      <c r="BN2" s="7" t="s">
        <v>70</v>
      </c>
      <c r="BO2" s="10" t="s">
        <v>72</v>
      </c>
      <c r="BP2" s="10" t="s">
        <v>67</v>
      </c>
      <c r="BR2" s="7" t="s">
        <v>14</v>
      </c>
      <c r="BS2" s="7" t="s">
        <v>70</v>
      </c>
      <c r="BT2" s="10" t="s">
        <v>72</v>
      </c>
      <c r="BU2" s="10" t="s">
        <v>67</v>
      </c>
    </row>
    <row r="3" spans="1:73" x14ac:dyDescent="0.25">
      <c r="A3" s="9">
        <v>1</v>
      </c>
      <c r="B3" s="19">
        <v>987.5</v>
      </c>
      <c r="C3" s="9">
        <f>(B3*70)/100</f>
        <v>691.25</v>
      </c>
      <c r="D3" s="9">
        <v>835.07000000000016</v>
      </c>
      <c r="I3" s="9">
        <v>1</v>
      </c>
      <c r="J3" s="19">
        <v>987.5</v>
      </c>
      <c r="K3" s="9">
        <f>(J3*70)/100</f>
        <v>691.25</v>
      </c>
      <c r="L3" s="9">
        <v>800.98</v>
      </c>
      <c r="Q3" s="9">
        <v>1</v>
      </c>
      <c r="R3" s="9">
        <v>987.5</v>
      </c>
      <c r="S3" s="9">
        <v>691.25</v>
      </c>
      <c r="T3" s="9">
        <v>762.82000000000016</v>
      </c>
      <c r="U3" s="9">
        <f>S3-T3</f>
        <v>-71.570000000000164</v>
      </c>
      <c r="Y3" s="9">
        <v>1</v>
      </c>
      <c r="Z3" s="9">
        <v>987.5</v>
      </c>
      <c r="AA3" s="9">
        <v>691.25</v>
      </c>
      <c r="AB3" s="9">
        <v>594.82999999999993</v>
      </c>
      <c r="AG3" s="33">
        <v>1</v>
      </c>
      <c r="AH3" s="33">
        <v>987.5</v>
      </c>
      <c r="AI3" s="33">
        <v>691.25</v>
      </c>
      <c r="AJ3" s="33">
        <v>527.92999999999984</v>
      </c>
      <c r="AK3" s="33">
        <f>AI3-AJ3</f>
        <v>163.32000000000016</v>
      </c>
      <c r="AL3" s="37">
        <v>45419</v>
      </c>
      <c r="AM3" s="33" t="s">
        <v>102</v>
      </c>
      <c r="AO3" s="9">
        <v>1</v>
      </c>
      <c r="AP3" s="9">
        <v>987.5</v>
      </c>
      <c r="AQ3" s="9">
        <v>691.25</v>
      </c>
      <c r="AR3" s="9">
        <v>619.90000000000009</v>
      </c>
      <c r="AS3" s="9">
        <f>AQ3-AR3</f>
        <v>71.349999999999909</v>
      </c>
      <c r="AW3" s="33">
        <v>1</v>
      </c>
      <c r="AX3" s="33">
        <v>987.5</v>
      </c>
      <c r="AY3" s="33">
        <v>691.25</v>
      </c>
      <c r="AZ3" s="33">
        <v>545.80000000000018</v>
      </c>
      <c r="BA3" s="33">
        <f>AY3-AZ3</f>
        <v>145.44999999999982</v>
      </c>
      <c r="BB3" s="37">
        <v>45421</v>
      </c>
      <c r="BC3" s="38">
        <v>0.46527777777777779</v>
      </c>
      <c r="BE3" s="33">
        <v>1</v>
      </c>
      <c r="BF3" s="33">
        <v>987.5</v>
      </c>
      <c r="BG3" s="33">
        <v>691.25</v>
      </c>
      <c r="BH3" s="33">
        <v>608.4</v>
      </c>
      <c r="BI3" s="33">
        <f>BG3-BH3</f>
        <v>82.850000000000023</v>
      </c>
      <c r="BJ3" s="37">
        <v>45422</v>
      </c>
      <c r="BK3" s="38">
        <v>0.58333333333333337</v>
      </c>
      <c r="BM3" s="9">
        <v>1</v>
      </c>
      <c r="BN3" s="9">
        <v>79.159999999999854</v>
      </c>
      <c r="BO3" s="35"/>
      <c r="BR3" s="33">
        <v>1</v>
      </c>
      <c r="BS3" s="33">
        <v>222.59000000000015</v>
      </c>
      <c r="BT3" s="37">
        <v>45426</v>
      </c>
      <c r="BU3" s="33" t="s">
        <v>118</v>
      </c>
    </row>
    <row r="4" spans="1:73" x14ac:dyDescent="0.25">
      <c r="A4" s="9">
        <v>2</v>
      </c>
      <c r="B4" s="19">
        <v>1029.4000000000001</v>
      </c>
      <c r="C4" s="9">
        <f t="shared" ref="C4:C18" si="0">(B4*70)/100</f>
        <v>720.58</v>
      </c>
      <c r="D4" s="9">
        <v>728.2</v>
      </c>
      <c r="I4" s="9">
        <v>2</v>
      </c>
      <c r="J4" s="19">
        <v>1029.4000000000001</v>
      </c>
      <c r="K4" s="9">
        <f t="shared" ref="K4:K18" si="1">(J4*70)/100</f>
        <v>720.58</v>
      </c>
      <c r="L4" s="9">
        <v>667.2</v>
      </c>
      <c r="Q4" s="33">
        <v>2</v>
      </c>
      <c r="R4" s="33">
        <v>1029.4000000000001</v>
      </c>
      <c r="S4" s="33">
        <v>720.58</v>
      </c>
      <c r="T4" s="33">
        <v>606.83999999999992</v>
      </c>
      <c r="U4" s="33">
        <f t="shared" ref="U4:U18" si="2">S4-T4</f>
        <v>113.74000000000012</v>
      </c>
      <c r="V4" s="37">
        <v>45356</v>
      </c>
      <c r="W4" s="33" t="s">
        <v>77</v>
      </c>
      <c r="Y4" s="33">
        <v>2</v>
      </c>
      <c r="Z4" s="33">
        <v>1029.4000000000001</v>
      </c>
      <c r="AA4" s="33">
        <v>720.58</v>
      </c>
      <c r="AB4" s="33">
        <v>524.14999999999986</v>
      </c>
      <c r="AC4" s="33">
        <f>AA4-AB4</f>
        <v>196.43000000000018</v>
      </c>
      <c r="AD4" s="43">
        <v>45418</v>
      </c>
      <c r="AE4" s="44">
        <v>0.46875</v>
      </c>
      <c r="AG4" s="9">
        <v>2</v>
      </c>
      <c r="AH4" s="9">
        <v>1029.4000000000001</v>
      </c>
      <c r="AI4" s="9">
        <v>720.58</v>
      </c>
      <c r="AJ4" s="9">
        <v>643.20000000000005</v>
      </c>
      <c r="AK4" s="9">
        <f t="shared" ref="AK4:AK18" si="3">AI4-AJ4</f>
        <v>77.38</v>
      </c>
      <c r="AO4" s="33">
        <v>2</v>
      </c>
      <c r="AP4" s="33">
        <v>1029.4000000000001</v>
      </c>
      <c r="AQ4" s="33">
        <v>720.58</v>
      </c>
      <c r="AR4" s="33">
        <v>546.1099999999999</v>
      </c>
      <c r="AS4" s="33">
        <f t="shared" ref="AS4:AS18" si="4">AQ4-AR4</f>
        <v>174.47000000000014</v>
      </c>
      <c r="AT4" s="37">
        <v>45420</v>
      </c>
      <c r="AU4" s="40" t="s">
        <v>105</v>
      </c>
      <c r="AW4" s="9">
        <v>2</v>
      </c>
      <c r="AX4" s="9">
        <v>1029.4000000000001</v>
      </c>
      <c r="AY4" s="9">
        <v>720.58</v>
      </c>
      <c r="AZ4" s="9">
        <v>707.37999999999988</v>
      </c>
      <c r="BE4" s="33">
        <v>2</v>
      </c>
      <c r="BF4" s="33">
        <v>1029.4000000000001</v>
      </c>
      <c r="BG4" s="33">
        <v>720.58</v>
      </c>
      <c r="BH4" s="33">
        <v>597.83999999999992</v>
      </c>
      <c r="BI4" s="33">
        <f t="shared" ref="BI4:BI18" si="5">BG4-BH4</f>
        <v>122.74000000000012</v>
      </c>
      <c r="BJ4" s="37">
        <v>45422</v>
      </c>
      <c r="BK4" s="38">
        <v>0.58333333333333337</v>
      </c>
      <c r="BM4" s="9">
        <v>2</v>
      </c>
      <c r="BN4" s="9">
        <v>96.38</v>
      </c>
      <c r="BR4" s="33">
        <v>2</v>
      </c>
      <c r="BS4" s="33">
        <v>264.2600000000001</v>
      </c>
      <c r="BT4" s="37">
        <v>45426</v>
      </c>
      <c r="BU4" s="33" t="s">
        <v>118</v>
      </c>
    </row>
    <row r="5" spans="1:73" x14ac:dyDescent="0.25">
      <c r="A5" s="33">
        <v>3</v>
      </c>
      <c r="B5" s="34">
        <v>1031.9000000000001</v>
      </c>
      <c r="C5" s="33">
        <f t="shared" si="0"/>
        <v>722.33</v>
      </c>
      <c r="D5" s="33">
        <v>530.20000000000005</v>
      </c>
      <c r="E5" s="33">
        <f>C5-D5</f>
        <v>192.13</v>
      </c>
      <c r="F5" s="37" t="s">
        <v>66</v>
      </c>
      <c r="G5" s="38">
        <v>0.46875</v>
      </c>
      <c r="I5" s="9">
        <v>3</v>
      </c>
      <c r="J5" s="19">
        <v>1031.9000000000001</v>
      </c>
      <c r="K5" s="9">
        <f t="shared" si="1"/>
        <v>722.33</v>
      </c>
      <c r="L5" s="9">
        <v>631.18000000000006</v>
      </c>
      <c r="Q5" s="33">
        <v>3</v>
      </c>
      <c r="R5" s="33">
        <v>1031.9000000000001</v>
      </c>
      <c r="S5" s="33">
        <v>722.33</v>
      </c>
      <c r="T5" s="33">
        <v>540.51999999999975</v>
      </c>
      <c r="U5" s="33">
        <f t="shared" si="2"/>
        <v>181.81000000000029</v>
      </c>
      <c r="V5" s="37">
        <v>45356</v>
      </c>
      <c r="W5" s="33" t="s">
        <v>77</v>
      </c>
      <c r="Y5" s="33">
        <v>3</v>
      </c>
      <c r="Z5" s="33">
        <v>1031.9000000000001</v>
      </c>
      <c r="AA5" s="33">
        <v>722.33</v>
      </c>
      <c r="AB5" s="33">
        <v>411.19999999999982</v>
      </c>
      <c r="AC5" s="33">
        <f t="shared" ref="AC5:AC18" si="6">AA5-AB5</f>
        <v>311.13000000000022</v>
      </c>
      <c r="AG5" s="9">
        <v>3</v>
      </c>
      <c r="AH5" s="9">
        <v>1031.9000000000001</v>
      </c>
      <c r="AI5" s="9">
        <v>722.33</v>
      </c>
      <c r="AJ5" s="9">
        <v>612.22999999999979</v>
      </c>
      <c r="AK5" s="9">
        <f t="shared" si="3"/>
        <v>110.10000000000025</v>
      </c>
      <c r="AO5" s="33">
        <v>3</v>
      </c>
      <c r="AP5" s="33">
        <v>1031.9000000000001</v>
      </c>
      <c r="AQ5" s="33">
        <v>722.33</v>
      </c>
      <c r="AR5" s="33">
        <v>466.50999999999976</v>
      </c>
      <c r="AS5" s="33">
        <f t="shared" si="4"/>
        <v>255.82000000000028</v>
      </c>
      <c r="AT5" s="37">
        <v>45420</v>
      </c>
      <c r="AU5" s="40" t="s">
        <v>105</v>
      </c>
      <c r="AW5" s="33">
        <v>3</v>
      </c>
      <c r="AX5" s="33">
        <v>1031.9000000000001</v>
      </c>
      <c r="AY5" s="33">
        <v>722.33</v>
      </c>
      <c r="AZ5" s="33">
        <v>568.66000000000008</v>
      </c>
      <c r="BA5" s="33">
        <f>AY5-AZ5</f>
        <v>153.66999999999996</v>
      </c>
      <c r="BB5" s="37">
        <v>45421</v>
      </c>
      <c r="BC5" s="38">
        <v>0.46527777777777779</v>
      </c>
      <c r="BE5" s="33">
        <v>3</v>
      </c>
      <c r="BF5" s="33">
        <v>1031.9000000000001</v>
      </c>
      <c r="BG5" s="33">
        <v>722.33</v>
      </c>
      <c r="BH5" s="33">
        <v>537.68999999999983</v>
      </c>
      <c r="BI5" s="33">
        <f t="shared" si="5"/>
        <v>184.64000000000021</v>
      </c>
      <c r="BJ5" s="37">
        <v>45422</v>
      </c>
      <c r="BK5" s="38">
        <v>0.58333333333333337</v>
      </c>
      <c r="BM5" s="33">
        <v>3</v>
      </c>
      <c r="BN5" s="33">
        <v>166.53000000000009</v>
      </c>
      <c r="BO5" s="37">
        <v>45425</v>
      </c>
      <c r="BP5" s="56" t="s">
        <v>119</v>
      </c>
      <c r="BR5" s="33">
        <v>3</v>
      </c>
      <c r="BS5" s="33">
        <v>302.42000000000019</v>
      </c>
      <c r="BT5" s="37">
        <v>45426</v>
      </c>
      <c r="BU5" s="33" t="s">
        <v>118</v>
      </c>
    </row>
    <row r="6" spans="1:73" x14ac:dyDescent="0.25">
      <c r="A6" s="33">
        <v>4</v>
      </c>
      <c r="B6" s="34">
        <v>1060.1000000000004</v>
      </c>
      <c r="C6" s="33">
        <f t="shared" si="0"/>
        <v>742.07000000000028</v>
      </c>
      <c r="D6" s="33">
        <v>548.2800000000002</v>
      </c>
      <c r="E6" s="33">
        <f>C6-D6</f>
        <v>193.79000000000008</v>
      </c>
      <c r="F6" s="37" t="s">
        <v>66</v>
      </c>
      <c r="G6" s="38">
        <v>0.46875</v>
      </c>
      <c r="I6" s="9">
        <v>4</v>
      </c>
      <c r="J6" s="19">
        <v>1060.1000000000004</v>
      </c>
      <c r="K6" s="9">
        <f t="shared" si="1"/>
        <v>742.07000000000028</v>
      </c>
      <c r="L6" s="9">
        <v>659.72000000000025</v>
      </c>
      <c r="Q6" s="33">
        <v>4</v>
      </c>
      <c r="R6" s="33">
        <v>1060.1000000000004</v>
      </c>
      <c r="S6" s="33">
        <v>742.07000000000028</v>
      </c>
      <c r="T6" s="33">
        <v>564.51000000000022</v>
      </c>
      <c r="U6" s="33">
        <f t="shared" si="2"/>
        <v>177.56000000000006</v>
      </c>
      <c r="V6" s="37">
        <v>45356</v>
      </c>
      <c r="W6" s="33" t="s">
        <v>77</v>
      </c>
      <c r="Y6" s="33">
        <v>4</v>
      </c>
      <c r="Z6" s="33">
        <v>1060.1000000000004</v>
      </c>
      <c r="AA6" s="33">
        <v>742.07000000000028</v>
      </c>
      <c r="AB6" s="33">
        <v>436.18000000000029</v>
      </c>
      <c r="AC6" s="33">
        <f t="shared" si="6"/>
        <v>305.89</v>
      </c>
      <c r="AG6" s="9">
        <v>4</v>
      </c>
      <c r="AH6" s="9">
        <v>1060.1000000000004</v>
      </c>
      <c r="AI6" s="9">
        <v>742.07000000000028</v>
      </c>
      <c r="AJ6" s="9">
        <v>603.76000000000022</v>
      </c>
      <c r="AK6" s="9">
        <f t="shared" si="3"/>
        <v>138.31000000000006</v>
      </c>
      <c r="AO6" s="33">
        <v>4</v>
      </c>
      <c r="AP6" s="33">
        <v>1060.1000000000004</v>
      </c>
      <c r="AQ6" s="33">
        <v>742.07000000000028</v>
      </c>
      <c r="AR6" s="33">
        <v>458.60000000000014</v>
      </c>
      <c r="AS6" s="33">
        <f t="shared" si="4"/>
        <v>283.47000000000014</v>
      </c>
      <c r="AT6" s="37">
        <v>45420</v>
      </c>
      <c r="AU6" s="40" t="s">
        <v>105</v>
      </c>
      <c r="AW6" s="9">
        <v>4</v>
      </c>
      <c r="AX6" s="9">
        <v>1060.1000000000004</v>
      </c>
      <c r="AY6" s="9">
        <v>742.07000000000028</v>
      </c>
      <c r="AZ6" s="9">
        <v>639.76000000000022</v>
      </c>
      <c r="BE6" s="33">
        <v>4</v>
      </c>
      <c r="BF6" s="33">
        <v>1060.1000000000004</v>
      </c>
      <c r="BG6" s="33">
        <v>742.07000000000028</v>
      </c>
      <c r="BH6" s="33">
        <v>475.91000000000008</v>
      </c>
      <c r="BI6" s="33">
        <f t="shared" si="5"/>
        <v>266.1600000000002</v>
      </c>
      <c r="BJ6" s="37">
        <v>45422</v>
      </c>
      <c r="BK6" s="38">
        <v>0.58333333333333337</v>
      </c>
      <c r="BM6" s="9">
        <v>4</v>
      </c>
      <c r="BN6" s="9">
        <v>142.35000000000002</v>
      </c>
      <c r="BP6" s="44">
        <v>0.57152777777777775</v>
      </c>
      <c r="BR6" s="33">
        <v>4</v>
      </c>
      <c r="BS6" s="33">
        <v>364.49000000000012</v>
      </c>
      <c r="BT6" s="37">
        <v>45426</v>
      </c>
      <c r="BU6" s="33" t="s">
        <v>118</v>
      </c>
    </row>
    <row r="7" spans="1:73" x14ac:dyDescent="0.25">
      <c r="A7" s="9">
        <v>5</v>
      </c>
      <c r="B7" s="19">
        <v>1079.1999999999998</v>
      </c>
      <c r="C7" s="9">
        <f t="shared" si="0"/>
        <v>755.43999999999983</v>
      </c>
      <c r="D7" s="9">
        <v>803.49999999999977</v>
      </c>
      <c r="E7" s="9"/>
      <c r="F7" s="35"/>
      <c r="I7" s="9">
        <v>5</v>
      </c>
      <c r="J7" s="19">
        <v>1079.1999999999998</v>
      </c>
      <c r="K7" s="9">
        <f t="shared" si="1"/>
        <v>755.43999999999983</v>
      </c>
      <c r="L7" s="9">
        <v>738.11999999999966</v>
      </c>
      <c r="Q7" s="33">
        <v>5</v>
      </c>
      <c r="R7" s="33">
        <v>1079.1999999999998</v>
      </c>
      <c r="S7" s="33">
        <v>755.43999999999983</v>
      </c>
      <c r="T7" s="33">
        <v>667.55999999999972</v>
      </c>
      <c r="U7" s="33">
        <f t="shared" si="2"/>
        <v>87.880000000000109</v>
      </c>
      <c r="V7" s="37">
        <v>45356</v>
      </c>
      <c r="W7" s="33" t="s">
        <v>77</v>
      </c>
      <c r="Y7" s="33">
        <v>5</v>
      </c>
      <c r="Z7" s="33">
        <v>1079.1999999999998</v>
      </c>
      <c r="AA7" s="33">
        <v>755.43999999999983</v>
      </c>
      <c r="AB7" s="33">
        <v>531.16999999999985</v>
      </c>
      <c r="AC7" s="33">
        <f t="shared" si="6"/>
        <v>224.26999999999998</v>
      </c>
      <c r="AG7" s="9">
        <v>5</v>
      </c>
      <c r="AH7" s="9">
        <v>1079.1999999999998</v>
      </c>
      <c r="AI7" s="9">
        <v>755.43999999999983</v>
      </c>
      <c r="AJ7" s="9">
        <v>666.49999999999977</v>
      </c>
      <c r="AK7" s="9">
        <f t="shared" si="3"/>
        <v>88.940000000000055</v>
      </c>
      <c r="AO7" s="33">
        <v>5</v>
      </c>
      <c r="AP7" s="33">
        <v>1079.1999999999998</v>
      </c>
      <c r="AQ7" s="33">
        <v>755.43999999999983</v>
      </c>
      <c r="AR7" s="33">
        <v>567.1099999999999</v>
      </c>
      <c r="AS7" s="33">
        <f t="shared" si="4"/>
        <v>188.32999999999993</v>
      </c>
      <c r="AT7" s="37">
        <v>45420</v>
      </c>
      <c r="AU7" s="40" t="s">
        <v>105</v>
      </c>
      <c r="AW7" s="9">
        <v>5</v>
      </c>
      <c r="AX7" s="9">
        <v>1079.1999999999998</v>
      </c>
      <c r="AY7" s="9">
        <v>755.43999999999983</v>
      </c>
      <c r="AZ7" s="9">
        <v>646.86999999999966</v>
      </c>
      <c r="BE7" s="33">
        <v>5</v>
      </c>
      <c r="BF7" s="33">
        <v>1079.1999999999998</v>
      </c>
      <c r="BG7" s="33">
        <v>755.43999999999983</v>
      </c>
      <c r="BH7" s="33">
        <v>542.33999999999992</v>
      </c>
      <c r="BI7" s="33">
        <f t="shared" si="5"/>
        <v>213.09999999999991</v>
      </c>
      <c r="BJ7" s="37">
        <v>45422</v>
      </c>
      <c r="BK7" s="38">
        <v>0.58333333333333337</v>
      </c>
      <c r="BM7" s="9">
        <v>5</v>
      </c>
      <c r="BN7" s="9">
        <v>141.4699999999998</v>
      </c>
      <c r="BR7" s="33">
        <v>5</v>
      </c>
      <c r="BS7" s="33">
        <v>309.52999999999975</v>
      </c>
      <c r="BT7" s="37">
        <v>45426</v>
      </c>
      <c r="BU7" s="33" t="s">
        <v>118</v>
      </c>
    </row>
    <row r="8" spans="1:73" x14ac:dyDescent="0.25">
      <c r="A8" s="9">
        <v>6</v>
      </c>
      <c r="B8" s="19">
        <v>1036.2999999999997</v>
      </c>
      <c r="C8" s="9">
        <f t="shared" si="0"/>
        <v>725.40999999999985</v>
      </c>
      <c r="D8" s="9">
        <v>658.65000000000009</v>
      </c>
      <c r="E8" s="9"/>
      <c r="F8" s="35"/>
      <c r="I8" s="33">
        <v>6</v>
      </c>
      <c r="J8" s="34">
        <v>1036.2999999999997</v>
      </c>
      <c r="K8" s="33">
        <f t="shared" si="1"/>
        <v>725.40999999999985</v>
      </c>
      <c r="L8" s="33">
        <v>577.61000000000013</v>
      </c>
      <c r="M8" s="33">
        <f>K8-L8</f>
        <v>147.79999999999973</v>
      </c>
      <c r="N8" s="33" t="s">
        <v>71</v>
      </c>
      <c r="O8" s="38">
        <v>0.46875</v>
      </c>
      <c r="Q8" s="9">
        <v>6</v>
      </c>
      <c r="R8" s="9">
        <v>1036.2999999999997</v>
      </c>
      <c r="S8" s="9">
        <v>725.40999999999985</v>
      </c>
      <c r="T8" s="9">
        <v>766.31</v>
      </c>
      <c r="U8" s="9">
        <f t="shared" si="2"/>
        <v>-40.900000000000091</v>
      </c>
      <c r="Y8" s="33">
        <v>6</v>
      </c>
      <c r="Z8" s="33">
        <v>1036.2999999999997</v>
      </c>
      <c r="AA8" s="33">
        <v>725.40999999999985</v>
      </c>
      <c r="AB8" s="33">
        <v>467.02</v>
      </c>
      <c r="AC8" s="33">
        <f t="shared" si="6"/>
        <v>258.38999999999987</v>
      </c>
      <c r="AG8" s="9">
        <v>6</v>
      </c>
      <c r="AH8" s="9">
        <v>1036.2999999999997</v>
      </c>
      <c r="AI8" s="9">
        <v>725.40999999999985</v>
      </c>
      <c r="AJ8" s="9">
        <v>614.36999999999989</v>
      </c>
      <c r="AK8" s="9">
        <f t="shared" si="3"/>
        <v>111.03999999999996</v>
      </c>
      <c r="AO8" s="33">
        <v>6</v>
      </c>
      <c r="AP8" s="33">
        <v>1036.2999999999997</v>
      </c>
      <c r="AQ8" s="33">
        <v>725.40999999999985</v>
      </c>
      <c r="AR8" s="33">
        <v>485.42000000000007</v>
      </c>
      <c r="AS8" s="33">
        <f t="shared" si="4"/>
        <v>239.98999999999978</v>
      </c>
      <c r="AT8" s="37">
        <v>45420</v>
      </c>
      <c r="AU8" s="40" t="s">
        <v>105</v>
      </c>
      <c r="AW8" s="9">
        <v>6</v>
      </c>
      <c r="AX8" s="9">
        <v>1036.2999999999997</v>
      </c>
      <c r="AY8" s="9">
        <v>725.40999999999985</v>
      </c>
      <c r="AZ8" s="9">
        <v>601.13999999999987</v>
      </c>
      <c r="BE8" s="33">
        <v>6</v>
      </c>
      <c r="BF8" s="33">
        <v>1036.2999999999997</v>
      </c>
      <c r="BG8" s="33">
        <v>725.40999999999985</v>
      </c>
      <c r="BH8" s="33">
        <v>459.03999999999996</v>
      </c>
      <c r="BI8" s="33">
        <f t="shared" si="5"/>
        <v>266.36999999999989</v>
      </c>
      <c r="BJ8" s="37">
        <v>45422</v>
      </c>
      <c r="BK8" s="38">
        <v>0.58333333333333337</v>
      </c>
      <c r="BM8" s="9">
        <v>6</v>
      </c>
      <c r="BN8" s="9">
        <v>144.63999999999987</v>
      </c>
      <c r="BR8" s="33">
        <v>6</v>
      </c>
      <c r="BS8" s="33">
        <v>347.37999999999965</v>
      </c>
      <c r="BT8" s="37">
        <v>45426</v>
      </c>
      <c r="BU8" s="33" t="s">
        <v>118</v>
      </c>
    </row>
    <row r="9" spans="1:73" x14ac:dyDescent="0.25">
      <c r="A9" s="14">
        <v>7</v>
      </c>
      <c r="B9" s="28">
        <v>972.79999999999984</v>
      </c>
      <c r="C9" s="14">
        <f t="shared" si="0"/>
        <v>680.95999999999981</v>
      </c>
      <c r="D9" s="14">
        <v>-1615.6999999999998</v>
      </c>
      <c r="E9" s="14"/>
      <c r="F9" s="39"/>
      <c r="G9" s="36"/>
      <c r="I9" s="14">
        <v>7</v>
      </c>
      <c r="J9" s="28">
        <v>972.79999999999984</v>
      </c>
      <c r="K9" s="14">
        <f t="shared" si="1"/>
        <v>680.95999999999981</v>
      </c>
      <c r="L9" s="14">
        <v>-1615.6999999999998</v>
      </c>
      <c r="M9" s="36"/>
      <c r="N9" s="36"/>
      <c r="O9" s="36"/>
      <c r="Q9" s="14">
        <v>7</v>
      </c>
      <c r="R9" s="14">
        <v>972.79999999999984</v>
      </c>
      <c r="S9" s="14">
        <v>680.95999999999981</v>
      </c>
      <c r="T9" s="14">
        <v>-1615.6999999999998</v>
      </c>
      <c r="U9" s="14">
        <f t="shared" si="2"/>
        <v>2296.66</v>
      </c>
      <c r="V9" s="36"/>
      <c r="W9" s="36"/>
      <c r="Y9" s="14">
        <v>7</v>
      </c>
      <c r="Z9" s="14">
        <v>972.79999999999984</v>
      </c>
      <c r="AA9" s="14">
        <v>680.95999999999981</v>
      </c>
      <c r="AB9" s="14">
        <v>-1615.6999999999998</v>
      </c>
      <c r="AC9" s="14">
        <f t="shared" si="6"/>
        <v>2296.66</v>
      </c>
      <c r="AD9" s="36"/>
      <c r="AE9" s="36"/>
      <c r="AG9" s="14">
        <v>7</v>
      </c>
      <c r="AH9" s="14">
        <v>972.79999999999984</v>
      </c>
      <c r="AI9" s="14">
        <v>680.95999999999981</v>
      </c>
      <c r="AJ9" s="14">
        <v>-1615.6999999999998</v>
      </c>
      <c r="AK9" s="14">
        <f t="shared" si="3"/>
        <v>2296.66</v>
      </c>
      <c r="AL9" s="36"/>
      <c r="AM9" s="36"/>
      <c r="AO9" s="14">
        <v>7</v>
      </c>
      <c r="AP9" s="14">
        <v>972.79999999999984</v>
      </c>
      <c r="AQ9" s="14">
        <v>680.95999999999981</v>
      </c>
      <c r="AR9" s="14">
        <v>-1615.6999999999998</v>
      </c>
      <c r="AS9" s="14">
        <f t="shared" si="4"/>
        <v>2296.66</v>
      </c>
      <c r="AT9" s="36"/>
      <c r="AU9" s="36"/>
      <c r="AW9" s="14">
        <v>7</v>
      </c>
      <c r="AX9" s="14">
        <v>972.79999999999984</v>
      </c>
      <c r="AY9" s="14">
        <v>680.95999999999981</v>
      </c>
      <c r="AZ9" s="14">
        <v>-1615.6999999999998</v>
      </c>
      <c r="BA9" s="36"/>
      <c r="BB9" s="36"/>
      <c r="BC9" s="36"/>
      <c r="BE9" s="14">
        <v>7</v>
      </c>
      <c r="BF9" s="14">
        <v>972.79999999999984</v>
      </c>
      <c r="BG9" s="14">
        <v>680.95999999999981</v>
      </c>
      <c r="BH9" s="14">
        <v>-1615.6999999999998</v>
      </c>
      <c r="BI9" s="14">
        <f t="shared" si="5"/>
        <v>2296.66</v>
      </c>
      <c r="BJ9" s="39">
        <v>45422</v>
      </c>
      <c r="BK9" s="49">
        <v>0.58333333333333337</v>
      </c>
      <c r="BM9" s="14">
        <v>7</v>
      </c>
      <c r="BN9" s="14">
        <v>2296.66</v>
      </c>
      <c r="BO9" s="36"/>
      <c r="BP9" s="36"/>
      <c r="BR9" s="14">
        <v>7</v>
      </c>
      <c r="BS9" s="14">
        <v>2296.66</v>
      </c>
      <c r="BT9" s="39">
        <v>45426</v>
      </c>
      <c r="BU9" s="14" t="s">
        <v>118</v>
      </c>
    </row>
    <row r="10" spans="1:73" x14ac:dyDescent="0.25">
      <c r="A10" s="9">
        <v>8</v>
      </c>
      <c r="B10" s="19">
        <v>1080.7999999999997</v>
      </c>
      <c r="C10" s="9">
        <f t="shared" si="0"/>
        <v>756.55999999999983</v>
      </c>
      <c r="D10" s="9">
        <v>701.81999999999994</v>
      </c>
      <c r="E10" s="9"/>
      <c r="F10" s="35"/>
      <c r="I10" s="33">
        <v>8</v>
      </c>
      <c r="J10" s="34">
        <v>1080.7999999999997</v>
      </c>
      <c r="K10" s="33">
        <f t="shared" si="1"/>
        <v>756.55999999999983</v>
      </c>
      <c r="L10" s="33">
        <v>637.26999999999975</v>
      </c>
      <c r="M10" s="33">
        <f>K10-L10</f>
        <v>119.29000000000008</v>
      </c>
      <c r="N10" s="40"/>
      <c r="O10" s="40"/>
      <c r="Q10" s="33">
        <v>8</v>
      </c>
      <c r="R10" s="33">
        <v>1080.7999999999997</v>
      </c>
      <c r="S10" s="33">
        <v>756.55999999999983</v>
      </c>
      <c r="T10" s="33">
        <v>685.97</v>
      </c>
      <c r="U10" s="33">
        <f t="shared" si="2"/>
        <v>70.589999999999804</v>
      </c>
      <c r="V10" s="37">
        <v>45356</v>
      </c>
      <c r="W10" s="33" t="s">
        <v>77</v>
      </c>
      <c r="Y10" s="33">
        <v>8</v>
      </c>
      <c r="Z10" s="33">
        <v>1080.7999999999997</v>
      </c>
      <c r="AA10" s="33">
        <v>756.55999999999983</v>
      </c>
      <c r="AB10" s="33">
        <v>481.80999999999972</v>
      </c>
      <c r="AC10" s="33">
        <f t="shared" si="6"/>
        <v>274.75000000000011</v>
      </c>
      <c r="AG10" s="9">
        <v>8</v>
      </c>
      <c r="AH10" s="9">
        <v>1080.7999999999997</v>
      </c>
      <c r="AI10" s="9">
        <v>756.55999999999983</v>
      </c>
      <c r="AJ10" s="9">
        <v>638.56999999999994</v>
      </c>
      <c r="AK10" s="9">
        <f t="shared" si="3"/>
        <v>117.9899999999999</v>
      </c>
      <c r="AO10" s="33">
        <v>8</v>
      </c>
      <c r="AP10" s="33">
        <v>1080.7999999999997</v>
      </c>
      <c r="AQ10" s="33">
        <v>756.55999999999983</v>
      </c>
      <c r="AR10" s="33">
        <v>502.1099999999999</v>
      </c>
      <c r="AS10" s="33">
        <f t="shared" si="4"/>
        <v>254.44999999999993</v>
      </c>
      <c r="AT10" s="37">
        <v>45420</v>
      </c>
      <c r="AU10" s="40" t="s">
        <v>105</v>
      </c>
      <c r="AW10" s="9">
        <v>8</v>
      </c>
      <c r="AX10" s="9">
        <v>1080.7999999999997</v>
      </c>
      <c r="AY10" s="9">
        <v>756.55999999999983</v>
      </c>
      <c r="AZ10" s="9">
        <v>612.28</v>
      </c>
      <c r="BE10" s="33">
        <v>8</v>
      </c>
      <c r="BF10" s="33">
        <v>1080.7999999999997</v>
      </c>
      <c r="BG10" s="33">
        <v>756.55999999999983</v>
      </c>
      <c r="BH10" s="33">
        <v>458.13999999999965</v>
      </c>
      <c r="BI10" s="33">
        <f t="shared" si="5"/>
        <v>298.42000000000019</v>
      </c>
      <c r="BJ10" s="37">
        <v>45422</v>
      </c>
      <c r="BK10" s="38">
        <v>0.58333333333333337</v>
      </c>
      <c r="BM10" s="33">
        <v>8</v>
      </c>
      <c r="BN10" s="33">
        <v>171.31999999999982</v>
      </c>
      <c r="BO10" s="37">
        <v>45425</v>
      </c>
      <c r="BP10" s="56" t="s">
        <v>119</v>
      </c>
      <c r="BR10" s="33">
        <v>8</v>
      </c>
      <c r="BS10" s="33">
        <v>322.63</v>
      </c>
      <c r="BT10" s="37">
        <v>45426</v>
      </c>
      <c r="BU10" s="33" t="s">
        <v>118</v>
      </c>
    </row>
    <row r="11" spans="1:73" x14ac:dyDescent="0.25">
      <c r="A11" s="33">
        <v>9</v>
      </c>
      <c r="B11" s="34">
        <v>1069.3000000000002</v>
      </c>
      <c r="C11" s="33">
        <f t="shared" si="0"/>
        <v>748.5100000000001</v>
      </c>
      <c r="D11" s="33">
        <v>515.58999999999992</v>
      </c>
      <c r="E11" s="33">
        <f>C11-D11</f>
        <v>232.92000000000019</v>
      </c>
      <c r="F11" s="37" t="s">
        <v>66</v>
      </c>
      <c r="G11" s="38">
        <v>0.46875</v>
      </c>
      <c r="I11" s="9">
        <v>9</v>
      </c>
      <c r="J11" s="19">
        <v>1069.3000000000002</v>
      </c>
      <c r="K11" s="9">
        <f t="shared" si="1"/>
        <v>748.5100000000001</v>
      </c>
      <c r="L11" s="9">
        <v>655.45</v>
      </c>
      <c r="Q11" s="33">
        <v>9</v>
      </c>
      <c r="R11" s="33">
        <v>1069.3000000000002</v>
      </c>
      <c r="S11" s="33">
        <v>748.5100000000001</v>
      </c>
      <c r="T11" s="33">
        <v>555.53</v>
      </c>
      <c r="U11" s="33">
        <f t="shared" si="2"/>
        <v>192.98000000000013</v>
      </c>
      <c r="V11" s="37">
        <v>45356</v>
      </c>
      <c r="W11" s="33" t="s">
        <v>77</v>
      </c>
      <c r="Y11" s="33">
        <v>9</v>
      </c>
      <c r="Z11" s="33">
        <v>1069.3000000000002</v>
      </c>
      <c r="AA11" s="33">
        <v>748.5100000000001</v>
      </c>
      <c r="AB11" s="33">
        <v>446.18000000000006</v>
      </c>
      <c r="AC11" s="33">
        <f t="shared" si="6"/>
        <v>302.33000000000004</v>
      </c>
      <c r="AG11" s="9">
        <v>9</v>
      </c>
      <c r="AH11" s="9">
        <v>1069.3000000000002</v>
      </c>
      <c r="AI11" s="9">
        <v>748.5100000000001</v>
      </c>
      <c r="AJ11" s="9">
        <v>827.68999999999983</v>
      </c>
      <c r="AK11" s="9">
        <f t="shared" si="3"/>
        <v>-79.179999999999723</v>
      </c>
      <c r="AO11" s="9">
        <v>9</v>
      </c>
      <c r="AP11" s="9">
        <v>1069.3000000000002</v>
      </c>
      <c r="AQ11" s="9">
        <v>748.5100000000001</v>
      </c>
      <c r="AR11" s="9">
        <v>684.43000000000006</v>
      </c>
      <c r="AS11" s="9">
        <f t="shared" si="4"/>
        <v>64.080000000000041</v>
      </c>
      <c r="AW11" s="33">
        <v>9</v>
      </c>
      <c r="AX11" s="33">
        <v>1069.3000000000002</v>
      </c>
      <c r="AY11" s="33">
        <v>748.5100000000001</v>
      </c>
      <c r="AZ11" s="33">
        <v>549.89999999999986</v>
      </c>
      <c r="BA11" s="33">
        <f>AY11-AZ11</f>
        <v>198.61000000000024</v>
      </c>
      <c r="BB11" s="37">
        <v>45421</v>
      </c>
      <c r="BC11" s="38">
        <v>0.46527777777777779</v>
      </c>
      <c r="BE11" s="33">
        <v>9</v>
      </c>
      <c r="BF11" s="33">
        <v>1069.3000000000002</v>
      </c>
      <c r="BG11" s="33">
        <v>748.5100000000001</v>
      </c>
      <c r="BH11" s="33">
        <v>609.87000000000012</v>
      </c>
      <c r="BI11" s="33">
        <f t="shared" si="5"/>
        <v>138.63999999999999</v>
      </c>
      <c r="BJ11" s="37">
        <v>45422</v>
      </c>
      <c r="BK11" s="38">
        <v>0.58333333333333337</v>
      </c>
      <c r="BM11" s="9">
        <v>9</v>
      </c>
      <c r="BN11" s="9">
        <v>129.50000000000011</v>
      </c>
      <c r="BR11" s="33">
        <v>9</v>
      </c>
      <c r="BS11" s="33">
        <v>336.57000000000005</v>
      </c>
      <c r="BT11" s="37">
        <v>45426</v>
      </c>
      <c r="BU11" s="33" t="s">
        <v>118</v>
      </c>
    </row>
    <row r="12" spans="1:73" x14ac:dyDescent="0.25">
      <c r="A12" s="33">
        <v>10</v>
      </c>
      <c r="B12" s="34">
        <v>938.49999999999989</v>
      </c>
      <c r="C12" s="33">
        <f t="shared" si="0"/>
        <v>656.94999999999982</v>
      </c>
      <c r="D12" s="33">
        <v>504.76999999999975</v>
      </c>
      <c r="E12" s="33">
        <f>C12-D12</f>
        <v>152.18000000000006</v>
      </c>
      <c r="F12" s="37" t="s">
        <v>66</v>
      </c>
      <c r="G12" s="38">
        <v>0.46875</v>
      </c>
      <c r="I12" s="9">
        <v>10</v>
      </c>
      <c r="J12" s="19">
        <v>938.49999999999989</v>
      </c>
      <c r="K12" s="9">
        <f t="shared" si="1"/>
        <v>656.94999999999982</v>
      </c>
      <c r="L12" s="9">
        <v>578.64999999999986</v>
      </c>
      <c r="Q12" s="33">
        <v>10</v>
      </c>
      <c r="R12" s="33">
        <v>938.49999999999989</v>
      </c>
      <c r="S12" s="33">
        <v>656.94999999999982</v>
      </c>
      <c r="T12" s="33">
        <v>502.43999999999983</v>
      </c>
      <c r="U12" s="33">
        <f t="shared" si="2"/>
        <v>154.51</v>
      </c>
      <c r="V12" s="37">
        <v>45356</v>
      </c>
      <c r="W12" s="33" t="s">
        <v>77</v>
      </c>
      <c r="Y12" s="33">
        <v>10</v>
      </c>
      <c r="Z12" s="33">
        <v>938.49999999999989</v>
      </c>
      <c r="AA12" s="33">
        <v>656.94999999999982</v>
      </c>
      <c r="AB12" s="33">
        <v>406.49999999999977</v>
      </c>
      <c r="AC12" s="33">
        <f t="shared" si="6"/>
        <v>250.45000000000005</v>
      </c>
      <c r="AG12" s="9">
        <v>10</v>
      </c>
      <c r="AH12" s="9">
        <v>938.49999999999989</v>
      </c>
      <c r="AI12" s="9">
        <v>656.94999999999982</v>
      </c>
      <c r="AJ12" s="9">
        <v>569.76999999999975</v>
      </c>
      <c r="AK12" s="9">
        <f t="shared" si="3"/>
        <v>87.180000000000064</v>
      </c>
      <c r="AO12" s="33">
        <v>10</v>
      </c>
      <c r="AP12" s="33">
        <v>938.49999999999989</v>
      </c>
      <c r="AQ12" s="33">
        <v>656.94999999999982</v>
      </c>
      <c r="AR12" s="33">
        <v>459.84999999999968</v>
      </c>
      <c r="AS12" s="33">
        <f t="shared" si="4"/>
        <v>197.10000000000014</v>
      </c>
      <c r="AT12" s="37">
        <v>45420</v>
      </c>
      <c r="AU12" s="40" t="s">
        <v>105</v>
      </c>
      <c r="AW12" s="9">
        <v>10</v>
      </c>
      <c r="AX12" s="9">
        <v>938.49999999999989</v>
      </c>
      <c r="AY12" s="9">
        <v>656.94999999999982</v>
      </c>
      <c r="AZ12" s="9">
        <v>547.47999999999979</v>
      </c>
      <c r="BE12" s="33">
        <v>10</v>
      </c>
      <c r="BF12" s="33">
        <v>938.49999999999989</v>
      </c>
      <c r="BG12" s="33">
        <v>656.94999999999982</v>
      </c>
      <c r="BH12" s="33">
        <v>442.6099999999999</v>
      </c>
      <c r="BI12" s="33">
        <f t="shared" si="5"/>
        <v>214.33999999999992</v>
      </c>
      <c r="BJ12" s="37">
        <v>45422</v>
      </c>
      <c r="BK12" s="38">
        <v>0.58333333333333337</v>
      </c>
      <c r="BM12" s="9">
        <v>10</v>
      </c>
      <c r="BN12" s="9">
        <v>127.04000000000019</v>
      </c>
      <c r="BR12" s="33">
        <v>10</v>
      </c>
      <c r="BS12" s="33">
        <v>259.91999999999985</v>
      </c>
      <c r="BT12" s="37">
        <v>45426</v>
      </c>
      <c r="BU12" s="33" t="s">
        <v>118</v>
      </c>
    </row>
    <row r="13" spans="1:73" x14ac:dyDescent="0.25">
      <c r="A13" s="9">
        <v>11</v>
      </c>
      <c r="B13" s="19">
        <v>1079.8000000000002</v>
      </c>
      <c r="C13" s="9">
        <f t="shared" si="0"/>
        <v>755.86000000000013</v>
      </c>
      <c r="D13" s="9">
        <v>651.94999999999982</v>
      </c>
      <c r="E13" s="9"/>
      <c r="F13" s="35"/>
      <c r="I13" s="33">
        <v>11</v>
      </c>
      <c r="J13" s="34">
        <v>1079.8000000000002</v>
      </c>
      <c r="K13" s="33">
        <f t="shared" si="1"/>
        <v>755.86000000000013</v>
      </c>
      <c r="L13" s="33">
        <v>592.54999999999973</v>
      </c>
      <c r="M13" s="33">
        <f>K13-L13</f>
        <v>163.3100000000004</v>
      </c>
      <c r="N13" s="33" t="s">
        <v>71</v>
      </c>
      <c r="O13" s="38">
        <v>0.46875</v>
      </c>
      <c r="Q13" s="33">
        <v>11</v>
      </c>
      <c r="R13" s="33">
        <v>1079.8000000000002</v>
      </c>
      <c r="S13" s="33">
        <v>755.86000000000013</v>
      </c>
      <c r="T13" s="33">
        <v>683.02</v>
      </c>
      <c r="U13" s="33">
        <f t="shared" si="2"/>
        <v>72.840000000000146</v>
      </c>
      <c r="V13" s="37">
        <v>45356</v>
      </c>
      <c r="W13" s="33" t="s">
        <v>77</v>
      </c>
      <c r="Y13" s="33">
        <v>11</v>
      </c>
      <c r="Z13" s="33">
        <v>1079.8000000000002</v>
      </c>
      <c r="AA13" s="33">
        <v>755.86000000000013</v>
      </c>
      <c r="AB13" s="33">
        <v>500.32999999999993</v>
      </c>
      <c r="AC13" s="33">
        <f t="shared" si="6"/>
        <v>255.5300000000002</v>
      </c>
      <c r="AG13" s="9">
        <v>11</v>
      </c>
      <c r="AH13" s="9">
        <v>1079.8000000000002</v>
      </c>
      <c r="AI13" s="9">
        <v>755.86000000000013</v>
      </c>
      <c r="AJ13" s="9">
        <v>654.11000000000013</v>
      </c>
      <c r="AK13" s="9">
        <f t="shared" si="3"/>
        <v>101.75</v>
      </c>
      <c r="AO13" s="33">
        <v>11</v>
      </c>
      <c r="AP13" s="33">
        <v>1079.8000000000002</v>
      </c>
      <c r="AQ13" s="33">
        <v>755.86000000000013</v>
      </c>
      <c r="AR13" s="33">
        <v>531.27999999999975</v>
      </c>
      <c r="AS13" s="33">
        <f t="shared" si="4"/>
        <v>224.58000000000038</v>
      </c>
      <c r="AT13" s="37">
        <v>45420</v>
      </c>
      <c r="AU13" s="40" t="s">
        <v>105</v>
      </c>
      <c r="AW13" s="9">
        <v>11</v>
      </c>
      <c r="AX13" s="9">
        <v>1079.8000000000002</v>
      </c>
      <c r="AY13" s="9">
        <v>755.86000000000013</v>
      </c>
      <c r="AZ13" s="9">
        <v>626.4699999999998</v>
      </c>
      <c r="BE13" s="33">
        <v>11</v>
      </c>
      <c r="BF13" s="33">
        <v>1079.8000000000002</v>
      </c>
      <c r="BG13" s="33">
        <v>755.86000000000013</v>
      </c>
      <c r="BH13" s="33">
        <v>484.29999999999995</v>
      </c>
      <c r="BI13" s="33">
        <f t="shared" si="5"/>
        <v>271.56000000000017</v>
      </c>
      <c r="BJ13" s="37">
        <v>45422</v>
      </c>
      <c r="BK13" s="38">
        <v>0.58333333333333337</v>
      </c>
      <c r="BM13" s="9">
        <v>11</v>
      </c>
      <c r="BN13" s="9">
        <v>149.14000000000033</v>
      </c>
      <c r="BR13" s="33">
        <v>11</v>
      </c>
      <c r="BS13" s="33">
        <v>364.73000000000025</v>
      </c>
      <c r="BT13" s="37">
        <v>45426</v>
      </c>
      <c r="BU13" s="33" t="s">
        <v>118</v>
      </c>
    </row>
    <row r="14" spans="1:73" x14ac:dyDescent="0.25">
      <c r="A14" s="33">
        <v>12</v>
      </c>
      <c r="B14" s="34">
        <v>929.9</v>
      </c>
      <c r="C14" s="33">
        <f t="shared" si="0"/>
        <v>650.92999999999995</v>
      </c>
      <c r="D14" s="33">
        <v>531.06000000000017</v>
      </c>
      <c r="E14" s="33">
        <f>C14-D14</f>
        <v>119.86999999999978</v>
      </c>
      <c r="F14" s="37" t="s">
        <v>66</v>
      </c>
      <c r="G14" s="38">
        <v>0.46875</v>
      </c>
      <c r="I14" s="9">
        <v>12</v>
      </c>
      <c r="J14" s="19">
        <v>929.9</v>
      </c>
      <c r="K14" s="9">
        <f t="shared" si="1"/>
        <v>650.92999999999995</v>
      </c>
      <c r="L14" s="9">
        <v>605.29000000000019</v>
      </c>
      <c r="Q14" s="33">
        <v>12</v>
      </c>
      <c r="R14" s="33">
        <v>929.9</v>
      </c>
      <c r="S14" s="33">
        <v>650.92999999999995</v>
      </c>
      <c r="T14" s="33">
        <v>557.31000000000017</v>
      </c>
      <c r="U14" s="33">
        <f t="shared" si="2"/>
        <v>93.619999999999777</v>
      </c>
      <c r="V14" s="37">
        <v>45356</v>
      </c>
      <c r="W14" s="33" t="s">
        <v>77</v>
      </c>
      <c r="Y14" s="33">
        <v>12</v>
      </c>
      <c r="Z14" s="33">
        <v>929.9</v>
      </c>
      <c r="AA14" s="33">
        <v>650.92999999999995</v>
      </c>
      <c r="AB14" s="33">
        <v>507.38000000000011</v>
      </c>
      <c r="AC14" s="33">
        <f t="shared" si="6"/>
        <v>143.54999999999984</v>
      </c>
      <c r="AG14" s="9">
        <v>12</v>
      </c>
      <c r="AH14" s="9">
        <v>929.9</v>
      </c>
      <c r="AI14" s="9">
        <v>650.92999999999995</v>
      </c>
      <c r="AJ14" s="9">
        <v>595.8900000000001</v>
      </c>
      <c r="AK14" s="9">
        <f t="shared" si="3"/>
        <v>55.03999999999985</v>
      </c>
      <c r="AO14" s="9">
        <v>12</v>
      </c>
      <c r="AP14" s="9">
        <v>929.9</v>
      </c>
      <c r="AQ14" s="9">
        <v>650.92999999999995</v>
      </c>
      <c r="AR14" s="9">
        <v>545.72</v>
      </c>
      <c r="AS14" s="9">
        <f t="shared" si="4"/>
        <v>105.20999999999992</v>
      </c>
      <c r="AW14" s="9">
        <v>12</v>
      </c>
      <c r="AX14" s="9">
        <v>929.9</v>
      </c>
      <c r="AY14" s="9">
        <v>650.92999999999995</v>
      </c>
      <c r="AZ14" s="9">
        <v>499.2800000000002</v>
      </c>
      <c r="BE14" s="33">
        <v>12</v>
      </c>
      <c r="BF14" s="33">
        <v>929.9</v>
      </c>
      <c r="BG14" s="33">
        <v>650.92999999999995</v>
      </c>
      <c r="BH14" s="33">
        <v>456.92000000000007</v>
      </c>
      <c r="BI14" s="33">
        <f t="shared" si="5"/>
        <v>194.00999999999988</v>
      </c>
      <c r="BJ14" s="37">
        <v>45422</v>
      </c>
      <c r="BK14" s="38">
        <v>0.58333333333333337</v>
      </c>
      <c r="BM14" s="9">
        <v>12</v>
      </c>
      <c r="BN14" s="9">
        <v>51.329999999999814</v>
      </c>
      <c r="BR14" s="33">
        <v>12</v>
      </c>
      <c r="BS14" s="33">
        <v>122.68999999999971</v>
      </c>
      <c r="BT14" s="37">
        <v>45426</v>
      </c>
      <c r="BU14" s="33" t="s">
        <v>118</v>
      </c>
    </row>
    <row r="15" spans="1:73" x14ac:dyDescent="0.25">
      <c r="A15" s="9">
        <v>13</v>
      </c>
      <c r="B15" s="19">
        <v>1024.5</v>
      </c>
      <c r="C15" s="9">
        <f t="shared" si="0"/>
        <v>717.15</v>
      </c>
      <c r="D15" s="9">
        <v>653.36000000000013</v>
      </c>
      <c r="E15" s="9"/>
      <c r="F15" s="35"/>
      <c r="I15" s="33">
        <v>13</v>
      </c>
      <c r="J15" s="34">
        <v>1024.5</v>
      </c>
      <c r="K15" s="33">
        <f t="shared" si="1"/>
        <v>717.15</v>
      </c>
      <c r="L15" s="33">
        <v>584.88999999999987</v>
      </c>
      <c r="M15" s="33">
        <f>K15-L15</f>
        <v>132.2600000000001</v>
      </c>
      <c r="N15" s="40"/>
      <c r="O15" s="40"/>
      <c r="Q15" s="33">
        <v>13</v>
      </c>
      <c r="R15" s="33">
        <v>1024.5</v>
      </c>
      <c r="S15" s="33">
        <v>717.15</v>
      </c>
      <c r="T15" s="33">
        <v>648.84999999999991</v>
      </c>
      <c r="U15" s="33">
        <f t="shared" si="2"/>
        <v>68.300000000000068</v>
      </c>
      <c r="V15" s="37">
        <v>45356</v>
      </c>
      <c r="W15" s="33" t="s">
        <v>77</v>
      </c>
      <c r="Y15" s="33">
        <v>13</v>
      </c>
      <c r="Z15" s="33">
        <v>1024.5</v>
      </c>
      <c r="AA15" s="33">
        <v>717.15</v>
      </c>
      <c r="AB15" s="33">
        <v>475.98999999999978</v>
      </c>
      <c r="AC15" s="33">
        <f t="shared" si="6"/>
        <v>241.1600000000002</v>
      </c>
      <c r="AG15" s="9">
        <v>13</v>
      </c>
      <c r="AH15" s="9">
        <v>1024.5</v>
      </c>
      <c r="AI15" s="9">
        <v>717.15</v>
      </c>
      <c r="AJ15" s="9">
        <v>632.23</v>
      </c>
      <c r="AK15" s="9">
        <f t="shared" si="3"/>
        <v>84.919999999999959</v>
      </c>
      <c r="AO15" s="33">
        <v>13</v>
      </c>
      <c r="AP15" s="33">
        <v>1024.5</v>
      </c>
      <c r="AQ15" s="33">
        <v>717.15</v>
      </c>
      <c r="AR15" s="33">
        <v>508.05999999999995</v>
      </c>
      <c r="AS15" s="33">
        <f t="shared" si="4"/>
        <v>209.09000000000003</v>
      </c>
      <c r="AT15" s="37">
        <v>45420</v>
      </c>
      <c r="AU15" s="33" t="s">
        <v>105</v>
      </c>
      <c r="AW15" s="9">
        <v>13</v>
      </c>
      <c r="AX15" s="9">
        <v>1024.5</v>
      </c>
      <c r="AY15" s="9">
        <v>717.15</v>
      </c>
      <c r="AZ15" s="9">
        <v>598.96</v>
      </c>
      <c r="BE15" s="33">
        <v>13</v>
      </c>
      <c r="BF15" s="33">
        <v>1024.5</v>
      </c>
      <c r="BG15" s="33">
        <v>717.15</v>
      </c>
      <c r="BH15" s="33">
        <v>466.82000000000016</v>
      </c>
      <c r="BI15" s="33">
        <f t="shared" si="5"/>
        <v>250.32999999999981</v>
      </c>
      <c r="BJ15" s="37">
        <v>45422</v>
      </c>
      <c r="BK15" s="38">
        <v>0.58333333333333337</v>
      </c>
      <c r="BM15" s="9">
        <v>13</v>
      </c>
      <c r="BN15" s="9">
        <v>133.16999999999996</v>
      </c>
      <c r="BR15" s="33">
        <v>13</v>
      </c>
      <c r="BS15" s="33">
        <v>324.55000000000007</v>
      </c>
      <c r="BT15" s="37">
        <v>45426</v>
      </c>
      <c r="BU15" s="33" t="s">
        <v>118</v>
      </c>
    </row>
    <row r="16" spans="1:73" x14ac:dyDescent="0.25">
      <c r="A16" s="33">
        <v>14</v>
      </c>
      <c r="B16" s="34">
        <v>992.59999999999991</v>
      </c>
      <c r="C16" s="33">
        <f t="shared" si="0"/>
        <v>694.82</v>
      </c>
      <c r="D16" s="33">
        <v>523.28</v>
      </c>
      <c r="E16" s="33">
        <f>C16-D16</f>
        <v>171.54000000000008</v>
      </c>
      <c r="F16" s="37" t="s">
        <v>66</v>
      </c>
      <c r="G16" s="38">
        <v>0.46875</v>
      </c>
      <c r="I16" s="9">
        <v>14</v>
      </c>
      <c r="J16" s="19">
        <v>992.59999999999991</v>
      </c>
      <c r="K16" s="9">
        <f t="shared" si="1"/>
        <v>694.82</v>
      </c>
      <c r="L16" s="9">
        <v>621.22</v>
      </c>
      <c r="Q16" s="33">
        <v>14</v>
      </c>
      <c r="R16" s="33">
        <v>992.59999999999991</v>
      </c>
      <c r="S16" s="33">
        <v>694.82</v>
      </c>
      <c r="T16" s="33">
        <v>549.45999999999981</v>
      </c>
      <c r="U16" s="33">
        <f t="shared" si="2"/>
        <v>145.36000000000024</v>
      </c>
      <c r="V16" s="37">
        <v>45356</v>
      </c>
      <c r="W16" s="33" t="s">
        <v>77</v>
      </c>
      <c r="Y16" s="33">
        <v>14</v>
      </c>
      <c r="Z16" s="33">
        <v>992.59999999999991</v>
      </c>
      <c r="AA16" s="33">
        <v>694.82</v>
      </c>
      <c r="AB16" s="33">
        <v>462.72</v>
      </c>
      <c r="AC16" s="33">
        <f t="shared" si="6"/>
        <v>232.10000000000002</v>
      </c>
      <c r="AG16" s="9">
        <v>14</v>
      </c>
      <c r="AH16" s="9">
        <v>992.59999999999991</v>
      </c>
      <c r="AI16" s="9">
        <v>694.82</v>
      </c>
      <c r="AJ16" s="9">
        <v>604.97999999999979</v>
      </c>
      <c r="AK16" s="9">
        <f t="shared" si="3"/>
        <v>89.840000000000259</v>
      </c>
      <c r="AO16" s="33">
        <v>14</v>
      </c>
      <c r="AP16" s="33">
        <v>992.59999999999991</v>
      </c>
      <c r="AQ16" s="33">
        <v>694.82</v>
      </c>
      <c r="AR16" s="33">
        <v>509.99</v>
      </c>
      <c r="AS16" s="33">
        <f t="shared" si="4"/>
        <v>184.83000000000004</v>
      </c>
      <c r="AT16" s="37">
        <v>45420</v>
      </c>
      <c r="AU16" s="33" t="s">
        <v>105</v>
      </c>
      <c r="AW16" s="9">
        <v>14</v>
      </c>
      <c r="AX16" s="9">
        <v>992.59999999999991</v>
      </c>
      <c r="AY16" s="9">
        <v>694.82</v>
      </c>
      <c r="AZ16" s="9">
        <v>597.06999999999994</v>
      </c>
      <c r="BE16" s="33">
        <v>14</v>
      </c>
      <c r="BF16" s="33">
        <v>992.59999999999991</v>
      </c>
      <c r="BG16" s="33">
        <v>694.82</v>
      </c>
      <c r="BH16" s="33">
        <v>503.74</v>
      </c>
      <c r="BI16" s="33">
        <f t="shared" si="5"/>
        <v>191.08000000000004</v>
      </c>
      <c r="BJ16" s="37">
        <v>45422</v>
      </c>
      <c r="BK16" s="38">
        <v>0.58333333333333337</v>
      </c>
      <c r="BM16" s="9">
        <v>14</v>
      </c>
      <c r="BN16" s="9">
        <v>88.270000000000095</v>
      </c>
      <c r="BR16" s="33">
        <v>14</v>
      </c>
      <c r="BS16" s="33">
        <v>238.9000000000002</v>
      </c>
      <c r="BT16" s="37">
        <v>45426</v>
      </c>
      <c r="BU16" s="33" t="s">
        <v>118</v>
      </c>
    </row>
    <row r="17" spans="1:73" x14ac:dyDescent="0.25">
      <c r="A17" s="33">
        <v>15</v>
      </c>
      <c r="B17" s="34">
        <v>929.9000000000002</v>
      </c>
      <c r="C17" s="33">
        <f t="shared" si="0"/>
        <v>650.93000000000018</v>
      </c>
      <c r="D17" s="33">
        <v>486.46000000000004</v>
      </c>
      <c r="E17" s="33">
        <f>C17-D17</f>
        <v>164.47000000000014</v>
      </c>
      <c r="F17" s="37" t="s">
        <v>66</v>
      </c>
      <c r="G17" s="38">
        <v>0.46875</v>
      </c>
      <c r="I17" s="9">
        <v>15</v>
      </c>
      <c r="J17" s="19">
        <v>929.9000000000002</v>
      </c>
      <c r="K17" s="9">
        <f t="shared" si="1"/>
        <v>650.93000000000018</v>
      </c>
      <c r="L17" s="9">
        <v>577.43000000000006</v>
      </c>
      <c r="Q17" s="33">
        <v>15</v>
      </c>
      <c r="R17" s="33">
        <v>929.9000000000002</v>
      </c>
      <c r="S17" s="33">
        <v>650.93000000000018</v>
      </c>
      <c r="T17" s="33">
        <v>497.21000000000004</v>
      </c>
      <c r="U17" s="33">
        <f t="shared" si="2"/>
        <v>153.72000000000014</v>
      </c>
      <c r="V17" s="37">
        <v>45356</v>
      </c>
      <c r="W17" s="33" t="s">
        <v>77</v>
      </c>
      <c r="Y17" s="33">
        <v>15</v>
      </c>
      <c r="Z17" s="33">
        <v>929.9000000000002</v>
      </c>
      <c r="AA17" s="33">
        <v>650.93000000000018</v>
      </c>
      <c r="AB17" s="33">
        <v>386.67000000000007</v>
      </c>
      <c r="AC17" s="33">
        <f t="shared" si="6"/>
        <v>264.2600000000001</v>
      </c>
      <c r="AG17" s="9">
        <v>15</v>
      </c>
      <c r="AH17" s="9">
        <v>929.9000000000002</v>
      </c>
      <c r="AI17" s="9">
        <v>650.93000000000018</v>
      </c>
      <c r="AJ17" s="9">
        <v>560.16000000000008</v>
      </c>
      <c r="AK17" s="9">
        <f t="shared" si="3"/>
        <v>90.770000000000095</v>
      </c>
      <c r="AO17" s="33">
        <v>15</v>
      </c>
      <c r="AP17" s="33">
        <v>929.9000000000002</v>
      </c>
      <c r="AQ17" s="33">
        <v>650.93000000000018</v>
      </c>
      <c r="AR17" s="33">
        <v>427</v>
      </c>
      <c r="AS17" s="33">
        <f t="shared" si="4"/>
        <v>223.93000000000018</v>
      </c>
      <c r="AT17" s="37">
        <v>45420</v>
      </c>
      <c r="AU17" s="33" t="s">
        <v>105</v>
      </c>
      <c r="AW17" s="33">
        <v>15</v>
      </c>
      <c r="AX17" s="33">
        <v>929.9000000000002</v>
      </c>
      <c r="AY17" s="33">
        <v>650.93000000000018</v>
      </c>
      <c r="AZ17" s="33">
        <v>514.89999999999986</v>
      </c>
      <c r="BA17" s="33">
        <f>AY17-AZ17</f>
        <v>136.03000000000031</v>
      </c>
      <c r="BB17" s="37">
        <v>45421</v>
      </c>
      <c r="BC17" s="38">
        <v>0.46527777777777779</v>
      </c>
      <c r="BE17" s="33">
        <v>15</v>
      </c>
      <c r="BF17" s="33">
        <v>929.9000000000002</v>
      </c>
      <c r="BG17" s="33">
        <v>650.93000000000018</v>
      </c>
      <c r="BH17" s="33">
        <v>488.65000000000009</v>
      </c>
      <c r="BI17" s="33">
        <f t="shared" si="5"/>
        <v>162.28000000000009</v>
      </c>
      <c r="BJ17" s="37">
        <v>45422</v>
      </c>
      <c r="BK17" s="38">
        <v>0.58333333333333337</v>
      </c>
      <c r="BM17" s="9">
        <v>15</v>
      </c>
      <c r="BN17" s="9">
        <v>112.36000000000024</v>
      </c>
      <c r="BR17" s="33">
        <v>15</v>
      </c>
      <c r="BS17" s="33">
        <v>302.23000000000013</v>
      </c>
      <c r="BT17" s="37">
        <v>45426</v>
      </c>
      <c r="BU17" s="33" t="s">
        <v>118</v>
      </c>
    </row>
    <row r="18" spans="1:73" x14ac:dyDescent="0.25">
      <c r="A18" s="9">
        <v>16</v>
      </c>
      <c r="B18" s="19">
        <v>953.19999999999982</v>
      </c>
      <c r="C18" s="9">
        <f t="shared" si="0"/>
        <v>667.2399999999999</v>
      </c>
      <c r="D18" s="9">
        <v>598.5300000000002</v>
      </c>
      <c r="E18" s="9"/>
      <c r="F18" s="35"/>
      <c r="I18" s="33">
        <v>16</v>
      </c>
      <c r="J18" s="34">
        <v>953.19999999999982</v>
      </c>
      <c r="K18" s="33">
        <f t="shared" si="1"/>
        <v>667.2399999999999</v>
      </c>
      <c r="L18" s="33">
        <v>535.70000000000005</v>
      </c>
      <c r="M18" s="33">
        <f>K18-L18</f>
        <v>131.53999999999985</v>
      </c>
      <c r="N18" s="40"/>
      <c r="O18" s="40"/>
      <c r="Q18" s="33">
        <v>16</v>
      </c>
      <c r="R18" s="33">
        <v>953.19999999999982</v>
      </c>
      <c r="S18" s="33">
        <v>667.2399999999999</v>
      </c>
      <c r="T18" s="33">
        <v>610.55000000000018</v>
      </c>
      <c r="U18" s="33">
        <f t="shared" si="2"/>
        <v>56.689999999999714</v>
      </c>
      <c r="V18" s="37">
        <v>45356</v>
      </c>
      <c r="W18" s="33" t="s">
        <v>77</v>
      </c>
      <c r="Y18" s="33">
        <v>16</v>
      </c>
      <c r="Z18" s="33">
        <v>953.19999999999982</v>
      </c>
      <c r="AA18" s="33">
        <v>667.2399999999999</v>
      </c>
      <c r="AB18" s="33">
        <v>441.73</v>
      </c>
      <c r="AC18" s="33">
        <f t="shared" si="6"/>
        <v>225.50999999999988</v>
      </c>
      <c r="AG18" s="9">
        <v>16</v>
      </c>
      <c r="AH18" s="9">
        <v>953.19999999999982</v>
      </c>
      <c r="AI18" s="9">
        <v>667.2399999999999</v>
      </c>
      <c r="AJ18" s="9">
        <v>587.80999999999995</v>
      </c>
      <c r="AK18" s="9">
        <f t="shared" si="3"/>
        <v>79.42999999999995</v>
      </c>
      <c r="AO18" s="33">
        <v>16</v>
      </c>
      <c r="AP18" s="33">
        <v>953.19999999999982</v>
      </c>
      <c r="AQ18" s="33">
        <v>667.2399999999999</v>
      </c>
      <c r="AR18" s="33">
        <v>490.5</v>
      </c>
      <c r="AS18" s="33">
        <f t="shared" si="4"/>
        <v>176.7399999999999</v>
      </c>
      <c r="AT18" s="37">
        <v>45420</v>
      </c>
      <c r="AU18" s="33" t="s">
        <v>105</v>
      </c>
      <c r="AW18" s="9">
        <v>16</v>
      </c>
      <c r="AX18" s="9">
        <v>953.19999999999982</v>
      </c>
      <c r="AY18" s="9">
        <v>667.2399999999999</v>
      </c>
      <c r="AZ18" s="9">
        <v>568.23</v>
      </c>
      <c r="BE18" s="33">
        <v>16</v>
      </c>
      <c r="BF18" s="33">
        <v>953.19999999999982</v>
      </c>
      <c r="BG18" s="33">
        <v>667.2399999999999</v>
      </c>
      <c r="BH18" s="33">
        <v>469.10000000000014</v>
      </c>
      <c r="BI18" s="33">
        <f t="shared" si="5"/>
        <v>198.13999999999976</v>
      </c>
      <c r="BJ18" s="37">
        <v>45422</v>
      </c>
      <c r="BK18" s="38">
        <v>0.58333333333333337</v>
      </c>
      <c r="BM18" s="9">
        <v>16</v>
      </c>
      <c r="BN18" s="9">
        <v>116.35000000000002</v>
      </c>
      <c r="BR18" s="33">
        <v>16</v>
      </c>
      <c r="BS18" s="33">
        <v>246.3399999999998</v>
      </c>
      <c r="BT18" s="37">
        <v>45426</v>
      </c>
      <c r="BU18" s="33" t="s">
        <v>118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BEA0-3111-4399-8D7C-EC51188E40C0}">
  <dimension ref="A3:R20"/>
  <sheetViews>
    <sheetView workbookViewId="0">
      <selection activeCell="M18" sqref="M18"/>
    </sheetView>
  </sheetViews>
  <sheetFormatPr defaultRowHeight="15" x14ac:dyDescent="0.25"/>
  <cols>
    <col min="1" max="1" width="11.42578125" style="9" bestFit="1" customWidth="1"/>
    <col min="2" max="2" width="9.28515625" style="9"/>
    <col min="3" max="3" width="16.7109375" style="9" bestFit="1" customWidth="1"/>
    <col min="5" max="5" width="12.7109375" bestFit="1" customWidth="1"/>
    <col min="6" max="6" width="9.28515625" customWidth="1"/>
    <col min="11" max="11" width="11.42578125" bestFit="1" customWidth="1"/>
    <col min="12" max="12" width="10.7109375" bestFit="1" customWidth="1"/>
    <col min="13" max="13" width="16.7109375" bestFit="1" customWidth="1"/>
    <col min="14" max="14" width="28" bestFit="1" customWidth="1"/>
    <col min="15" max="15" width="10.7109375" style="9" bestFit="1" customWidth="1"/>
    <col min="17" max="17" width="26.5703125" style="9" bestFit="1" customWidth="1"/>
    <col min="18" max="18" width="11.28515625" style="9" bestFit="1" customWidth="1"/>
  </cols>
  <sheetData>
    <row r="3" spans="1:18" x14ac:dyDescent="0.25">
      <c r="A3" s="7" t="s">
        <v>14</v>
      </c>
      <c r="B3" s="7" t="s">
        <v>20</v>
      </c>
      <c r="C3" s="7" t="s">
        <v>23</v>
      </c>
      <c r="D3" s="7" t="s">
        <v>21</v>
      </c>
      <c r="K3" s="7" t="s">
        <v>14</v>
      </c>
      <c r="L3" s="7" t="s">
        <v>20</v>
      </c>
      <c r="M3" s="15" t="s">
        <v>23</v>
      </c>
      <c r="N3" s="7" t="s">
        <v>21</v>
      </c>
      <c r="O3" s="7" t="s">
        <v>26</v>
      </c>
      <c r="Q3" s="64" t="s">
        <v>48</v>
      </c>
      <c r="R3" s="64"/>
    </row>
    <row r="4" spans="1:18" x14ac:dyDescent="0.25">
      <c r="A4" s="9">
        <v>1</v>
      </c>
      <c r="B4" s="13">
        <v>42095</v>
      </c>
      <c r="C4" s="9">
        <v>1</v>
      </c>
      <c r="D4" s="9"/>
      <c r="K4" s="9">
        <v>1</v>
      </c>
      <c r="L4" s="13">
        <v>42461</v>
      </c>
      <c r="M4" s="9">
        <v>1</v>
      </c>
      <c r="N4" s="9" t="s">
        <v>24</v>
      </c>
      <c r="Q4" s="21" t="s">
        <v>42</v>
      </c>
      <c r="R4" s="22">
        <v>0.6</v>
      </c>
    </row>
    <row r="5" spans="1:18" ht="15" customHeight="1" x14ac:dyDescent="0.25">
      <c r="A5" s="9">
        <v>2</v>
      </c>
      <c r="B5" s="13">
        <v>42095</v>
      </c>
      <c r="C5" s="9">
        <v>3</v>
      </c>
      <c r="D5" s="9">
        <v>1</v>
      </c>
      <c r="F5" s="60" t="s">
        <v>29</v>
      </c>
      <c r="G5" s="60"/>
      <c r="H5" s="60"/>
      <c r="I5" s="60"/>
      <c r="K5" s="9">
        <v>2</v>
      </c>
      <c r="L5" s="13">
        <v>42491</v>
      </c>
      <c r="M5" s="9">
        <v>3</v>
      </c>
      <c r="N5" s="9" t="s">
        <v>24</v>
      </c>
      <c r="Q5" s="21" t="s">
        <v>43</v>
      </c>
      <c r="R5" s="21" t="s">
        <v>46</v>
      </c>
    </row>
    <row r="6" spans="1:18" x14ac:dyDescent="0.25">
      <c r="A6" s="9">
        <v>3</v>
      </c>
      <c r="B6" s="13">
        <v>42095</v>
      </c>
      <c r="C6" s="9">
        <v>3</v>
      </c>
      <c r="D6" s="9"/>
      <c r="F6" s="60"/>
      <c r="G6" s="60"/>
      <c r="H6" s="60"/>
      <c r="I6" s="60"/>
      <c r="K6" s="9">
        <v>3</v>
      </c>
      <c r="L6" s="13">
        <v>42522</v>
      </c>
      <c r="M6" s="9">
        <v>3</v>
      </c>
      <c r="N6" s="9" t="s">
        <v>24</v>
      </c>
      <c r="O6" s="9" t="s">
        <v>27</v>
      </c>
      <c r="Q6" s="21" t="s">
        <v>44</v>
      </c>
      <c r="R6" s="21" t="s">
        <v>47</v>
      </c>
    </row>
    <row r="7" spans="1:18" ht="15" customHeight="1" x14ac:dyDescent="0.25">
      <c r="A7" s="9">
        <v>4</v>
      </c>
      <c r="B7" s="13">
        <v>42095</v>
      </c>
      <c r="C7" s="9">
        <v>3</v>
      </c>
      <c r="D7" s="9">
        <v>1</v>
      </c>
      <c r="F7" s="60"/>
      <c r="G7" s="60"/>
      <c r="H7" s="60"/>
      <c r="I7" s="60"/>
      <c r="K7" s="9">
        <v>4</v>
      </c>
      <c r="L7" s="13">
        <v>42552</v>
      </c>
      <c r="M7" s="9">
        <v>3</v>
      </c>
      <c r="N7" s="9" t="s">
        <v>24</v>
      </c>
      <c r="Q7" s="21" t="s">
        <v>45</v>
      </c>
      <c r="R7" s="21" t="s">
        <v>49</v>
      </c>
    </row>
    <row r="8" spans="1:18" x14ac:dyDescent="0.25">
      <c r="A8" s="9">
        <v>5</v>
      </c>
      <c r="B8" s="13">
        <v>42095</v>
      </c>
      <c r="C8" s="9">
        <v>4</v>
      </c>
      <c r="D8" s="9">
        <v>1</v>
      </c>
      <c r="K8" s="9">
        <v>5</v>
      </c>
      <c r="L8" s="13">
        <v>42583</v>
      </c>
      <c r="M8" s="9">
        <v>4</v>
      </c>
      <c r="N8" s="9" t="s">
        <v>24</v>
      </c>
    </row>
    <row r="9" spans="1:18" x14ac:dyDescent="0.25">
      <c r="A9" s="9">
        <v>6</v>
      </c>
      <c r="B9" s="13">
        <v>42095</v>
      </c>
      <c r="C9" s="9">
        <v>3</v>
      </c>
      <c r="D9" s="9"/>
      <c r="F9" s="61" t="s">
        <v>22</v>
      </c>
      <c r="G9" s="61"/>
      <c r="H9" s="61"/>
      <c r="I9" s="61"/>
      <c r="K9" s="9">
        <v>6</v>
      </c>
      <c r="L9" s="13">
        <v>42614</v>
      </c>
      <c r="M9" s="9">
        <v>3</v>
      </c>
      <c r="N9" s="9" t="s">
        <v>24</v>
      </c>
      <c r="O9" s="9" t="s">
        <v>28</v>
      </c>
    </row>
    <row r="10" spans="1:18" x14ac:dyDescent="0.25">
      <c r="A10" s="14">
        <v>7</v>
      </c>
      <c r="B10" s="13">
        <v>42095</v>
      </c>
      <c r="C10" s="9">
        <v>0</v>
      </c>
      <c r="D10" s="9"/>
      <c r="K10" s="9">
        <v>7</v>
      </c>
      <c r="L10" s="13">
        <v>42644</v>
      </c>
      <c r="M10" s="9">
        <v>0</v>
      </c>
      <c r="N10" s="9" t="s">
        <v>24</v>
      </c>
    </row>
    <row r="11" spans="1:18" ht="15" customHeight="1" x14ac:dyDescent="0.25">
      <c r="A11" s="9">
        <v>8</v>
      </c>
      <c r="B11" s="13">
        <v>42095</v>
      </c>
      <c r="C11" s="9">
        <v>3</v>
      </c>
      <c r="D11" s="9"/>
      <c r="F11" s="62" t="s">
        <v>30</v>
      </c>
      <c r="G11" s="62"/>
      <c r="H11" s="62"/>
      <c r="I11" s="62"/>
      <c r="K11" s="9">
        <v>8</v>
      </c>
      <c r="L11" s="13">
        <v>42675</v>
      </c>
      <c r="M11" s="9">
        <v>3</v>
      </c>
      <c r="N11" s="9" t="s">
        <v>24</v>
      </c>
      <c r="O11" s="9" t="s">
        <v>28</v>
      </c>
    </row>
    <row r="12" spans="1:18" ht="15" customHeight="1" x14ac:dyDescent="0.25">
      <c r="A12" s="9">
        <v>9</v>
      </c>
      <c r="B12" s="13">
        <v>42095</v>
      </c>
      <c r="C12" s="9">
        <v>2</v>
      </c>
      <c r="D12" s="9"/>
      <c r="F12" s="62"/>
      <c r="G12" s="62"/>
      <c r="H12" s="62"/>
      <c r="I12" s="62"/>
      <c r="K12" s="9">
        <v>9</v>
      </c>
      <c r="L12" s="13">
        <v>42705</v>
      </c>
      <c r="M12" s="9">
        <v>3</v>
      </c>
      <c r="N12" s="9" t="s">
        <v>24</v>
      </c>
    </row>
    <row r="13" spans="1:18" ht="15" customHeight="1" x14ac:dyDescent="0.25">
      <c r="A13" s="9">
        <v>10</v>
      </c>
      <c r="B13" s="13">
        <v>42095</v>
      </c>
      <c r="C13" s="9">
        <v>3</v>
      </c>
      <c r="D13" s="9"/>
      <c r="K13" s="9">
        <v>10</v>
      </c>
      <c r="L13" s="13">
        <v>42736</v>
      </c>
      <c r="M13" s="9">
        <v>3</v>
      </c>
      <c r="N13" s="9" t="s">
        <v>24</v>
      </c>
    </row>
    <row r="14" spans="1:18" x14ac:dyDescent="0.25">
      <c r="A14" s="9">
        <v>11</v>
      </c>
      <c r="B14" s="13">
        <v>42095</v>
      </c>
      <c r="C14" s="9">
        <v>2</v>
      </c>
      <c r="D14" s="9"/>
      <c r="F14" s="63" t="s">
        <v>41</v>
      </c>
      <c r="G14" s="63"/>
      <c r="H14" s="63"/>
      <c r="I14" s="63"/>
      <c r="K14" s="9">
        <v>11</v>
      </c>
      <c r="L14" s="13">
        <v>42767</v>
      </c>
      <c r="M14" s="9">
        <v>3</v>
      </c>
      <c r="N14" s="9" t="s">
        <v>24</v>
      </c>
      <c r="O14" s="9" t="s">
        <v>28</v>
      </c>
    </row>
    <row r="15" spans="1:18" x14ac:dyDescent="0.25">
      <c r="A15" s="9">
        <v>12</v>
      </c>
      <c r="B15" s="13">
        <v>42095</v>
      </c>
      <c r="C15" s="9">
        <v>2</v>
      </c>
      <c r="D15" s="9"/>
      <c r="K15" s="9">
        <v>12</v>
      </c>
      <c r="L15" s="13">
        <v>42795</v>
      </c>
      <c r="M15" s="9">
        <v>3</v>
      </c>
      <c r="N15" s="9" t="s">
        <v>24</v>
      </c>
    </row>
    <row r="16" spans="1:18" x14ac:dyDescent="0.25">
      <c r="A16" s="9">
        <v>13</v>
      </c>
      <c r="B16" s="13">
        <v>42095</v>
      </c>
      <c r="C16" s="9">
        <v>2</v>
      </c>
      <c r="D16" s="9"/>
      <c r="K16" s="9">
        <v>13</v>
      </c>
      <c r="L16" s="13">
        <v>42826</v>
      </c>
      <c r="M16" s="9">
        <v>3</v>
      </c>
      <c r="N16" s="9" t="s">
        <v>24</v>
      </c>
    </row>
    <row r="17" spans="1:14" x14ac:dyDescent="0.25">
      <c r="A17" s="9">
        <v>14</v>
      </c>
      <c r="B17" s="13">
        <v>42095</v>
      </c>
      <c r="C17" s="9">
        <v>3</v>
      </c>
      <c r="D17" s="9"/>
      <c r="K17" s="9">
        <v>14</v>
      </c>
      <c r="L17" s="13">
        <v>42856</v>
      </c>
      <c r="M17" s="9">
        <v>4</v>
      </c>
      <c r="N17" s="9" t="s">
        <v>24</v>
      </c>
    </row>
    <row r="18" spans="1:14" x14ac:dyDescent="0.25">
      <c r="A18" s="9">
        <v>15</v>
      </c>
      <c r="B18" s="13">
        <v>42095</v>
      </c>
      <c r="C18" s="9">
        <v>4</v>
      </c>
      <c r="D18" s="9"/>
      <c r="K18" s="9">
        <v>15</v>
      </c>
      <c r="L18" s="13">
        <v>42887</v>
      </c>
      <c r="M18" s="9">
        <v>4</v>
      </c>
      <c r="N18" s="9" t="s">
        <v>24</v>
      </c>
    </row>
    <row r="19" spans="1:14" x14ac:dyDescent="0.25">
      <c r="A19" s="9">
        <v>16</v>
      </c>
      <c r="B19" s="13">
        <v>42095</v>
      </c>
      <c r="C19" s="9">
        <v>4</v>
      </c>
      <c r="D19" s="9"/>
      <c r="K19" s="9">
        <v>16</v>
      </c>
      <c r="L19" s="13">
        <v>42917</v>
      </c>
      <c r="M19" s="9">
        <v>4</v>
      </c>
      <c r="N19" s="9" t="s">
        <v>24</v>
      </c>
    </row>
    <row r="20" spans="1:14" x14ac:dyDescent="0.25">
      <c r="N20" s="16" t="s">
        <v>25</v>
      </c>
    </row>
  </sheetData>
  <mergeCells count="5">
    <mergeCell ref="F5:I7"/>
    <mergeCell ref="F9:I9"/>
    <mergeCell ref="F11:I12"/>
    <mergeCell ref="F14:I14"/>
    <mergeCell ref="Q3:R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87928-B8B8-4120-B9FE-977B7BD25C7B}">
  <dimension ref="A1:O13"/>
  <sheetViews>
    <sheetView tabSelected="1" workbookViewId="0">
      <selection activeCell="F5" sqref="F5"/>
    </sheetView>
  </sheetViews>
  <sheetFormatPr defaultRowHeight="15" x14ac:dyDescent="0.25"/>
  <cols>
    <col min="2" max="2" width="29.42578125" customWidth="1"/>
    <col min="3" max="3" width="28.7109375" bestFit="1" customWidth="1"/>
    <col min="7" max="7" width="12.7109375" bestFit="1" customWidth="1"/>
    <col min="13" max="13" width="10" bestFit="1" customWidth="1"/>
    <col min="15" max="15" width="12.140625" bestFit="1" customWidth="1"/>
  </cols>
  <sheetData>
    <row r="1" spans="1:15" x14ac:dyDescent="0.25">
      <c r="A1" s="66" t="s">
        <v>82</v>
      </c>
      <c r="B1" s="66"/>
      <c r="C1" s="66"/>
      <c r="D1" s="66"/>
      <c r="F1" s="66" t="s">
        <v>109</v>
      </c>
      <c r="G1" s="66"/>
      <c r="H1" s="66"/>
      <c r="J1" s="67" t="s">
        <v>120</v>
      </c>
      <c r="K1" s="67"/>
      <c r="M1" s="65" t="s">
        <v>125</v>
      </c>
      <c r="N1" s="65"/>
      <c r="O1" s="65"/>
    </row>
    <row r="2" spans="1:15" x14ac:dyDescent="0.25">
      <c r="A2" s="42" t="s">
        <v>78</v>
      </c>
      <c r="B2" s="42" t="s">
        <v>79</v>
      </c>
      <c r="C2" s="42" t="s">
        <v>80</v>
      </c>
      <c r="D2" s="42" t="s">
        <v>81</v>
      </c>
      <c r="F2" s="42" t="s">
        <v>78</v>
      </c>
      <c r="G2" s="42" t="s">
        <v>110</v>
      </c>
      <c r="H2" s="42" t="s">
        <v>81</v>
      </c>
      <c r="J2" s="42" t="s">
        <v>78</v>
      </c>
      <c r="K2" s="42" t="s">
        <v>81</v>
      </c>
      <c r="M2" s="65"/>
      <c r="N2" s="65"/>
      <c r="O2" s="65"/>
    </row>
    <row r="3" spans="1:15" x14ac:dyDescent="0.25">
      <c r="A3" s="9" t="s">
        <v>83</v>
      </c>
      <c r="B3" s="9"/>
      <c r="C3" s="9" t="s">
        <v>84</v>
      </c>
      <c r="D3" s="9" t="s">
        <v>85</v>
      </c>
      <c r="F3" s="9">
        <v>243521</v>
      </c>
      <c r="G3" s="9" t="s">
        <v>89</v>
      </c>
      <c r="H3" s="9" t="s">
        <v>85</v>
      </c>
      <c r="J3" s="26">
        <v>471938</v>
      </c>
      <c r="K3" s="9" t="s">
        <v>85</v>
      </c>
      <c r="M3" s="42" t="s">
        <v>78</v>
      </c>
      <c r="N3" s="42" t="s">
        <v>81</v>
      </c>
      <c r="O3" s="53" t="s">
        <v>110</v>
      </c>
    </row>
    <row r="4" spans="1:15" x14ac:dyDescent="0.25">
      <c r="A4" s="9">
        <v>471938</v>
      </c>
      <c r="B4" s="9" t="s">
        <v>86</v>
      </c>
      <c r="C4" s="9" t="s">
        <v>87</v>
      </c>
      <c r="D4" s="9" t="s">
        <v>85</v>
      </c>
      <c r="F4" s="9">
        <v>398245</v>
      </c>
      <c r="G4" s="9" t="s">
        <v>87</v>
      </c>
      <c r="H4" s="9" t="s">
        <v>85</v>
      </c>
      <c r="J4" s="9">
        <v>398245</v>
      </c>
      <c r="K4" s="9" t="s">
        <v>85</v>
      </c>
      <c r="M4" s="9">
        <v>398245</v>
      </c>
      <c r="N4" s="9" t="s">
        <v>85</v>
      </c>
      <c r="O4" s="54">
        <v>0.66600000000000004</v>
      </c>
    </row>
    <row r="5" spans="1:15" x14ac:dyDescent="0.25">
      <c r="A5" s="26">
        <v>507408</v>
      </c>
      <c r="B5" s="9" t="s">
        <v>88</v>
      </c>
      <c r="C5" s="9" t="s">
        <v>89</v>
      </c>
      <c r="D5" s="9" t="s">
        <v>90</v>
      </c>
      <c r="F5" s="9">
        <v>398617</v>
      </c>
      <c r="G5" s="9" t="s">
        <v>84</v>
      </c>
      <c r="H5" s="9" t="s">
        <v>85</v>
      </c>
      <c r="J5" s="31" t="s">
        <v>91</v>
      </c>
      <c r="K5" s="9" t="s">
        <v>90</v>
      </c>
      <c r="M5" s="9" t="s">
        <v>91</v>
      </c>
      <c r="N5" s="9" t="s">
        <v>90</v>
      </c>
      <c r="O5" s="54">
        <v>0.66600000000000004</v>
      </c>
    </row>
    <row r="6" spans="1:15" x14ac:dyDescent="0.25">
      <c r="A6" s="9" t="s">
        <v>91</v>
      </c>
      <c r="B6" s="9"/>
      <c r="C6" s="9" t="s">
        <v>87</v>
      </c>
      <c r="D6" s="9" t="s">
        <v>90</v>
      </c>
      <c r="F6" s="9" t="s">
        <v>111</v>
      </c>
      <c r="G6" s="9" t="s">
        <v>89</v>
      </c>
      <c r="H6" s="9" t="s">
        <v>90</v>
      </c>
      <c r="J6" s="9">
        <v>70229</v>
      </c>
      <c r="K6" s="9" t="s">
        <v>90</v>
      </c>
      <c r="M6" s="9">
        <v>377574</v>
      </c>
      <c r="N6" s="9" t="s">
        <v>93</v>
      </c>
      <c r="O6" s="55">
        <v>1</v>
      </c>
    </row>
    <row r="7" spans="1:15" x14ac:dyDescent="0.25">
      <c r="A7" s="9">
        <v>377574</v>
      </c>
      <c r="B7" s="9"/>
      <c r="C7" s="9" t="s">
        <v>92</v>
      </c>
      <c r="D7" s="9" t="s">
        <v>93</v>
      </c>
      <c r="F7" s="9">
        <v>70229</v>
      </c>
      <c r="G7" s="9" t="s">
        <v>87</v>
      </c>
      <c r="H7" s="9" t="s">
        <v>90</v>
      </c>
      <c r="J7" s="9">
        <v>377574</v>
      </c>
      <c r="K7" s="9" t="s">
        <v>93</v>
      </c>
      <c r="M7" s="9">
        <v>424397</v>
      </c>
      <c r="N7" s="9" t="s">
        <v>96</v>
      </c>
      <c r="O7" s="54">
        <v>0.83299999999999996</v>
      </c>
    </row>
    <row r="8" spans="1:15" x14ac:dyDescent="0.25">
      <c r="A8" s="9">
        <v>548431</v>
      </c>
      <c r="B8" s="9" t="s">
        <v>94</v>
      </c>
      <c r="C8" s="9" t="s">
        <v>95</v>
      </c>
      <c r="D8" s="9" t="s">
        <v>93</v>
      </c>
      <c r="F8" s="9" t="s">
        <v>112</v>
      </c>
      <c r="G8" s="9" t="s">
        <v>114</v>
      </c>
      <c r="H8" s="9" t="s">
        <v>90</v>
      </c>
      <c r="J8" s="26">
        <v>548431</v>
      </c>
      <c r="K8" s="9" t="s">
        <v>93</v>
      </c>
    </row>
    <row r="9" spans="1:15" x14ac:dyDescent="0.25">
      <c r="A9" s="9">
        <v>398198</v>
      </c>
      <c r="B9" s="9"/>
      <c r="C9" s="9">
        <v>0</v>
      </c>
      <c r="D9" s="9" t="s">
        <v>96</v>
      </c>
      <c r="F9" s="9">
        <v>424513</v>
      </c>
      <c r="G9" s="9" t="s">
        <v>115</v>
      </c>
      <c r="H9" s="9" t="s">
        <v>96</v>
      </c>
      <c r="J9" s="31">
        <v>424397</v>
      </c>
      <c r="K9" s="9" t="s">
        <v>96</v>
      </c>
    </row>
    <row r="10" spans="1:15" x14ac:dyDescent="0.25">
      <c r="A10" s="26" t="s">
        <v>97</v>
      </c>
      <c r="B10" s="9" t="s">
        <v>98</v>
      </c>
      <c r="C10" s="9" t="s">
        <v>89</v>
      </c>
      <c r="D10" s="9" t="s">
        <v>96</v>
      </c>
      <c r="F10" s="9">
        <v>424397</v>
      </c>
      <c r="G10" s="9" t="s">
        <v>95</v>
      </c>
      <c r="H10" s="9" t="s">
        <v>96</v>
      </c>
      <c r="J10" s="9" t="s">
        <v>113</v>
      </c>
      <c r="K10" s="9" t="s">
        <v>96</v>
      </c>
    </row>
    <row r="11" spans="1:15" x14ac:dyDescent="0.25">
      <c r="C11" s="50" t="s">
        <v>121</v>
      </c>
      <c r="F11" s="9" t="s">
        <v>113</v>
      </c>
      <c r="G11" s="9" t="s">
        <v>87</v>
      </c>
      <c r="H11" s="9" t="s">
        <v>96</v>
      </c>
    </row>
    <row r="12" spans="1:15" ht="15" customHeight="1" x14ac:dyDescent="0.25">
      <c r="F12" s="68" t="s">
        <v>122</v>
      </c>
      <c r="G12" s="68"/>
      <c r="H12" s="68"/>
      <c r="J12" s="69" t="s">
        <v>124</v>
      </c>
      <c r="K12" s="69"/>
      <c r="L12" s="69"/>
    </row>
    <row r="13" spans="1:15" x14ac:dyDescent="0.25">
      <c r="F13" s="68"/>
      <c r="G13" s="68"/>
      <c r="H13" s="68"/>
    </row>
  </sheetData>
  <mergeCells count="6">
    <mergeCell ref="M1:O2"/>
    <mergeCell ref="A1:D1"/>
    <mergeCell ref="F1:H1"/>
    <mergeCell ref="J1:K1"/>
    <mergeCell ref="F12:H13"/>
    <mergeCell ref="J12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Experiment map</vt:lpstr>
      <vt:lpstr>Weights</vt:lpstr>
      <vt:lpstr>Irrigation</vt:lpstr>
      <vt:lpstr>Germination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F. Elli</dc:creator>
  <cp:lastModifiedBy>Paula Andrade</cp:lastModifiedBy>
  <cp:lastPrinted>2024-04-10T13:56:03Z</cp:lastPrinted>
  <dcterms:created xsi:type="dcterms:W3CDTF">2015-06-05T18:17:20Z</dcterms:created>
  <dcterms:modified xsi:type="dcterms:W3CDTF">2024-07-22T14:39:19Z</dcterms:modified>
</cp:coreProperties>
</file>