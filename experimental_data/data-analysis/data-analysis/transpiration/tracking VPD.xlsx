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efelli\Box\_Projects\Soybean-Transpiration-Efficiency\data-analysis\transpiration\"/>
    </mc:Choice>
  </mc:AlternateContent>
  <xr:revisionPtr revIDLastSave="0" documentId="13_ncr:1_{1105B05A-3128-4DE4-8000-31693E219246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Sheet1" sheetId="1" r:id="rId1"/>
    <sheet name="Sheet3" sheetId="6" r:id="rId2"/>
    <sheet name="Data" sheetId="2" r:id="rId3"/>
    <sheet name="Graphic" sheetId="3" r:id="rId4"/>
    <sheet name="Sheet4" sheetId="4" r:id="rId5"/>
    <sheet name="vpd-tes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" l="1"/>
  <c r="N5" i="5" s="1"/>
  <c r="N6" i="5" s="1"/>
  <c r="G4" i="5"/>
  <c r="G5" i="5" s="1"/>
  <c r="G6" i="5" s="1"/>
  <c r="G7" i="5" s="1"/>
  <c r="G8" i="5" s="1"/>
  <c r="N7" i="5" l="1"/>
  <c r="E4" i="5"/>
  <c r="E3" i="5"/>
  <c r="F3" i="5"/>
  <c r="I3" i="5"/>
  <c r="J3" i="5" s="1"/>
  <c r="I4" i="5"/>
  <c r="I8" i="5"/>
  <c r="I7" i="5"/>
  <c r="I6" i="5"/>
  <c r="I5" i="5"/>
  <c r="H2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2" i="2"/>
  <c r="I2" i="2" s="1"/>
  <c r="N8" i="5" l="1"/>
  <c r="F4" i="5"/>
  <c r="J4" i="5"/>
  <c r="K4" i="5" s="1"/>
  <c r="K3" i="5"/>
  <c r="J5" i="5"/>
  <c r="K5" i="5" s="1"/>
  <c r="Y97" i="1"/>
  <c r="AA97" i="1" s="1"/>
  <c r="Y96" i="1"/>
  <c r="AA96" i="1" s="1"/>
  <c r="Y95" i="1"/>
  <c r="AC95" i="1" s="1"/>
  <c r="Y94" i="1"/>
  <c r="AA94" i="1" s="1"/>
  <c r="Y93" i="1"/>
  <c r="AC93" i="1" s="1"/>
  <c r="Y92" i="1"/>
  <c r="AA92" i="1" s="1"/>
  <c r="Y91" i="1"/>
  <c r="AC91" i="1" s="1"/>
  <c r="Y90" i="1"/>
  <c r="AC90" i="1" s="1"/>
  <c r="Y89" i="1"/>
  <c r="AC89" i="1" s="1"/>
  <c r="Y88" i="1"/>
  <c r="AC88" i="1" s="1"/>
  <c r="Y87" i="1"/>
  <c r="AA87" i="1" s="1"/>
  <c r="Y86" i="1"/>
  <c r="AA86" i="1" s="1"/>
  <c r="Y85" i="1"/>
  <c r="AC85" i="1" s="1"/>
  <c r="Y84" i="1"/>
  <c r="AC84" i="1" s="1"/>
  <c r="Y83" i="1"/>
  <c r="AC83" i="1" s="1"/>
  <c r="Y82" i="1"/>
  <c r="AC82" i="1" s="1"/>
  <c r="F49" i="1"/>
  <c r="G49" i="1" s="1"/>
  <c r="Y81" i="1"/>
  <c r="AC81" i="1" s="1"/>
  <c r="Y80" i="1"/>
  <c r="AC80" i="1" s="1"/>
  <c r="Y79" i="1"/>
  <c r="AC79" i="1" s="1"/>
  <c r="Y78" i="1"/>
  <c r="AA78" i="1" s="1"/>
  <c r="Y77" i="1"/>
  <c r="AC77" i="1" s="1"/>
  <c r="Y76" i="1"/>
  <c r="AC76" i="1" s="1"/>
  <c r="Y75" i="1"/>
  <c r="AC75" i="1" s="1"/>
  <c r="Y74" i="1"/>
  <c r="AC74" i="1" s="1"/>
  <c r="Y73" i="1"/>
  <c r="AC73" i="1" s="1"/>
  <c r="AA72" i="1"/>
  <c r="Y72" i="1"/>
  <c r="AC72" i="1" s="1"/>
  <c r="Y71" i="1"/>
  <c r="AC71" i="1" s="1"/>
  <c r="Y70" i="1"/>
  <c r="AC70" i="1" s="1"/>
  <c r="Y69" i="1"/>
  <c r="AC69" i="1" s="1"/>
  <c r="Y68" i="1"/>
  <c r="AA68" i="1" s="1"/>
  <c r="Y67" i="1"/>
  <c r="AC67" i="1" s="1"/>
  <c r="Y66" i="1"/>
  <c r="AC66" i="1" s="1"/>
  <c r="F47" i="1"/>
  <c r="G47" i="1" s="1"/>
  <c r="F48" i="1"/>
  <c r="G48" i="1" s="1"/>
  <c r="Y65" i="1"/>
  <c r="AC65" i="1" s="1"/>
  <c r="Y64" i="1"/>
  <c r="AC64" i="1" s="1"/>
  <c r="Y63" i="1"/>
  <c r="AC63" i="1" s="1"/>
  <c r="Y62" i="1"/>
  <c r="AA62" i="1" s="1"/>
  <c r="Y61" i="1"/>
  <c r="AC61" i="1" s="1"/>
  <c r="Y60" i="1"/>
  <c r="AA60" i="1" s="1"/>
  <c r="Y59" i="1"/>
  <c r="AC59" i="1" s="1"/>
  <c r="Y58" i="1"/>
  <c r="AC58" i="1" s="1"/>
  <c r="Y57" i="1"/>
  <c r="AA57" i="1" s="1"/>
  <c r="Y56" i="1"/>
  <c r="AA56" i="1" s="1"/>
  <c r="Y55" i="1"/>
  <c r="AC55" i="1" s="1"/>
  <c r="Y54" i="1"/>
  <c r="AC54" i="1" s="1"/>
  <c r="Y53" i="1"/>
  <c r="AA53" i="1" s="1"/>
  <c r="Y52" i="1"/>
  <c r="AA52" i="1" s="1"/>
  <c r="Y51" i="1"/>
  <c r="AA51" i="1" s="1"/>
  <c r="Y50" i="1"/>
  <c r="AC50" i="1" s="1"/>
  <c r="Y49" i="1"/>
  <c r="AA49" i="1" s="1"/>
  <c r="Y48" i="1"/>
  <c r="AC48" i="1" s="1"/>
  <c r="Y47" i="1"/>
  <c r="AA47" i="1" s="1"/>
  <c r="Y46" i="1"/>
  <c r="AA46" i="1" s="1"/>
  <c r="Y45" i="1"/>
  <c r="AC45" i="1" s="1"/>
  <c r="Y44" i="1"/>
  <c r="AC44" i="1" s="1"/>
  <c r="Y43" i="1"/>
  <c r="AC43" i="1" s="1"/>
  <c r="Y42" i="1"/>
  <c r="AC42" i="1" s="1"/>
  <c r="Y41" i="1"/>
  <c r="AA41" i="1" s="1"/>
  <c r="Y40" i="1"/>
  <c r="AA40" i="1" s="1"/>
  <c r="Y39" i="1"/>
  <c r="AC39" i="1" s="1"/>
  <c r="Y38" i="1"/>
  <c r="AA38" i="1" s="1"/>
  <c r="Y37" i="1"/>
  <c r="AC37" i="1" s="1"/>
  <c r="Y36" i="1"/>
  <c r="AC36" i="1" s="1"/>
  <c r="Y35" i="1"/>
  <c r="AC35" i="1" s="1"/>
  <c r="Y34" i="1"/>
  <c r="AC34" i="1" s="1"/>
  <c r="Y33" i="1"/>
  <c r="AA33" i="1" s="1"/>
  <c r="Y32" i="1"/>
  <c r="AA32" i="1" s="1"/>
  <c r="Y31" i="1"/>
  <c r="AC31" i="1" s="1"/>
  <c r="Y30" i="1"/>
  <c r="AA30" i="1" s="1"/>
  <c r="Y29" i="1"/>
  <c r="AA29" i="1" s="1"/>
  <c r="Y28" i="1"/>
  <c r="AC28" i="1" s="1"/>
  <c r="Y27" i="1"/>
  <c r="AC27" i="1" s="1"/>
  <c r="Y26" i="1"/>
  <c r="AA26" i="1" s="1"/>
  <c r="Y25" i="1"/>
  <c r="AC25" i="1" s="1"/>
  <c r="Y24" i="1"/>
  <c r="AA24" i="1" s="1"/>
  <c r="Y23" i="1"/>
  <c r="AC23" i="1" s="1"/>
  <c r="Y22" i="1"/>
  <c r="AC22" i="1" s="1"/>
  <c r="Y21" i="1"/>
  <c r="AC21" i="1" s="1"/>
  <c r="Y20" i="1"/>
  <c r="AA20" i="1" s="1"/>
  <c r="Y19" i="1"/>
  <c r="AC19" i="1" s="1"/>
  <c r="Y18" i="1"/>
  <c r="AA18" i="1" s="1"/>
  <c r="F46" i="1"/>
  <c r="F45" i="1"/>
  <c r="F44" i="1"/>
  <c r="F43" i="1"/>
  <c r="F42" i="1"/>
  <c r="G42" i="1" s="1"/>
  <c r="H42" i="1" s="1"/>
  <c r="F41" i="1"/>
  <c r="G41" i="1" s="1"/>
  <c r="F40" i="1"/>
  <c r="F39" i="1"/>
  <c r="G39" i="1" s="1"/>
  <c r="H39" i="1" s="1"/>
  <c r="F38" i="1"/>
  <c r="F37" i="1"/>
  <c r="F36" i="1"/>
  <c r="G36" i="1" s="1"/>
  <c r="H36" i="1" s="1"/>
  <c r="F35" i="1"/>
  <c r="F34" i="1"/>
  <c r="G34" i="1" s="1"/>
  <c r="H34" i="1" s="1"/>
  <c r="F33" i="1"/>
  <c r="G33" i="1" s="1"/>
  <c r="F32" i="1"/>
  <c r="F31" i="1"/>
  <c r="G31" i="1" s="1"/>
  <c r="H31" i="1" s="1"/>
  <c r="F30" i="1"/>
  <c r="F29" i="1"/>
  <c r="G29" i="1" s="1"/>
  <c r="F28" i="1"/>
  <c r="G28" i="1" s="1"/>
  <c r="H28" i="1" s="1"/>
  <c r="E5" i="5" l="1"/>
  <c r="F5" i="5"/>
  <c r="AC86" i="1"/>
  <c r="AC97" i="1"/>
  <c r="AC92" i="1"/>
  <c r="AA84" i="1"/>
  <c r="AA89" i="1"/>
  <c r="AC94" i="1"/>
  <c r="AA95" i="1"/>
  <c r="AC87" i="1"/>
  <c r="AA90" i="1"/>
  <c r="AA93" i="1"/>
  <c r="AC96" i="1"/>
  <c r="AA82" i="1"/>
  <c r="AA85" i="1"/>
  <c r="AA88" i="1"/>
  <c r="AA83" i="1"/>
  <c r="AA91" i="1"/>
  <c r="H49" i="1"/>
  <c r="AA70" i="1"/>
  <c r="AA73" i="1"/>
  <c r="AA79" i="1"/>
  <c r="AA80" i="1"/>
  <c r="AC78" i="1"/>
  <c r="AA81" i="1"/>
  <c r="AA76" i="1"/>
  <c r="AA66" i="1"/>
  <c r="AA74" i="1"/>
  <c r="AA69" i="1"/>
  <c r="AA77" i="1"/>
  <c r="AA71" i="1"/>
  <c r="AC68" i="1"/>
  <c r="AA67" i="1"/>
  <c r="AA75" i="1"/>
  <c r="H48" i="1"/>
  <c r="H47" i="1"/>
  <c r="AA64" i="1"/>
  <c r="AA58" i="1"/>
  <c r="AC57" i="1"/>
  <c r="AA54" i="1"/>
  <c r="AC56" i="1"/>
  <c r="AC51" i="1"/>
  <c r="AC53" i="1"/>
  <c r="AC62" i="1"/>
  <c r="AA50" i="1"/>
  <c r="AC52" i="1"/>
  <c r="AA55" i="1"/>
  <c r="AC60" i="1"/>
  <c r="AA63" i="1"/>
  <c r="AA61" i="1"/>
  <c r="AA59" i="1"/>
  <c r="AA65" i="1"/>
  <c r="AC49" i="1"/>
  <c r="AA43" i="1"/>
  <c r="AC41" i="1"/>
  <c r="AC40" i="1"/>
  <c r="AA35" i="1"/>
  <c r="AC46" i="1"/>
  <c r="AC38" i="1"/>
  <c r="AA36" i="1"/>
  <c r="AA44" i="1"/>
  <c r="AA39" i="1"/>
  <c r="AA34" i="1"/>
  <c r="AA42" i="1"/>
  <c r="AC47" i="1"/>
  <c r="AA37" i="1"/>
  <c r="AA45" i="1"/>
  <c r="AA48" i="1"/>
  <c r="AC33" i="1"/>
  <c r="AC30" i="1"/>
  <c r="AC29" i="1"/>
  <c r="AC26" i="1"/>
  <c r="AA25" i="1"/>
  <c r="AA22" i="1"/>
  <c r="AA21" i="1"/>
  <c r="AC18" i="1"/>
  <c r="AA28" i="1"/>
  <c r="AC20" i="1"/>
  <c r="AA23" i="1"/>
  <c r="AA31" i="1"/>
  <c r="AA19" i="1"/>
  <c r="AC24" i="1"/>
  <c r="AA27" i="1"/>
  <c r="AC32" i="1"/>
  <c r="H29" i="1"/>
  <c r="G40" i="1"/>
  <c r="H40" i="1" s="1"/>
  <c r="G30" i="1"/>
  <c r="H30" i="1" s="1"/>
  <c r="G38" i="1"/>
  <c r="H38" i="1" s="1"/>
  <c r="H33" i="1"/>
  <c r="H41" i="1"/>
  <c r="G44" i="1"/>
  <c r="H44" i="1" s="1"/>
  <c r="G37" i="1"/>
  <c r="H37" i="1" s="1"/>
  <c r="G35" i="1"/>
  <c r="H35" i="1" s="1"/>
  <c r="G45" i="1"/>
  <c r="H45" i="1" s="1"/>
  <c r="G43" i="1"/>
  <c r="H43" i="1" s="1"/>
  <c r="G46" i="1"/>
  <c r="H46" i="1" s="1"/>
  <c r="G32" i="1"/>
  <c r="H32" i="1" s="1"/>
  <c r="E6" i="5" l="1"/>
  <c r="F6" i="5"/>
  <c r="J6" i="5"/>
  <c r="K6" i="5" s="1"/>
  <c r="Y17" i="1"/>
  <c r="AA17" i="1" s="1"/>
  <c r="Y16" i="1"/>
  <c r="AC16" i="1" s="1"/>
  <c r="Y15" i="1"/>
  <c r="AC15" i="1" s="1"/>
  <c r="Y14" i="1"/>
  <c r="AA14" i="1" s="1"/>
  <c r="Y13" i="1"/>
  <c r="AA13" i="1" s="1"/>
  <c r="Y12" i="1"/>
  <c r="AA12" i="1" s="1"/>
  <c r="Y11" i="1"/>
  <c r="AC11" i="1" s="1"/>
  <c r="Y10" i="1"/>
  <c r="AC10" i="1" s="1"/>
  <c r="Y9" i="1"/>
  <c r="AA9" i="1" s="1"/>
  <c r="Y8" i="1"/>
  <c r="AC8" i="1" s="1"/>
  <c r="Y7" i="1"/>
  <c r="AA7" i="1" s="1"/>
  <c r="Y6" i="1"/>
  <c r="AC6" i="1" s="1"/>
  <c r="Y5" i="1"/>
  <c r="AC5" i="1" s="1"/>
  <c r="Y4" i="1"/>
  <c r="AC4" i="1" s="1"/>
  <c r="Y3" i="1"/>
  <c r="AC3" i="1" s="1"/>
  <c r="Y2" i="1"/>
  <c r="AC2" i="1" s="1"/>
  <c r="O113" i="1"/>
  <c r="Q113" i="1" s="1"/>
  <c r="O112" i="1"/>
  <c r="S112" i="1" s="1"/>
  <c r="O111" i="1"/>
  <c r="S111" i="1" s="1"/>
  <c r="O110" i="1"/>
  <c r="Q110" i="1" s="1"/>
  <c r="O109" i="1"/>
  <c r="Q109" i="1" s="1"/>
  <c r="O108" i="1"/>
  <c r="S108" i="1" s="1"/>
  <c r="O107" i="1"/>
  <c r="S107" i="1" s="1"/>
  <c r="O106" i="1"/>
  <c r="S106" i="1" s="1"/>
  <c r="O105" i="1"/>
  <c r="S105" i="1" s="1"/>
  <c r="O104" i="1"/>
  <c r="S104" i="1" s="1"/>
  <c r="O103" i="1"/>
  <c r="S103" i="1" s="1"/>
  <c r="O102" i="1"/>
  <c r="S102" i="1" s="1"/>
  <c r="O101" i="1"/>
  <c r="Q101" i="1" s="1"/>
  <c r="O100" i="1"/>
  <c r="S100" i="1" s="1"/>
  <c r="O99" i="1"/>
  <c r="Q99" i="1" s="1"/>
  <c r="O98" i="1"/>
  <c r="S98" i="1" s="1"/>
  <c r="O97" i="1"/>
  <c r="S97" i="1" s="1"/>
  <c r="O96" i="1"/>
  <c r="Q96" i="1" s="1"/>
  <c r="O95" i="1"/>
  <c r="S95" i="1" s="1"/>
  <c r="O94" i="1"/>
  <c r="Q94" i="1" s="1"/>
  <c r="S93" i="1"/>
  <c r="O93" i="1"/>
  <c r="Q93" i="1" s="1"/>
  <c r="O92" i="1"/>
  <c r="S92" i="1" s="1"/>
  <c r="O91" i="1"/>
  <c r="S91" i="1" s="1"/>
  <c r="S90" i="1"/>
  <c r="O90" i="1"/>
  <c r="Q90" i="1" s="1"/>
  <c r="O89" i="1"/>
  <c r="S89" i="1" s="1"/>
  <c r="O88" i="1"/>
  <c r="Q88" i="1" s="1"/>
  <c r="O87" i="1"/>
  <c r="S87" i="1" s="1"/>
  <c r="O86" i="1"/>
  <c r="Q86" i="1" s="1"/>
  <c r="O85" i="1"/>
  <c r="Q85" i="1" s="1"/>
  <c r="O84" i="1"/>
  <c r="Q84" i="1" s="1"/>
  <c r="O83" i="1"/>
  <c r="S83" i="1" s="1"/>
  <c r="O82" i="1"/>
  <c r="Q82" i="1" s="1"/>
  <c r="O81" i="1"/>
  <c r="Q81" i="1" s="1"/>
  <c r="O80" i="1"/>
  <c r="S80" i="1" s="1"/>
  <c r="O79" i="1"/>
  <c r="S79" i="1" s="1"/>
  <c r="O78" i="1"/>
  <c r="Q78" i="1" s="1"/>
  <c r="O77" i="1"/>
  <c r="S77" i="1" s="1"/>
  <c r="O76" i="1"/>
  <c r="Q76" i="1" s="1"/>
  <c r="O75" i="1"/>
  <c r="S75" i="1" s="1"/>
  <c r="O74" i="1"/>
  <c r="S74" i="1" s="1"/>
  <c r="O73" i="1"/>
  <c r="S73" i="1" s="1"/>
  <c r="O72" i="1"/>
  <c r="Q72" i="1" s="1"/>
  <c r="O71" i="1"/>
  <c r="S71" i="1" s="1"/>
  <c r="O70" i="1"/>
  <c r="S70" i="1" s="1"/>
  <c r="O69" i="1"/>
  <c r="S69" i="1" s="1"/>
  <c r="O68" i="1"/>
  <c r="S68" i="1" s="1"/>
  <c r="O67" i="1"/>
  <c r="S67" i="1" s="1"/>
  <c r="O66" i="1"/>
  <c r="S66" i="1" s="1"/>
  <c r="J7" i="5" l="1"/>
  <c r="K7" i="5" s="1"/>
  <c r="E7" i="5"/>
  <c r="F7" i="5"/>
  <c r="AC12" i="1"/>
  <c r="AC9" i="1"/>
  <c r="AA4" i="1"/>
  <c r="AC17" i="1"/>
  <c r="AA16" i="1"/>
  <c r="AA15" i="1"/>
  <c r="AC13" i="1"/>
  <c r="AC14" i="1"/>
  <c r="AA5" i="1"/>
  <c r="AA3" i="1"/>
  <c r="AA2" i="1"/>
  <c r="AC7" i="1"/>
  <c r="AA10" i="1"/>
  <c r="AA8" i="1"/>
  <c r="AA11" i="1"/>
  <c r="AA6" i="1"/>
  <c r="Q98" i="1"/>
  <c r="Q106" i="1"/>
  <c r="Q104" i="1"/>
  <c r="S101" i="1"/>
  <c r="S109" i="1"/>
  <c r="Q107" i="1"/>
  <c r="Q102" i="1"/>
  <c r="Q105" i="1"/>
  <c r="S110" i="1"/>
  <c r="Q100" i="1"/>
  <c r="Q108" i="1"/>
  <c r="S113" i="1"/>
  <c r="Q103" i="1"/>
  <c r="Q111" i="1"/>
  <c r="S99" i="1"/>
  <c r="Q112" i="1"/>
  <c r="Q89" i="1"/>
  <c r="S85" i="1"/>
  <c r="S94" i="1"/>
  <c r="S86" i="1"/>
  <c r="S82" i="1"/>
  <c r="Q97" i="1"/>
  <c r="Q92" i="1"/>
  <c r="S84" i="1"/>
  <c r="Q87" i="1"/>
  <c r="Q95" i="1"/>
  <c r="Q83" i="1"/>
  <c r="S88" i="1"/>
  <c r="Q91" i="1"/>
  <c r="S96" i="1"/>
  <c r="S72" i="1"/>
  <c r="Q67" i="1"/>
  <c r="Q80" i="1"/>
  <c r="Q75" i="1"/>
  <c r="S81" i="1"/>
  <c r="Q79" i="1"/>
  <c r="Q77" i="1"/>
  <c r="Q70" i="1"/>
  <c r="Q73" i="1"/>
  <c r="S78" i="1"/>
  <c r="Q68" i="1"/>
  <c r="Q71" i="1"/>
  <c r="S76" i="1"/>
  <c r="Q66" i="1"/>
  <c r="Q74" i="1"/>
  <c r="Q69" i="1"/>
  <c r="J8" i="5" l="1"/>
  <c r="K8" i="5" s="1"/>
  <c r="F8" i="5"/>
  <c r="E8" i="5"/>
  <c r="O65" i="1"/>
  <c r="S65" i="1" s="1"/>
  <c r="O64" i="1"/>
  <c r="S64" i="1" s="1"/>
  <c r="O63" i="1"/>
  <c r="Q63" i="1" s="1"/>
  <c r="O62" i="1"/>
  <c r="Q62" i="1" s="1"/>
  <c r="O61" i="1"/>
  <c r="S61" i="1" s="1"/>
  <c r="O60" i="1"/>
  <c r="Q60" i="1" s="1"/>
  <c r="O59" i="1"/>
  <c r="S59" i="1" s="1"/>
  <c r="O58" i="1"/>
  <c r="S58" i="1" s="1"/>
  <c r="O57" i="1"/>
  <c r="S57" i="1" s="1"/>
  <c r="O56" i="1"/>
  <c r="Q56" i="1" s="1"/>
  <c r="O55" i="1"/>
  <c r="S55" i="1" s="1"/>
  <c r="O54" i="1"/>
  <c r="Q54" i="1" s="1"/>
  <c r="O53" i="1"/>
  <c r="Q53" i="1" s="1"/>
  <c r="O52" i="1"/>
  <c r="S52" i="1" s="1"/>
  <c r="O51" i="1"/>
  <c r="S51" i="1" s="1"/>
  <c r="O50" i="1"/>
  <c r="S50" i="1" s="1"/>
  <c r="S53" i="1" l="1"/>
  <c r="Q61" i="1"/>
  <c r="Q59" i="1"/>
  <c r="S56" i="1"/>
  <c r="Q51" i="1"/>
  <c r="S54" i="1"/>
  <c r="S62" i="1"/>
  <c r="Q52" i="1"/>
  <c r="Q55" i="1"/>
  <c r="S60" i="1"/>
  <c r="Q50" i="1"/>
  <c r="Q58" i="1"/>
  <c r="S63" i="1"/>
  <c r="Q57" i="1"/>
  <c r="Q64" i="1"/>
  <c r="Q65" i="1"/>
  <c r="O49" i="1" l="1"/>
  <c r="S49" i="1" s="1"/>
  <c r="O48" i="1"/>
  <c r="S48" i="1" s="1"/>
  <c r="O47" i="1"/>
  <c r="Q47" i="1" s="1"/>
  <c r="O46" i="1"/>
  <c r="S46" i="1" s="1"/>
  <c r="O45" i="1"/>
  <c r="S45" i="1" s="1"/>
  <c r="O44" i="1"/>
  <c r="S44" i="1" s="1"/>
  <c r="O43" i="1"/>
  <c r="S43" i="1" s="1"/>
  <c r="O42" i="1"/>
  <c r="S42" i="1" s="1"/>
  <c r="O41" i="1"/>
  <c r="S41" i="1" s="1"/>
  <c r="O40" i="1"/>
  <c r="S40" i="1" s="1"/>
  <c r="O39" i="1"/>
  <c r="Q39" i="1" s="1"/>
  <c r="O38" i="1"/>
  <c r="S38" i="1" s="1"/>
  <c r="O37" i="1"/>
  <c r="S37" i="1" s="1"/>
  <c r="O36" i="1"/>
  <c r="S36" i="1" s="1"/>
  <c r="O35" i="1"/>
  <c r="Q35" i="1" s="1"/>
  <c r="O34" i="1"/>
  <c r="S34" i="1" s="1"/>
  <c r="S47" i="1" l="1"/>
  <c r="Q42" i="1"/>
  <c r="S39" i="1"/>
  <c r="Q40" i="1"/>
  <c r="Q45" i="1"/>
  <c r="Q48" i="1"/>
  <c r="Q37" i="1"/>
  <c r="Q34" i="1"/>
  <c r="Q43" i="1"/>
  <c r="S35" i="1"/>
  <c r="Q38" i="1"/>
  <c r="Q46" i="1"/>
  <c r="Q41" i="1"/>
  <c r="Q49" i="1"/>
  <c r="Q36" i="1"/>
  <c r="Q44" i="1"/>
  <c r="S33" i="1" l="1"/>
  <c r="O33" i="1"/>
  <c r="Q33" i="1" s="1"/>
  <c r="O32" i="1"/>
  <c r="S32" i="1" s="1"/>
  <c r="O31" i="1"/>
  <c r="Q31" i="1" s="1"/>
  <c r="O30" i="1"/>
  <c r="S30" i="1" s="1"/>
  <c r="O29" i="1"/>
  <c r="S29" i="1" s="1"/>
  <c r="O28" i="1"/>
  <c r="S28" i="1" s="1"/>
  <c r="O27" i="1"/>
  <c r="S27" i="1" s="1"/>
  <c r="O26" i="1"/>
  <c r="Q26" i="1" s="1"/>
  <c r="O25" i="1"/>
  <c r="S25" i="1" s="1"/>
  <c r="O24" i="1"/>
  <c r="S24" i="1" s="1"/>
  <c r="O23" i="1"/>
  <c r="Q23" i="1" s="1"/>
  <c r="O22" i="1"/>
  <c r="S22" i="1" s="1"/>
  <c r="O21" i="1"/>
  <c r="S21" i="1" s="1"/>
  <c r="O20" i="1"/>
  <c r="S20" i="1" s="1"/>
  <c r="O19" i="1"/>
  <c r="S19" i="1" s="1"/>
  <c r="O18" i="1"/>
  <c r="S18" i="1" s="1"/>
  <c r="S16" i="1"/>
  <c r="S17" i="1"/>
  <c r="Q3" i="1"/>
  <c r="Q17" i="1"/>
  <c r="O3" i="1"/>
  <c r="S3" i="1" s="1"/>
  <c r="O4" i="1"/>
  <c r="Q4" i="1" s="1"/>
  <c r="O5" i="1"/>
  <c r="Q5" i="1" s="1"/>
  <c r="O6" i="1"/>
  <c r="S6" i="1" s="1"/>
  <c r="O7" i="1"/>
  <c r="Q7" i="1" s="1"/>
  <c r="O8" i="1"/>
  <c r="Q8" i="1" s="1"/>
  <c r="O9" i="1"/>
  <c r="Q9" i="1" s="1"/>
  <c r="O10" i="1"/>
  <c r="Q10" i="1" s="1"/>
  <c r="O11" i="1"/>
  <c r="S11" i="1" s="1"/>
  <c r="O12" i="1"/>
  <c r="Q12" i="1" s="1"/>
  <c r="O13" i="1"/>
  <c r="Q13" i="1" s="1"/>
  <c r="O14" i="1"/>
  <c r="S14" i="1" s="1"/>
  <c r="O15" i="1"/>
  <c r="Q15" i="1" s="1"/>
  <c r="O16" i="1"/>
  <c r="Q16" i="1" s="1"/>
  <c r="O17" i="1"/>
  <c r="O2" i="1"/>
  <c r="S2" i="1" s="1"/>
  <c r="F20" i="1"/>
  <c r="F19" i="1"/>
  <c r="G19" i="1" s="1"/>
  <c r="F18" i="1"/>
  <c r="G18" i="1" s="1"/>
  <c r="H18" i="1" s="1"/>
  <c r="F17" i="1"/>
  <c r="F16" i="1"/>
  <c r="F15" i="1"/>
  <c r="F14" i="1"/>
  <c r="F13" i="1"/>
  <c r="F12" i="1"/>
  <c r="F11" i="1"/>
  <c r="G11" i="1" s="1"/>
  <c r="H11" i="1" s="1"/>
  <c r="F10" i="1"/>
  <c r="F9" i="1"/>
  <c r="F8" i="1"/>
  <c r="F7" i="1"/>
  <c r="F6" i="1"/>
  <c r="F5" i="1"/>
  <c r="F4" i="1"/>
  <c r="F3" i="1"/>
  <c r="F2" i="1"/>
  <c r="Q14" i="1" l="1"/>
  <c r="S13" i="1"/>
  <c r="Q11" i="1"/>
  <c r="S10" i="1"/>
  <c r="S9" i="1"/>
  <c r="S8" i="1"/>
  <c r="Q6" i="1"/>
  <c r="S5" i="1"/>
  <c r="S15" i="1"/>
  <c r="S7" i="1"/>
  <c r="S12" i="1"/>
  <c r="S4" i="1"/>
  <c r="S26" i="1"/>
  <c r="S31" i="1"/>
  <c r="Q20" i="1"/>
  <c r="S23" i="1"/>
  <c r="Q30" i="1"/>
  <c r="Q27" i="1"/>
  <c r="Q21" i="1"/>
  <c r="Q28" i="1"/>
  <c r="Q22" i="1"/>
  <c r="Q29" i="1"/>
  <c r="Q24" i="1"/>
  <c r="Q18" i="1"/>
  <c r="Q25" i="1"/>
  <c r="Q32" i="1"/>
  <c r="Q19" i="1"/>
  <c r="Q2" i="1"/>
  <c r="G2" i="1"/>
  <c r="H19" i="1"/>
  <c r="G5" i="1"/>
  <c r="H5" i="1" s="1"/>
  <c r="G12" i="1"/>
  <c r="H12" i="1" s="1"/>
  <c r="G6" i="1"/>
  <c r="H6" i="1" s="1"/>
  <c r="G13" i="1"/>
  <c r="H13" i="1" s="1"/>
  <c r="G20" i="1"/>
  <c r="H20" i="1" s="1"/>
  <c r="G7" i="1"/>
  <c r="H7" i="1" s="1"/>
  <c r="G14" i="1"/>
  <c r="H14" i="1" s="1"/>
  <c r="G8" i="1"/>
  <c r="H8" i="1" s="1"/>
  <c r="G15" i="1"/>
  <c r="H15" i="1" s="1"/>
  <c r="G9" i="1"/>
  <c r="H9" i="1" s="1"/>
  <c r="G16" i="1"/>
  <c r="H16" i="1" s="1"/>
  <c r="G3" i="1"/>
  <c r="H3" i="1" s="1"/>
  <c r="G10" i="1"/>
  <c r="H10" i="1" s="1"/>
  <c r="G17" i="1"/>
  <c r="H17" i="1" s="1"/>
  <c r="G4" i="1"/>
  <c r="H4" i="1" s="1"/>
</calcChain>
</file>

<file path=xl/sharedStrings.xml><?xml version="1.0" encoding="utf-8"?>
<sst xmlns="http://schemas.openxmlformats.org/spreadsheetml/2006/main" count="66" uniqueCount="43">
  <si>
    <t>Time</t>
  </si>
  <si>
    <t>RH</t>
  </si>
  <si>
    <t>Temperature</t>
  </si>
  <si>
    <t>VPD</t>
  </si>
  <si>
    <t>Vpsat</t>
  </si>
  <si>
    <t>Vpactual</t>
  </si>
  <si>
    <t>Up to 70% (ml)</t>
  </si>
  <si>
    <t>Total weight (tare) kg</t>
  </si>
  <si>
    <t>Current soil + water</t>
  </si>
  <si>
    <t>% pot cap</t>
  </si>
  <si>
    <t>Soil+water (g) 100%</t>
  </si>
  <si>
    <t>Soil+water (g) 70%</t>
  </si>
  <si>
    <t>11:28 watering plants (between T3 and T4)</t>
  </si>
  <si>
    <t>Pots</t>
  </si>
  <si>
    <t>Weight Day (g)  05/16</t>
  </si>
  <si>
    <t>Weight Day (g)  05/15</t>
  </si>
  <si>
    <t>Day 2 - 05/16</t>
  </si>
  <si>
    <t>DAY 1 - 05/15</t>
  </si>
  <si>
    <t>Day</t>
  </si>
  <si>
    <t xml:space="preserve">Hour </t>
  </si>
  <si>
    <t>Weights</t>
  </si>
  <si>
    <t xml:space="preserve">Weights uploaded after watering </t>
  </si>
  <si>
    <t>Water added</t>
  </si>
  <si>
    <t xml:space="preserve">Calculated to be added </t>
  </si>
  <si>
    <t>Weights uploaded before watering</t>
  </si>
  <si>
    <t>Weights that I took note</t>
  </si>
  <si>
    <t>Difference</t>
  </si>
  <si>
    <t>Watter added</t>
  </si>
  <si>
    <t>Before watering</t>
  </si>
  <si>
    <t>After watering</t>
  </si>
  <si>
    <t>T1</t>
  </si>
  <si>
    <t>T2</t>
  </si>
  <si>
    <t>T3</t>
  </si>
  <si>
    <t>T4</t>
  </si>
  <si>
    <t>T5</t>
  </si>
  <si>
    <t>2131.59</t>
  </si>
  <si>
    <t>T6</t>
  </si>
  <si>
    <t>range</t>
  </si>
  <si>
    <t>RH Target</t>
  </si>
  <si>
    <t>Temperature target</t>
  </si>
  <si>
    <t>RH Target (%)</t>
  </si>
  <si>
    <t>VPD Target (kPa)</t>
  </si>
  <si>
    <t>Temp target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</si>
</sst>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0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0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20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20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20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/>
    </xf>
    <xf numFmtId="20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20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/>
    </xf>
    <xf numFmtId="20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4" fontId="0" fillId="14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20" fontId="0" fillId="14" borderId="1" xfId="0" applyNumberForma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17" fontId="0" fillId="5" borderId="0" xfId="0" applyNumberFormat="1" applyFill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20" fontId="0" fillId="0" borderId="1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20" fontId="0" fillId="0" borderId="9" xfId="0" applyNumberFormat="1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20" fontId="0" fillId="0" borderId="2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Watering</a:t>
            </a:r>
            <a:r>
              <a:rPr lang="pt-BR" baseline="0"/>
              <a:t> 05/16 - 8:30am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Graphic!$B$1</c:f>
              <c:strCache>
                <c:ptCount val="1"/>
                <c:pt idx="0">
                  <c:v>Before watering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Graphic!$B$2:$B$17</c:f>
              <c:numCache>
                <c:formatCode>General</c:formatCode>
                <c:ptCount val="16"/>
                <c:pt idx="0">
                  <c:v>2185.1799999999998</c:v>
                </c:pt>
                <c:pt idx="1">
                  <c:v>2363.98</c:v>
                </c:pt>
                <c:pt idx="2">
                  <c:v>2025.07</c:v>
                </c:pt>
                <c:pt idx="3">
                  <c:v>2066.46</c:v>
                </c:pt>
                <c:pt idx="4">
                  <c:v>2381.1799999999998</c:v>
                </c:pt>
                <c:pt idx="5">
                  <c:v>2360.62</c:v>
                </c:pt>
                <c:pt idx="6">
                  <c:v>0</c:v>
                </c:pt>
                <c:pt idx="7">
                  <c:v>2155.56</c:v>
                </c:pt>
                <c:pt idx="8">
                  <c:v>2104.1</c:v>
                </c:pt>
                <c:pt idx="9">
                  <c:v>2248.67</c:v>
                </c:pt>
                <c:pt idx="10">
                  <c:v>2112.9899999999998</c:v>
                </c:pt>
                <c:pt idx="11">
                  <c:v>2102.44</c:v>
                </c:pt>
                <c:pt idx="12">
                  <c:v>2093.6999999999998</c:v>
                </c:pt>
                <c:pt idx="13">
                  <c:v>2300.61</c:v>
                </c:pt>
                <c:pt idx="14">
                  <c:v>1980.95</c:v>
                </c:pt>
                <c:pt idx="15">
                  <c:v>2051.15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5-4B4E-AE30-0D19DAA1D59E}"/>
            </c:ext>
          </c:extLst>
        </c:ser>
        <c:ser>
          <c:idx val="1"/>
          <c:order val="1"/>
          <c:tx>
            <c:strRef>
              <c:f>Graphic!$C$1</c:f>
              <c:strCache>
                <c:ptCount val="1"/>
                <c:pt idx="0">
                  <c:v>After watering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Graphic!$C$2:$C$17</c:f>
              <c:numCache>
                <c:formatCode>General</c:formatCode>
                <c:ptCount val="16"/>
                <c:pt idx="0">
                  <c:v>2301.33</c:v>
                </c:pt>
                <c:pt idx="1">
                  <c:v>2502.2399999999998</c:v>
                </c:pt>
                <c:pt idx="2">
                  <c:v>2257.1</c:v>
                </c:pt>
                <c:pt idx="3">
                  <c:v>2275.5100000000002</c:v>
                </c:pt>
                <c:pt idx="4">
                  <c:v>2531.9299999999998</c:v>
                </c:pt>
                <c:pt idx="5">
                  <c:v>2515.1999999999998</c:v>
                </c:pt>
                <c:pt idx="6">
                  <c:v>0</c:v>
                </c:pt>
                <c:pt idx="7">
                  <c:v>2337.87</c:v>
                </c:pt>
                <c:pt idx="8">
                  <c:v>2285.1799999999998</c:v>
                </c:pt>
                <c:pt idx="9">
                  <c:v>2339.17</c:v>
                </c:pt>
                <c:pt idx="10">
                  <c:v>2306.13</c:v>
                </c:pt>
                <c:pt idx="11">
                  <c:v>2152.91</c:v>
                </c:pt>
                <c:pt idx="12">
                  <c:v>2291.08</c:v>
                </c:pt>
                <c:pt idx="13">
                  <c:v>2402.79</c:v>
                </c:pt>
                <c:pt idx="14">
                  <c:v>2178.71</c:v>
                </c:pt>
                <c:pt idx="15">
                  <c:v>2168.5500000000002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5-4B4E-AE30-0D19DAA1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736815"/>
        <c:axId val="827735855"/>
      </c:lineChart>
      <c:catAx>
        <c:axId val="82773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35855"/>
        <c:crosses val="autoZero"/>
        <c:auto val="1"/>
        <c:lblAlgn val="ctr"/>
        <c:lblOffset val="100"/>
        <c:noMultiLvlLbl val="0"/>
      </c:catAx>
      <c:valAx>
        <c:axId val="827735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Weight</a:t>
                </a:r>
                <a:r>
                  <a:rPr lang="pt-BR" baseline="0"/>
                  <a:t> (g)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3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Sheet4!$B$1:$G$1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Sheet4!$B$2:$G$2</c:f>
              <c:numCache>
                <c:formatCode>General</c:formatCode>
                <c:ptCount val="6"/>
                <c:pt idx="0">
                  <c:v>2297.4299999999998</c:v>
                </c:pt>
                <c:pt idx="1">
                  <c:v>2283.92</c:v>
                </c:pt>
                <c:pt idx="2">
                  <c:v>2272.69</c:v>
                </c:pt>
                <c:pt idx="3">
                  <c:v>2259.06</c:v>
                </c:pt>
                <c:pt idx="4">
                  <c:v>2246.8000000000002</c:v>
                </c:pt>
                <c:pt idx="5">
                  <c:v>2234.98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B-4D7F-8D6B-40C043F238E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Sheet4!$B$1:$G$1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Sheet4!$B$3:$G$3</c:f>
              <c:numCache>
                <c:formatCode>General</c:formatCode>
                <c:ptCount val="6"/>
                <c:pt idx="0">
                  <c:v>2499.4</c:v>
                </c:pt>
                <c:pt idx="1">
                  <c:v>2485.4699999999998</c:v>
                </c:pt>
                <c:pt idx="2">
                  <c:v>2473.44</c:v>
                </c:pt>
                <c:pt idx="3">
                  <c:v>2457.91</c:v>
                </c:pt>
                <c:pt idx="4">
                  <c:v>2443.48</c:v>
                </c:pt>
                <c:pt idx="5">
                  <c:v>2428.9499999999998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B-4D7F-8D6B-40C043F238E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Sheet4!$B$1:$G$1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Sheet4!$B$4:$G$4</c:f>
              <c:numCache>
                <c:formatCode>General</c:formatCode>
                <c:ptCount val="6"/>
                <c:pt idx="0">
                  <c:v>2243.37</c:v>
                </c:pt>
                <c:pt idx="1">
                  <c:v>2222.48</c:v>
                </c:pt>
                <c:pt idx="2">
                  <c:v>2204.3200000000002</c:v>
                </c:pt>
                <c:pt idx="3">
                  <c:v>2179.2600000000002</c:v>
                </c:pt>
                <c:pt idx="4">
                  <c:v>2154.6999999999998</c:v>
                </c:pt>
                <c:pt idx="5">
                  <c:v>2132.13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C7B-4D7F-8D6B-40C043F238E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Sheet4!$B$1:$G$1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Sheet4!$B$5:$G$5</c:f>
              <c:numCache>
                <c:formatCode>General</c:formatCode>
                <c:ptCount val="6"/>
                <c:pt idx="0">
                  <c:v>2263.36</c:v>
                </c:pt>
                <c:pt idx="1">
                  <c:v>2238.75</c:v>
                </c:pt>
                <c:pt idx="2">
                  <c:v>2220.9699999999998</c:v>
                </c:pt>
                <c:pt idx="3">
                  <c:v>2198.84</c:v>
                </c:pt>
                <c:pt idx="4">
                  <c:v>2176.61</c:v>
                </c:pt>
                <c:pt idx="5">
                  <c:v>2156.8200000000002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C7B-4D7F-8D6B-40C043F23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959103"/>
        <c:axId val="927077023"/>
      </c:lineChart>
      <c:catAx>
        <c:axId val="110495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77023"/>
        <c:crosses val="autoZero"/>
        <c:auto val="1"/>
        <c:lblAlgn val="ctr"/>
        <c:lblOffset val="100"/>
        <c:noMultiLvlLbl val="0"/>
      </c:catAx>
      <c:valAx>
        <c:axId val="9270770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Weights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5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147637</xdr:rowOff>
    </xdr:from>
    <xdr:to>
      <xdr:col>11</xdr:col>
      <xdr:colOff>219075</xdr:colOff>
      <xdr:row>16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A02F5-14C7-017D-2CF5-5934211AE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</xdr:row>
      <xdr:rowOff>14287</xdr:rowOff>
    </xdr:from>
    <xdr:to>
      <xdr:col>15</xdr:col>
      <xdr:colOff>409575</xdr:colOff>
      <xdr:row>15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73E85B-9E96-B5B2-1D11-4836DA55F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C113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5" max="5" width="13.7265625" bestFit="1" customWidth="1"/>
    <col min="6" max="7" width="11.7265625" customWidth="1"/>
    <col min="13" max="13" width="17.1796875" customWidth="1"/>
    <col min="14" max="14" width="15.1796875" customWidth="1"/>
    <col min="15" max="15" width="18.81640625" customWidth="1"/>
    <col min="16" max="16" width="14.1796875" customWidth="1"/>
    <col min="17" max="17" width="12.453125" style="7" customWidth="1"/>
    <col min="18" max="18" width="14.81640625" customWidth="1"/>
    <col min="19" max="19" width="13" customWidth="1"/>
    <col min="23" max="23" width="16.1796875" customWidth="1"/>
    <col min="24" max="24" width="16.81640625" customWidth="1"/>
    <col min="25" max="25" width="14.7265625" customWidth="1"/>
    <col min="26" max="26" width="16.7265625" customWidth="1"/>
    <col min="27" max="27" width="12.7265625" customWidth="1"/>
    <col min="28" max="28" width="16.1796875" customWidth="1"/>
    <col min="29" max="29" width="12.7265625" customWidth="1"/>
  </cols>
  <sheetData>
    <row r="1" spans="3:29" ht="31" x14ac:dyDescent="0.35">
      <c r="C1" s="42" t="s">
        <v>0</v>
      </c>
      <c r="D1" s="42" t="s">
        <v>1</v>
      </c>
      <c r="E1" s="42" t="s">
        <v>2</v>
      </c>
      <c r="F1" s="42" t="s">
        <v>4</v>
      </c>
      <c r="G1" s="42" t="s">
        <v>5</v>
      </c>
      <c r="H1" s="42" t="s">
        <v>3</v>
      </c>
      <c r="I1" s="5"/>
      <c r="J1" s="5"/>
      <c r="K1" s="24" t="s">
        <v>0</v>
      </c>
      <c r="L1" s="24" t="s">
        <v>13</v>
      </c>
      <c r="M1" s="25" t="s">
        <v>7</v>
      </c>
      <c r="N1" s="25" t="s">
        <v>15</v>
      </c>
      <c r="O1" s="25" t="s">
        <v>8</v>
      </c>
      <c r="P1" s="25" t="s">
        <v>10</v>
      </c>
      <c r="Q1" s="25" t="s">
        <v>9</v>
      </c>
      <c r="R1" s="25" t="s">
        <v>11</v>
      </c>
      <c r="S1" s="25" t="s">
        <v>6</v>
      </c>
      <c r="T1" s="4"/>
      <c r="U1" s="33" t="s">
        <v>0</v>
      </c>
      <c r="V1" s="33" t="s">
        <v>13</v>
      </c>
      <c r="W1" s="34" t="s">
        <v>7</v>
      </c>
      <c r="X1" s="34" t="s">
        <v>14</v>
      </c>
      <c r="Y1" s="34" t="s">
        <v>8</v>
      </c>
      <c r="Z1" s="34" t="s">
        <v>10</v>
      </c>
      <c r="AA1" s="34" t="s">
        <v>9</v>
      </c>
      <c r="AB1" s="34" t="s">
        <v>11</v>
      </c>
      <c r="AC1" s="34" t="s">
        <v>6</v>
      </c>
    </row>
    <row r="2" spans="3:29" x14ac:dyDescent="0.35">
      <c r="C2" s="54">
        <v>0.35625000000000001</v>
      </c>
      <c r="D2" s="55">
        <v>78</v>
      </c>
      <c r="E2" s="55">
        <v>31.5</v>
      </c>
      <c r="F2" s="45">
        <f>0.61081*EXP((17.27*E2)/(237.3+E2))</f>
        <v>4.622144575404401</v>
      </c>
      <c r="G2" s="45">
        <f>D2*F2/100</f>
        <v>3.6052727688154329</v>
      </c>
      <c r="H2" s="56">
        <f>F2-G2</f>
        <v>1.0168718065889681</v>
      </c>
      <c r="I2" s="6"/>
      <c r="J2" s="6"/>
      <c r="K2" s="94">
        <v>0.3611111111111111</v>
      </c>
      <c r="L2" s="12">
        <v>1</v>
      </c>
      <c r="M2" s="13">
        <v>1.61</v>
      </c>
      <c r="N2" s="14">
        <v>2238.67</v>
      </c>
      <c r="O2" s="14">
        <f>N2-($M2*1000)</f>
        <v>628.67000000000007</v>
      </c>
      <c r="P2" s="15">
        <v>987.5</v>
      </c>
      <c r="Q2" s="16">
        <f>O2/$P2*100</f>
        <v>63.662784810126595</v>
      </c>
      <c r="R2" s="14">
        <v>691.25</v>
      </c>
      <c r="S2" s="17">
        <f>R2-O2</f>
        <v>62.579999999999927</v>
      </c>
      <c r="U2" s="86">
        <v>0.34027777777777779</v>
      </c>
      <c r="V2" s="8">
        <v>1</v>
      </c>
      <c r="W2" s="32">
        <v>1.61</v>
      </c>
      <c r="X2" s="4">
        <v>2185.0300000000002</v>
      </c>
      <c r="Y2" s="4">
        <f>X2-($M2*1000)</f>
        <v>575.0300000000002</v>
      </c>
      <c r="Z2" s="9">
        <v>987.5</v>
      </c>
      <c r="AA2" s="10">
        <f>Y2/$P2*100</f>
        <v>58.230886075949385</v>
      </c>
      <c r="AB2" s="4">
        <v>691.25</v>
      </c>
      <c r="AC2" s="18">
        <f>AB2-Y2</f>
        <v>116.2199999999998</v>
      </c>
    </row>
    <row r="3" spans="3:29" x14ac:dyDescent="0.35">
      <c r="C3" s="54">
        <v>0.35833333333333334</v>
      </c>
      <c r="D3" s="55">
        <v>78</v>
      </c>
      <c r="E3" s="55">
        <v>31.6</v>
      </c>
      <c r="F3" s="45">
        <f t="shared" ref="F3:F20" si="0">0.61081*EXP((17.27*E3)/(237.3+E3))</f>
        <v>4.6484257822496353</v>
      </c>
      <c r="G3" s="45">
        <f t="shared" ref="G3:G20" si="1">D3*F3/100</f>
        <v>3.6257721101547156</v>
      </c>
      <c r="H3" s="56">
        <f t="shared" ref="H3:H20" si="2">F3-G3</f>
        <v>1.0226536720949198</v>
      </c>
      <c r="I3" s="6"/>
      <c r="J3" s="6"/>
      <c r="K3" s="86"/>
      <c r="L3" s="8">
        <v>2</v>
      </c>
      <c r="M3" s="11">
        <v>1.7912999999999999</v>
      </c>
      <c r="N3" s="4">
        <v>2439.92</v>
      </c>
      <c r="O3" s="4">
        <f t="shared" ref="O3:O33" si="3">N3-($M3*1000)</f>
        <v>648.62000000000012</v>
      </c>
      <c r="P3" s="9">
        <v>1029.4000000000001</v>
      </c>
      <c r="Q3" s="10">
        <f t="shared" ref="Q3:Q17" si="4">O3/$P3*100</f>
        <v>63.009520108801254</v>
      </c>
      <c r="R3" s="4">
        <v>720.58</v>
      </c>
      <c r="S3" s="18">
        <f t="shared" ref="S3:S17" si="5">R3-O3</f>
        <v>71.959999999999923</v>
      </c>
      <c r="U3" s="86"/>
      <c r="V3" s="8">
        <v>2</v>
      </c>
      <c r="W3" s="11">
        <v>1.7912999999999999</v>
      </c>
      <c r="X3" s="4">
        <v>2363.7399999999998</v>
      </c>
      <c r="Y3" s="4">
        <f t="shared" ref="Y3:Y17" si="6">X3-($M3*1000)</f>
        <v>572.43999999999983</v>
      </c>
      <c r="Z3" s="9">
        <v>1029.4000000000001</v>
      </c>
      <c r="AA3" s="10">
        <f t="shared" ref="AA3:AA17" si="7">Y3/$P3*100</f>
        <v>55.60909267534484</v>
      </c>
      <c r="AB3" s="4">
        <v>720.58</v>
      </c>
      <c r="AC3" s="18">
        <f t="shared" ref="AC3:AC17" si="8">AB3-Y3</f>
        <v>148.14000000000021</v>
      </c>
    </row>
    <row r="4" spans="3:29" x14ac:dyDescent="0.35">
      <c r="C4" s="36">
        <v>0.40486111111111112</v>
      </c>
      <c r="D4" s="35">
        <v>70</v>
      </c>
      <c r="E4" s="35">
        <v>32</v>
      </c>
      <c r="F4" s="37">
        <f t="shared" si="0"/>
        <v>4.7548532413075932</v>
      </c>
      <c r="G4" s="37">
        <f t="shared" si="1"/>
        <v>3.3283972689153156</v>
      </c>
      <c r="H4" s="38">
        <f t="shared" si="2"/>
        <v>1.4264559723922776</v>
      </c>
      <c r="I4" s="6"/>
      <c r="J4" s="6"/>
      <c r="K4" s="86"/>
      <c r="L4" s="8">
        <v>3</v>
      </c>
      <c r="M4" s="11">
        <v>1.5481</v>
      </c>
      <c r="N4" s="4">
        <v>2119.54</v>
      </c>
      <c r="O4" s="4">
        <f t="shared" si="3"/>
        <v>571.43999999999983</v>
      </c>
      <c r="P4" s="9">
        <v>1031.9000000000001</v>
      </c>
      <c r="Q4" s="10">
        <f t="shared" si="4"/>
        <v>55.377459056110069</v>
      </c>
      <c r="R4" s="4">
        <v>722.33</v>
      </c>
      <c r="S4" s="18">
        <f t="shared" si="5"/>
        <v>150.89000000000021</v>
      </c>
      <c r="U4" s="86"/>
      <c r="V4" s="8">
        <v>3</v>
      </c>
      <c r="W4" s="11">
        <v>1.5481</v>
      </c>
      <c r="X4" s="4">
        <v>2024.65</v>
      </c>
      <c r="Y4" s="4">
        <f t="shared" si="6"/>
        <v>476.54999999999995</v>
      </c>
      <c r="Z4" s="9">
        <v>1031.9000000000001</v>
      </c>
      <c r="AA4" s="10">
        <f t="shared" si="7"/>
        <v>46.181800562069959</v>
      </c>
      <c r="AB4" s="4">
        <v>722.33</v>
      </c>
      <c r="AC4" s="18">
        <f t="shared" si="8"/>
        <v>245.78000000000009</v>
      </c>
    </row>
    <row r="5" spans="3:29" x14ac:dyDescent="0.35">
      <c r="C5" s="57">
        <v>0.46388888888888891</v>
      </c>
      <c r="D5" s="58">
        <v>60</v>
      </c>
      <c r="E5" s="58">
        <v>31.9</v>
      </c>
      <c r="F5" s="59">
        <f t="shared" si="0"/>
        <v>4.7280499066035517</v>
      </c>
      <c r="G5" s="59">
        <f t="shared" si="1"/>
        <v>2.836829943962131</v>
      </c>
      <c r="H5" s="60">
        <f t="shared" si="2"/>
        <v>1.8912199626414208</v>
      </c>
      <c r="I5" s="6"/>
      <c r="J5" s="6"/>
      <c r="K5" s="86"/>
      <c r="L5" s="8">
        <v>4</v>
      </c>
      <c r="M5" s="11">
        <v>1.5491999999999999</v>
      </c>
      <c r="N5" s="4">
        <v>2207.9299999999998</v>
      </c>
      <c r="O5" s="4">
        <f t="shared" si="3"/>
        <v>658.73</v>
      </c>
      <c r="P5" s="9">
        <v>1060.1000000000004</v>
      </c>
      <c r="Q5" s="10">
        <f t="shared" si="4"/>
        <v>62.138477502122427</v>
      </c>
      <c r="R5" s="4">
        <v>742.07000000000028</v>
      </c>
      <c r="S5" s="18">
        <f t="shared" si="5"/>
        <v>83.340000000000259</v>
      </c>
      <c r="U5" s="86"/>
      <c r="V5" s="8">
        <v>4</v>
      </c>
      <c r="W5" s="11">
        <v>1.5491999999999999</v>
      </c>
      <c r="X5" s="4">
        <v>2066.13</v>
      </c>
      <c r="Y5" s="4">
        <f t="shared" si="6"/>
        <v>516.93000000000029</v>
      </c>
      <c r="Z5" s="9">
        <v>1060.1000000000004</v>
      </c>
      <c r="AA5" s="10">
        <f t="shared" si="7"/>
        <v>48.762380907461569</v>
      </c>
      <c r="AB5" s="4">
        <v>742.07000000000028</v>
      </c>
      <c r="AC5" s="18">
        <f t="shared" si="8"/>
        <v>225.14</v>
      </c>
    </row>
    <row r="6" spans="3:29" x14ac:dyDescent="0.35">
      <c r="C6" s="61">
        <v>0.52361111111111114</v>
      </c>
      <c r="D6" s="62">
        <v>49</v>
      </c>
      <c r="E6" s="62">
        <v>32</v>
      </c>
      <c r="F6" s="53">
        <f t="shared" si="0"/>
        <v>4.7548532413075932</v>
      </c>
      <c r="G6" s="53">
        <f t="shared" si="1"/>
        <v>2.3298780882407204</v>
      </c>
      <c r="H6" s="63">
        <f t="shared" si="2"/>
        <v>2.4249751530668728</v>
      </c>
      <c r="I6" s="6"/>
      <c r="J6" s="6"/>
      <c r="K6" s="86"/>
      <c r="L6" s="8">
        <v>5</v>
      </c>
      <c r="M6" s="11">
        <v>1.7896000000000001</v>
      </c>
      <c r="N6" s="4">
        <v>2458.84</v>
      </c>
      <c r="O6" s="4">
        <f t="shared" si="3"/>
        <v>669.24</v>
      </c>
      <c r="P6" s="9">
        <v>1079.1999999999998</v>
      </c>
      <c r="Q6" s="10">
        <f t="shared" si="4"/>
        <v>62.012601927353607</v>
      </c>
      <c r="R6" s="4">
        <v>755.43999999999983</v>
      </c>
      <c r="S6" s="18">
        <f t="shared" si="5"/>
        <v>86.199999999999818</v>
      </c>
      <c r="U6" s="86"/>
      <c r="V6" s="8">
        <v>5</v>
      </c>
      <c r="W6" s="11">
        <v>1.7896000000000001</v>
      </c>
      <c r="X6" s="4">
        <v>2380.94</v>
      </c>
      <c r="Y6" s="4">
        <f t="shared" si="6"/>
        <v>591.33999999999992</v>
      </c>
      <c r="Z6" s="9">
        <v>1079.1999999999998</v>
      </c>
      <c r="AA6" s="10">
        <f t="shared" si="7"/>
        <v>54.794292068198672</v>
      </c>
      <c r="AB6" s="4">
        <v>755.43999999999983</v>
      </c>
      <c r="AC6" s="18">
        <f t="shared" si="8"/>
        <v>164.09999999999991</v>
      </c>
    </row>
    <row r="7" spans="3:29" x14ac:dyDescent="0.35">
      <c r="C7" s="64">
        <v>0.57291666666666663</v>
      </c>
      <c r="D7" s="65">
        <v>45</v>
      </c>
      <c r="E7" s="65">
        <v>32</v>
      </c>
      <c r="F7" s="66">
        <f t="shared" si="0"/>
        <v>4.7548532413075932</v>
      </c>
      <c r="G7" s="66">
        <f t="shared" si="1"/>
        <v>2.1396839585884169</v>
      </c>
      <c r="H7" s="67">
        <f t="shared" si="2"/>
        <v>2.6151692827191764</v>
      </c>
      <c r="I7" s="6"/>
      <c r="J7" s="6"/>
      <c r="K7" s="86"/>
      <c r="L7" s="8">
        <v>6</v>
      </c>
      <c r="M7" s="11">
        <v>1.8140000000000001</v>
      </c>
      <c r="N7" s="4">
        <v>2460.0700000000002</v>
      </c>
      <c r="O7" s="4">
        <f t="shared" si="3"/>
        <v>646.07000000000016</v>
      </c>
      <c r="P7" s="9">
        <v>1036.2999999999997</v>
      </c>
      <c r="Q7" s="10">
        <f t="shared" si="4"/>
        <v>62.343915854482326</v>
      </c>
      <c r="R7" s="4">
        <v>725.40999999999985</v>
      </c>
      <c r="S7" s="18">
        <f t="shared" si="5"/>
        <v>79.339999999999691</v>
      </c>
      <c r="U7" s="86"/>
      <c r="V7" s="8">
        <v>6</v>
      </c>
      <c r="W7" s="11">
        <v>1.8140000000000001</v>
      </c>
      <c r="X7" s="4">
        <v>2360.15</v>
      </c>
      <c r="Y7" s="4">
        <f t="shared" si="6"/>
        <v>546.15000000000009</v>
      </c>
      <c r="Z7" s="9">
        <v>1036.2999999999997</v>
      </c>
      <c r="AA7" s="10">
        <f t="shared" si="7"/>
        <v>52.701920293351364</v>
      </c>
      <c r="AB7" s="4">
        <v>725.40999999999985</v>
      </c>
      <c r="AC7" s="18">
        <f t="shared" si="8"/>
        <v>179.25999999999976</v>
      </c>
    </row>
    <row r="8" spans="3:29" x14ac:dyDescent="0.35">
      <c r="C8" s="64">
        <v>0.57847222222222228</v>
      </c>
      <c r="D8" s="65">
        <v>36</v>
      </c>
      <c r="E8" s="65">
        <v>31.2</v>
      </c>
      <c r="F8" s="66">
        <f t="shared" si="0"/>
        <v>4.5440739808757042</v>
      </c>
      <c r="G8" s="66">
        <f t="shared" si="1"/>
        <v>1.6358666331152534</v>
      </c>
      <c r="H8" s="67">
        <f t="shared" si="2"/>
        <v>2.9082073477604506</v>
      </c>
      <c r="I8" s="6"/>
      <c r="J8" s="6"/>
      <c r="K8" s="86"/>
      <c r="L8" s="8">
        <v>7</v>
      </c>
      <c r="M8" s="11">
        <v>1.6156999999999999</v>
      </c>
      <c r="N8" s="4"/>
      <c r="O8" s="4">
        <f t="shared" si="3"/>
        <v>-1615.6999999999998</v>
      </c>
      <c r="P8" s="9">
        <v>972.79999999999984</v>
      </c>
      <c r="Q8" s="10">
        <f t="shared" si="4"/>
        <v>-166.08758223684214</v>
      </c>
      <c r="R8" s="4">
        <v>680.95999999999981</v>
      </c>
      <c r="S8" s="18">
        <f t="shared" si="5"/>
        <v>2296.66</v>
      </c>
      <c r="U8" s="86"/>
      <c r="V8" s="8">
        <v>7</v>
      </c>
      <c r="W8" s="11">
        <v>1.6156999999999999</v>
      </c>
      <c r="X8" s="4">
        <v>0</v>
      </c>
      <c r="Y8" s="4">
        <f t="shared" si="6"/>
        <v>-1615.6999999999998</v>
      </c>
      <c r="Z8" s="9">
        <v>972.79999999999984</v>
      </c>
      <c r="AA8" s="10">
        <f t="shared" si="7"/>
        <v>-166.08758223684214</v>
      </c>
      <c r="AB8" s="4">
        <v>680.95999999999981</v>
      </c>
      <c r="AC8" s="18">
        <f t="shared" si="8"/>
        <v>2296.66</v>
      </c>
    </row>
    <row r="9" spans="3:29" x14ac:dyDescent="0.35">
      <c r="C9" s="64">
        <v>0.58402777777777781</v>
      </c>
      <c r="D9" s="65">
        <v>37</v>
      </c>
      <c r="E9" s="65">
        <v>31.9</v>
      </c>
      <c r="F9" s="66">
        <f t="shared" si="0"/>
        <v>4.7280499066035517</v>
      </c>
      <c r="G9" s="66">
        <f t="shared" si="1"/>
        <v>1.7493784654433142</v>
      </c>
      <c r="H9" s="67">
        <f t="shared" si="2"/>
        <v>2.9786714411602375</v>
      </c>
      <c r="I9" s="6"/>
      <c r="J9" s="6"/>
      <c r="K9" s="86"/>
      <c r="L9" s="31">
        <v>8</v>
      </c>
      <c r="M9" s="11">
        <v>1.6026</v>
      </c>
      <c r="N9" s="4">
        <v>2486.0700000000002</v>
      </c>
      <c r="O9" s="4">
        <f t="shared" si="3"/>
        <v>883.47</v>
      </c>
      <c r="P9" s="9">
        <v>1080.7999999999997</v>
      </c>
      <c r="Q9" s="10">
        <f t="shared" si="4"/>
        <v>81.742227979274645</v>
      </c>
      <c r="R9" s="4">
        <v>756.55999999999983</v>
      </c>
      <c r="S9" s="18">
        <f t="shared" si="5"/>
        <v>-126.9100000000002</v>
      </c>
      <c r="U9" s="86"/>
      <c r="V9" s="8">
        <v>8</v>
      </c>
      <c r="W9" s="11">
        <v>1.6026</v>
      </c>
      <c r="X9" s="4">
        <v>2155.1799999999998</v>
      </c>
      <c r="Y9" s="4">
        <f t="shared" si="6"/>
        <v>552.5799999999997</v>
      </c>
      <c r="Z9" s="9">
        <v>1080.7999999999997</v>
      </c>
      <c r="AA9" s="10">
        <f t="shared" si="7"/>
        <v>51.126943005181339</v>
      </c>
      <c r="AB9" s="4">
        <v>756.55999999999983</v>
      </c>
      <c r="AC9" s="18">
        <f t="shared" si="8"/>
        <v>203.98000000000013</v>
      </c>
    </row>
    <row r="10" spans="3:29" x14ac:dyDescent="0.35">
      <c r="C10" s="64">
        <v>0.59097222222222223</v>
      </c>
      <c r="D10" s="65">
        <v>36</v>
      </c>
      <c r="E10" s="65">
        <v>31.9</v>
      </c>
      <c r="F10" s="66">
        <f t="shared" si="0"/>
        <v>4.7280499066035517</v>
      </c>
      <c r="G10" s="66">
        <f t="shared" si="1"/>
        <v>1.7020979663772786</v>
      </c>
      <c r="H10" s="67">
        <f t="shared" si="2"/>
        <v>3.0259519402262729</v>
      </c>
      <c r="I10" s="6"/>
      <c r="J10" s="6"/>
      <c r="K10" s="86"/>
      <c r="L10" s="8">
        <v>9</v>
      </c>
      <c r="M10" s="11">
        <v>1.5497000000000001</v>
      </c>
      <c r="N10" s="4">
        <v>2234.54</v>
      </c>
      <c r="O10" s="4">
        <f t="shared" si="3"/>
        <v>684.83999999999992</v>
      </c>
      <c r="P10" s="9">
        <v>1069.3000000000002</v>
      </c>
      <c r="Q10" s="10">
        <f t="shared" si="4"/>
        <v>64.045637332834545</v>
      </c>
      <c r="R10" s="4">
        <v>748.5100000000001</v>
      </c>
      <c r="S10" s="18">
        <f t="shared" si="5"/>
        <v>63.670000000000186</v>
      </c>
      <c r="U10" s="86"/>
      <c r="V10" s="8">
        <v>9</v>
      </c>
      <c r="W10" s="11">
        <v>1.5497000000000001</v>
      </c>
      <c r="X10" s="4">
        <v>2103.9899999999998</v>
      </c>
      <c r="Y10" s="4">
        <f t="shared" si="6"/>
        <v>554.28999999999974</v>
      </c>
      <c r="Z10" s="9">
        <v>1069.3000000000002</v>
      </c>
      <c r="AA10" s="10">
        <f t="shared" si="7"/>
        <v>51.836715608341876</v>
      </c>
      <c r="AB10" s="4">
        <v>748.5100000000001</v>
      </c>
      <c r="AC10" s="18">
        <f t="shared" si="8"/>
        <v>194.22000000000037</v>
      </c>
    </row>
    <row r="11" spans="3:29" x14ac:dyDescent="0.35">
      <c r="C11" s="64">
        <v>0.59375</v>
      </c>
      <c r="D11" s="65">
        <v>44</v>
      </c>
      <c r="E11" s="65">
        <v>32.1</v>
      </c>
      <c r="F11" s="66">
        <f t="shared" si="0"/>
        <v>4.7817884563091235</v>
      </c>
      <c r="G11" s="66">
        <f t="shared" si="1"/>
        <v>2.1039869207760145</v>
      </c>
      <c r="H11" s="67">
        <f t="shared" si="2"/>
        <v>2.6778015355331091</v>
      </c>
      <c r="I11" s="6"/>
      <c r="J11" s="6"/>
      <c r="K11" s="86"/>
      <c r="L11" s="8">
        <v>10</v>
      </c>
      <c r="M11" s="11">
        <v>1.6895000000000002</v>
      </c>
      <c r="N11" s="4">
        <v>2282.39</v>
      </c>
      <c r="O11" s="4">
        <f t="shared" si="3"/>
        <v>592.88999999999965</v>
      </c>
      <c r="P11" s="9">
        <v>938.49999999999989</v>
      </c>
      <c r="Q11" s="10">
        <f t="shared" si="4"/>
        <v>63.174214171550311</v>
      </c>
      <c r="R11" s="4">
        <v>656.94999999999982</v>
      </c>
      <c r="S11" s="18">
        <f t="shared" si="5"/>
        <v>64.060000000000173</v>
      </c>
      <c r="U11" s="86"/>
      <c r="V11" s="8">
        <v>10</v>
      </c>
      <c r="W11" s="11">
        <v>1.6895000000000002</v>
      </c>
      <c r="X11" s="4">
        <v>2248.38</v>
      </c>
      <c r="Y11" s="4">
        <f t="shared" si="6"/>
        <v>558.87999999999988</v>
      </c>
      <c r="Z11" s="9">
        <v>938.49999999999989</v>
      </c>
      <c r="AA11" s="10">
        <f t="shared" si="7"/>
        <v>59.5503462972829</v>
      </c>
      <c r="AB11" s="4">
        <v>656.94999999999982</v>
      </c>
      <c r="AC11" s="18">
        <f t="shared" si="8"/>
        <v>98.069999999999936</v>
      </c>
    </row>
    <row r="12" spans="3:29" x14ac:dyDescent="0.35">
      <c r="C12" s="68">
        <v>0.6020833333333333</v>
      </c>
      <c r="D12" s="69">
        <v>31</v>
      </c>
      <c r="E12" s="69">
        <v>32.299999999999997</v>
      </c>
      <c r="F12" s="70">
        <f t="shared" si="0"/>
        <v>4.8360567002314436</v>
      </c>
      <c r="G12" s="70">
        <f t="shared" si="1"/>
        <v>1.4991775770717475</v>
      </c>
      <c r="H12" s="71">
        <f t="shared" si="2"/>
        <v>3.3368791231596964</v>
      </c>
      <c r="I12" s="6"/>
      <c r="J12" s="6"/>
      <c r="K12" s="86"/>
      <c r="L12" s="8">
        <v>11</v>
      </c>
      <c r="M12" s="11">
        <v>1.5619000000000001</v>
      </c>
      <c r="N12" s="4">
        <v>2244.04</v>
      </c>
      <c r="O12" s="4">
        <f t="shared" si="3"/>
        <v>682.13999999999987</v>
      </c>
      <c r="P12" s="9">
        <v>1079.8000000000002</v>
      </c>
      <c r="Q12" s="10">
        <f t="shared" si="4"/>
        <v>63.172809779588789</v>
      </c>
      <c r="R12" s="4">
        <v>755.86000000000013</v>
      </c>
      <c r="S12" s="18">
        <f t="shared" si="5"/>
        <v>73.720000000000255</v>
      </c>
      <c r="U12" s="86"/>
      <c r="V12" s="8">
        <v>11</v>
      </c>
      <c r="W12" s="11">
        <v>1.5619000000000001</v>
      </c>
      <c r="X12" s="4">
        <v>2112.5100000000002</v>
      </c>
      <c r="Y12" s="4">
        <f t="shared" si="6"/>
        <v>550.61000000000013</v>
      </c>
      <c r="Z12" s="9">
        <v>1079.8000000000002</v>
      </c>
      <c r="AA12" s="10">
        <f t="shared" si="7"/>
        <v>50.991850342656051</v>
      </c>
      <c r="AB12" s="4">
        <v>755.86000000000013</v>
      </c>
      <c r="AC12" s="18">
        <f t="shared" si="8"/>
        <v>205.25</v>
      </c>
    </row>
    <row r="13" spans="3:29" x14ac:dyDescent="0.35">
      <c r="C13" s="68">
        <v>0.60624999999999996</v>
      </c>
      <c r="D13" s="69">
        <v>30</v>
      </c>
      <c r="E13" s="69">
        <v>32.1</v>
      </c>
      <c r="F13" s="70">
        <f t="shared" si="0"/>
        <v>4.7817884563091235</v>
      </c>
      <c r="G13" s="70">
        <f t="shared" si="1"/>
        <v>1.434536536892737</v>
      </c>
      <c r="H13" s="71">
        <f t="shared" si="2"/>
        <v>3.3472519194163866</v>
      </c>
      <c r="I13" s="6"/>
      <c r="J13" s="6"/>
      <c r="K13" s="86"/>
      <c r="L13" s="8">
        <v>12</v>
      </c>
      <c r="M13" s="11">
        <v>1.5084</v>
      </c>
      <c r="N13" s="4">
        <v>2122.85</v>
      </c>
      <c r="O13" s="4">
        <f t="shared" si="3"/>
        <v>614.45000000000005</v>
      </c>
      <c r="P13" s="9">
        <v>929.9</v>
      </c>
      <c r="Q13" s="10">
        <f t="shared" si="4"/>
        <v>66.07699752661577</v>
      </c>
      <c r="R13" s="4">
        <v>650.92999999999995</v>
      </c>
      <c r="S13" s="18">
        <f t="shared" si="5"/>
        <v>36.479999999999905</v>
      </c>
      <c r="U13" s="86"/>
      <c r="V13" s="8">
        <v>12</v>
      </c>
      <c r="W13" s="11">
        <v>1.5084</v>
      </c>
      <c r="X13" s="4">
        <v>2102.36</v>
      </c>
      <c r="Y13" s="4">
        <f t="shared" si="6"/>
        <v>593.96000000000026</v>
      </c>
      <c r="Z13" s="9">
        <v>929.9</v>
      </c>
      <c r="AA13" s="10">
        <f t="shared" si="7"/>
        <v>63.873534788686982</v>
      </c>
      <c r="AB13" s="4">
        <v>650.92999999999995</v>
      </c>
      <c r="AC13" s="18">
        <f t="shared" si="8"/>
        <v>56.969999999999686</v>
      </c>
    </row>
    <row r="14" spans="3:29" x14ac:dyDescent="0.35">
      <c r="C14" s="68">
        <v>0.61458333333333337</v>
      </c>
      <c r="D14" s="69">
        <v>29</v>
      </c>
      <c r="E14" s="69">
        <v>32.1</v>
      </c>
      <c r="F14" s="70">
        <f t="shared" si="0"/>
        <v>4.7817884563091235</v>
      </c>
      <c r="G14" s="70">
        <f t="shared" si="1"/>
        <v>1.386718652329646</v>
      </c>
      <c r="H14" s="71">
        <f t="shared" si="2"/>
        <v>3.3950698039794776</v>
      </c>
      <c r="I14" s="6"/>
      <c r="J14" s="6"/>
      <c r="K14" s="86"/>
      <c r="L14" s="8">
        <v>13</v>
      </c>
      <c r="M14" s="11">
        <v>1.587</v>
      </c>
      <c r="N14" s="4">
        <v>2252.7600000000002</v>
      </c>
      <c r="O14" s="4">
        <f t="shared" si="3"/>
        <v>665.76000000000022</v>
      </c>
      <c r="P14" s="9">
        <v>1024.5</v>
      </c>
      <c r="Q14" s="10">
        <f t="shared" si="4"/>
        <v>64.983894582723295</v>
      </c>
      <c r="R14" s="4">
        <v>717.15</v>
      </c>
      <c r="S14" s="18">
        <f t="shared" si="5"/>
        <v>51.389999999999759</v>
      </c>
      <c r="U14" s="86"/>
      <c r="V14" s="8">
        <v>13</v>
      </c>
      <c r="W14" s="11">
        <v>1.587</v>
      </c>
      <c r="X14" s="4">
        <v>2093.8000000000002</v>
      </c>
      <c r="Y14" s="4">
        <f t="shared" si="6"/>
        <v>506.80000000000018</v>
      </c>
      <c r="Z14" s="9">
        <v>1024.5</v>
      </c>
      <c r="AA14" s="10">
        <f t="shared" si="7"/>
        <v>49.468033186920465</v>
      </c>
      <c r="AB14" s="4">
        <v>717.15</v>
      </c>
      <c r="AC14" s="18">
        <f t="shared" si="8"/>
        <v>210.3499999999998</v>
      </c>
    </row>
    <row r="15" spans="3:29" x14ac:dyDescent="0.35">
      <c r="C15" s="68">
        <v>0.62291666666666667</v>
      </c>
      <c r="D15" s="69">
        <v>29</v>
      </c>
      <c r="E15" s="69">
        <v>31.7</v>
      </c>
      <c r="F15" s="70">
        <f t="shared" si="0"/>
        <v>4.6748367155366184</v>
      </c>
      <c r="G15" s="70">
        <f t="shared" si="1"/>
        <v>1.3557026475056193</v>
      </c>
      <c r="H15" s="71">
        <f t="shared" si="2"/>
        <v>3.3191340680309991</v>
      </c>
      <c r="I15" s="6"/>
      <c r="J15" s="6"/>
      <c r="K15" s="86"/>
      <c r="L15" s="8">
        <v>14</v>
      </c>
      <c r="M15" s="11">
        <v>1.7172000000000001</v>
      </c>
      <c r="N15" s="4">
        <v>2339.25</v>
      </c>
      <c r="O15" s="4">
        <f t="shared" si="3"/>
        <v>622.04999999999995</v>
      </c>
      <c r="P15" s="9">
        <v>992.59999999999991</v>
      </c>
      <c r="Q15" s="10">
        <f t="shared" si="4"/>
        <v>62.668748740681046</v>
      </c>
      <c r="R15" s="4">
        <v>694.82</v>
      </c>
      <c r="S15" s="18">
        <f t="shared" si="5"/>
        <v>72.770000000000095</v>
      </c>
      <c r="U15" s="86"/>
      <c r="V15" s="8">
        <v>14</v>
      </c>
      <c r="W15" s="11">
        <v>1.7172000000000001</v>
      </c>
      <c r="X15" s="4">
        <v>2300.63</v>
      </c>
      <c r="Y15" s="4">
        <f t="shared" si="6"/>
        <v>583.43000000000006</v>
      </c>
      <c r="Z15" s="9">
        <v>992.59999999999991</v>
      </c>
      <c r="AA15" s="10">
        <f t="shared" si="7"/>
        <v>58.777956880918815</v>
      </c>
      <c r="AB15" s="4">
        <v>694.82</v>
      </c>
      <c r="AC15" s="18">
        <f t="shared" si="8"/>
        <v>111.38999999999999</v>
      </c>
    </row>
    <row r="16" spans="3:29" x14ac:dyDescent="0.35">
      <c r="C16" s="1"/>
      <c r="D16" s="1"/>
      <c r="E16" s="1"/>
      <c r="F16" s="2">
        <f t="shared" si="0"/>
        <v>0.61080999999999996</v>
      </c>
      <c r="G16" s="2">
        <f t="shared" si="1"/>
        <v>0</v>
      </c>
      <c r="H16" s="3">
        <f t="shared" si="2"/>
        <v>0.61080999999999996</v>
      </c>
      <c r="I16" s="6"/>
      <c r="J16" s="6"/>
      <c r="K16" s="86"/>
      <c r="L16" s="8">
        <v>15</v>
      </c>
      <c r="M16" s="11">
        <v>1.5403</v>
      </c>
      <c r="N16" s="4">
        <v>2102.06</v>
      </c>
      <c r="O16" s="4">
        <f t="shared" si="3"/>
        <v>561.76</v>
      </c>
      <c r="P16" s="9">
        <v>929.9000000000002</v>
      </c>
      <c r="Q16" s="10">
        <f t="shared" si="4"/>
        <v>60.410796859877394</v>
      </c>
      <c r="R16" s="4">
        <v>650.93000000000018</v>
      </c>
      <c r="S16" s="18">
        <f t="shared" si="5"/>
        <v>89.170000000000186</v>
      </c>
      <c r="U16" s="86"/>
      <c r="V16" s="8">
        <v>15</v>
      </c>
      <c r="W16" s="11">
        <v>1.5403</v>
      </c>
      <c r="X16" s="4">
        <v>1980.98</v>
      </c>
      <c r="Y16" s="4">
        <f t="shared" si="6"/>
        <v>440.68000000000006</v>
      </c>
      <c r="Z16" s="9">
        <v>929.9000000000002</v>
      </c>
      <c r="AA16" s="10">
        <f t="shared" si="7"/>
        <v>47.390041939993544</v>
      </c>
      <c r="AB16" s="4">
        <v>650.93000000000018</v>
      </c>
      <c r="AC16" s="18">
        <f t="shared" si="8"/>
        <v>210.25000000000011</v>
      </c>
    </row>
    <row r="17" spans="3:29" x14ac:dyDescent="0.35">
      <c r="C17" s="1"/>
      <c r="D17" s="1"/>
      <c r="E17" s="1"/>
      <c r="F17" s="2">
        <f t="shared" si="0"/>
        <v>0.61080999999999996</v>
      </c>
      <c r="G17" s="2">
        <f t="shared" si="1"/>
        <v>0</v>
      </c>
      <c r="H17" s="3">
        <f t="shared" si="2"/>
        <v>0.61080999999999996</v>
      </c>
      <c r="I17" s="6"/>
      <c r="J17" s="6"/>
      <c r="K17" s="87"/>
      <c r="L17" s="8">
        <v>16</v>
      </c>
      <c r="M17" s="11">
        <v>1.5101</v>
      </c>
      <c r="N17" s="4">
        <v>2132.36</v>
      </c>
      <c r="O17" s="4">
        <f t="shared" si="3"/>
        <v>622.26000000000022</v>
      </c>
      <c r="P17" s="9">
        <v>953.19999999999982</v>
      </c>
      <c r="Q17" s="10">
        <f t="shared" si="4"/>
        <v>65.281158203944642</v>
      </c>
      <c r="R17" s="4">
        <v>667.2399999999999</v>
      </c>
      <c r="S17" s="18">
        <f t="shared" si="5"/>
        <v>44.979999999999677</v>
      </c>
      <c r="U17" s="87"/>
      <c r="V17" s="28">
        <v>16</v>
      </c>
      <c r="W17" s="19">
        <v>1.5101</v>
      </c>
      <c r="X17" s="20">
        <v>2051.09</v>
      </c>
      <c r="Y17" s="20">
        <f t="shared" si="6"/>
        <v>540.99000000000024</v>
      </c>
      <c r="Z17" s="21">
        <v>953.19999999999982</v>
      </c>
      <c r="AA17" s="22">
        <f t="shared" si="7"/>
        <v>56.755140579102004</v>
      </c>
      <c r="AB17" s="20">
        <v>667.2399999999999</v>
      </c>
      <c r="AC17" s="23">
        <f t="shared" si="8"/>
        <v>126.24999999999966</v>
      </c>
    </row>
    <row r="18" spans="3:29" x14ac:dyDescent="0.35">
      <c r="C18" s="1"/>
      <c r="D18" s="1"/>
      <c r="E18" s="1"/>
      <c r="F18" s="2">
        <f t="shared" si="0"/>
        <v>0.61080999999999996</v>
      </c>
      <c r="G18" s="2">
        <f t="shared" si="1"/>
        <v>0</v>
      </c>
      <c r="H18" s="3">
        <f t="shared" si="2"/>
        <v>0.61080999999999996</v>
      </c>
      <c r="I18" s="6"/>
      <c r="J18" s="6"/>
      <c r="K18" s="91">
        <v>0.38055555555555554</v>
      </c>
      <c r="L18" s="26">
        <v>1</v>
      </c>
      <c r="M18" s="13">
        <v>1.61</v>
      </c>
      <c r="N18" s="14">
        <v>2233.06</v>
      </c>
      <c r="O18" s="14">
        <f>N18-($M18*1000)</f>
        <v>623.05999999999995</v>
      </c>
      <c r="P18" s="15">
        <v>987.5</v>
      </c>
      <c r="Q18" s="16">
        <f>O18/$P18*100</f>
        <v>63.094683544303784</v>
      </c>
      <c r="R18" s="14">
        <v>691.25</v>
      </c>
      <c r="S18" s="17">
        <f>R18-O18</f>
        <v>68.190000000000055</v>
      </c>
      <c r="U18" s="86">
        <v>0.45555555555555555</v>
      </c>
      <c r="V18" s="8">
        <v>1</v>
      </c>
      <c r="W18" s="32">
        <v>1.61</v>
      </c>
      <c r="X18" s="4">
        <v>2287.7399999999998</v>
      </c>
      <c r="Y18" s="4">
        <f>X18-($M18*1000)</f>
        <v>677.73999999999978</v>
      </c>
      <c r="Z18" s="9">
        <v>987.5</v>
      </c>
      <c r="AA18" s="10">
        <f>Y18/$P18*100</f>
        <v>68.631898734177184</v>
      </c>
      <c r="AB18" s="4">
        <v>691.25</v>
      </c>
      <c r="AC18" s="18">
        <f>AB18-Y18</f>
        <v>13.510000000000218</v>
      </c>
    </row>
    <row r="19" spans="3:29" x14ac:dyDescent="0.35">
      <c r="C19" s="1"/>
      <c r="D19" s="1"/>
      <c r="E19" s="1"/>
      <c r="F19" s="2">
        <f t="shared" si="0"/>
        <v>0.61080999999999996</v>
      </c>
      <c r="G19" s="2">
        <f t="shared" si="1"/>
        <v>0</v>
      </c>
      <c r="H19" s="3">
        <f t="shared" si="2"/>
        <v>0.61080999999999996</v>
      </c>
      <c r="I19" s="6"/>
      <c r="J19" s="6"/>
      <c r="K19" s="92"/>
      <c r="L19" s="27">
        <v>2</v>
      </c>
      <c r="M19" s="11">
        <v>1.7912999999999999</v>
      </c>
      <c r="N19" s="4">
        <v>2436.36</v>
      </c>
      <c r="O19" s="4">
        <f t="shared" si="3"/>
        <v>645.06000000000017</v>
      </c>
      <c r="P19" s="9">
        <v>1029.4000000000001</v>
      </c>
      <c r="Q19" s="10">
        <f t="shared" ref="Q19:Q33" si="9">O19/$P19*100</f>
        <v>62.663687585000986</v>
      </c>
      <c r="R19" s="4">
        <v>720.58</v>
      </c>
      <c r="S19" s="18">
        <f t="shared" ref="S19:S33" si="10">R19-O19</f>
        <v>75.519999999999868</v>
      </c>
      <c r="U19" s="86"/>
      <c r="V19" s="8">
        <v>2</v>
      </c>
      <c r="W19" s="11">
        <v>1.7912999999999999</v>
      </c>
      <c r="X19" s="4">
        <v>2489.88</v>
      </c>
      <c r="Y19" s="4">
        <f t="shared" ref="Y19:Y33" si="11">X19-($M19*1000)</f>
        <v>698.58000000000015</v>
      </c>
      <c r="Z19" s="9">
        <v>1029.4000000000001</v>
      </c>
      <c r="AA19" s="10">
        <f t="shared" ref="AA19:AA33" si="12">Y19/$P19*100</f>
        <v>67.862832718088214</v>
      </c>
      <c r="AB19" s="4">
        <v>720.58</v>
      </c>
      <c r="AC19" s="18">
        <f t="shared" ref="AC19:AC33" si="13">AB19-Y19</f>
        <v>21.999999999999886</v>
      </c>
    </row>
    <row r="20" spans="3:29" x14ac:dyDescent="0.35">
      <c r="C20" s="1"/>
      <c r="D20" s="1"/>
      <c r="E20" s="1"/>
      <c r="F20" s="2">
        <f t="shared" si="0"/>
        <v>0.61080999999999996</v>
      </c>
      <c r="G20" s="2">
        <f t="shared" si="1"/>
        <v>0</v>
      </c>
      <c r="H20" s="3">
        <f t="shared" si="2"/>
        <v>0.61080999999999996</v>
      </c>
      <c r="I20" s="6"/>
      <c r="J20" s="6"/>
      <c r="K20" s="92"/>
      <c r="L20" s="27">
        <v>3</v>
      </c>
      <c r="M20" s="11">
        <v>1.5481</v>
      </c>
      <c r="N20" s="4">
        <v>2113.25</v>
      </c>
      <c r="O20" s="4">
        <f t="shared" si="3"/>
        <v>565.14999999999986</v>
      </c>
      <c r="P20" s="9">
        <v>1031.9000000000001</v>
      </c>
      <c r="Q20" s="10">
        <f t="shared" si="9"/>
        <v>54.767903866653725</v>
      </c>
      <c r="R20" s="4">
        <v>722.33</v>
      </c>
      <c r="S20" s="18">
        <f t="shared" si="10"/>
        <v>157.18000000000018</v>
      </c>
      <c r="U20" s="86"/>
      <c r="V20" s="8">
        <v>3</v>
      </c>
      <c r="W20" s="11">
        <v>1.5481</v>
      </c>
      <c r="X20" s="4">
        <v>2229.0500000000002</v>
      </c>
      <c r="Y20" s="4">
        <f t="shared" si="11"/>
        <v>680.95</v>
      </c>
      <c r="Z20" s="9">
        <v>1031.9000000000001</v>
      </c>
      <c r="AA20" s="10">
        <f t="shared" si="12"/>
        <v>65.989921504021709</v>
      </c>
      <c r="AB20" s="4">
        <v>722.33</v>
      </c>
      <c r="AC20" s="18">
        <f t="shared" si="13"/>
        <v>41.379999999999995</v>
      </c>
    </row>
    <row r="21" spans="3:29" x14ac:dyDescent="0.35">
      <c r="C21" s="90" t="s">
        <v>17</v>
      </c>
      <c r="D21" s="90"/>
      <c r="E21" s="90"/>
      <c r="F21" s="90"/>
      <c r="G21" s="90"/>
      <c r="H21" s="90"/>
      <c r="K21" s="92"/>
      <c r="L21" s="27">
        <v>4</v>
      </c>
      <c r="M21" s="11">
        <v>1.5491999999999999</v>
      </c>
      <c r="N21" s="4">
        <v>2171.66</v>
      </c>
      <c r="O21" s="4">
        <f t="shared" si="3"/>
        <v>622.46</v>
      </c>
      <c r="P21" s="9">
        <v>1060.1000000000004</v>
      </c>
      <c r="Q21" s="10">
        <f t="shared" si="9"/>
        <v>58.717102160173553</v>
      </c>
      <c r="R21" s="4">
        <v>742.07000000000028</v>
      </c>
      <c r="S21" s="18">
        <f t="shared" si="10"/>
        <v>119.61000000000024</v>
      </c>
      <c r="U21" s="86"/>
      <c r="V21" s="8">
        <v>4</v>
      </c>
      <c r="W21" s="11">
        <v>1.5491999999999999</v>
      </c>
      <c r="X21" s="4">
        <v>2244.5300000000002</v>
      </c>
      <c r="Y21" s="4">
        <f t="shared" si="11"/>
        <v>695.33000000000038</v>
      </c>
      <c r="Z21" s="9">
        <v>1060.1000000000004</v>
      </c>
      <c r="AA21" s="10">
        <f t="shared" si="12"/>
        <v>65.590981982831821</v>
      </c>
      <c r="AB21" s="4">
        <v>742.07000000000028</v>
      </c>
      <c r="AC21" s="18">
        <f t="shared" si="13"/>
        <v>46.739999999999895</v>
      </c>
    </row>
    <row r="22" spans="3:29" x14ac:dyDescent="0.35">
      <c r="K22" s="92"/>
      <c r="L22" s="27">
        <v>5</v>
      </c>
      <c r="M22" s="11">
        <v>1.7896000000000001</v>
      </c>
      <c r="N22" s="4">
        <v>2452.5300000000002</v>
      </c>
      <c r="O22" s="4">
        <f t="shared" si="3"/>
        <v>662.93000000000006</v>
      </c>
      <c r="P22" s="9">
        <v>1079.1999999999998</v>
      </c>
      <c r="Q22" s="10">
        <f t="shared" si="9"/>
        <v>61.427909562639002</v>
      </c>
      <c r="R22" s="4">
        <v>755.43999999999983</v>
      </c>
      <c r="S22" s="18">
        <f t="shared" si="10"/>
        <v>92.509999999999764</v>
      </c>
      <c r="U22" s="86"/>
      <c r="V22" s="8">
        <v>5</v>
      </c>
      <c r="W22" s="11">
        <v>1.7896000000000001</v>
      </c>
      <c r="X22" s="4">
        <v>2519.8200000000002</v>
      </c>
      <c r="Y22" s="4">
        <f t="shared" si="11"/>
        <v>730.22</v>
      </c>
      <c r="Z22" s="9">
        <v>1079.1999999999998</v>
      </c>
      <c r="AA22" s="10">
        <f t="shared" si="12"/>
        <v>67.663083765752418</v>
      </c>
      <c r="AB22" s="4">
        <v>755.43999999999983</v>
      </c>
      <c r="AC22" s="18">
        <f t="shared" si="13"/>
        <v>25.2199999999998</v>
      </c>
    </row>
    <row r="23" spans="3:29" ht="15.5" x14ac:dyDescent="0.35">
      <c r="C23" s="93" t="s">
        <v>12</v>
      </c>
      <c r="D23" s="93"/>
      <c r="E23" s="93"/>
      <c r="F23" s="93"/>
      <c r="G23" s="93"/>
      <c r="H23" s="93"/>
      <c r="K23" s="92"/>
      <c r="L23" s="27">
        <v>6</v>
      </c>
      <c r="M23" s="11">
        <v>1.8140000000000001</v>
      </c>
      <c r="N23" s="4">
        <v>2457.56</v>
      </c>
      <c r="O23" s="4">
        <f t="shared" si="3"/>
        <v>643.55999999999995</v>
      </c>
      <c r="P23" s="9">
        <v>1036.2999999999997</v>
      </c>
      <c r="Q23" s="10">
        <f t="shared" si="9"/>
        <v>62.101707999614021</v>
      </c>
      <c r="R23" s="4">
        <v>725.40999999999985</v>
      </c>
      <c r="S23" s="18">
        <f t="shared" si="10"/>
        <v>81.849999999999909</v>
      </c>
      <c r="U23" s="86"/>
      <c r="V23" s="8">
        <v>6</v>
      </c>
      <c r="W23" s="11">
        <v>1.8140000000000001</v>
      </c>
      <c r="X23" s="4">
        <v>2482.17</v>
      </c>
      <c r="Y23" s="4">
        <f t="shared" si="11"/>
        <v>668.17000000000007</v>
      </c>
      <c r="Z23" s="9">
        <v>1036.2999999999997</v>
      </c>
      <c r="AA23" s="10">
        <f t="shared" si="12"/>
        <v>64.476502943163212</v>
      </c>
      <c r="AB23" s="4">
        <v>725.40999999999985</v>
      </c>
      <c r="AC23" s="18">
        <f t="shared" si="13"/>
        <v>57.239999999999782</v>
      </c>
    </row>
    <row r="24" spans="3:29" x14ac:dyDescent="0.35">
      <c r="K24" s="92"/>
      <c r="L24" s="27">
        <v>7</v>
      </c>
      <c r="M24" s="11">
        <v>1.6156999999999999</v>
      </c>
      <c r="N24" s="4">
        <v>0</v>
      </c>
      <c r="O24" s="4">
        <f t="shared" si="3"/>
        <v>-1615.6999999999998</v>
      </c>
      <c r="P24" s="9">
        <v>972.79999999999984</v>
      </c>
      <c r="Q24" s="10">
        <f t="shared" si="9"/>
        <v>-166.08758223684214</v>
      </c>
      <c r="R24" s="4">
        <v>680.95999999999981</v>
      </c>
      <c r="S24" s="18">
        <f t="shared" si="10"/>
        <v>2296.66</v>
      </c>
      <c r="U24" s="86"/>
      <c r="V24" s="8">
        <v>7</v>
      </c>
      <c r="W24" s="11">
        <v>1.6156999999999999</v>
      </c>
      <c r="X24" s="4">
        <v>0</v>
      </c>
      <c r="Y24" s="4">
        <f t="shared" si="11"/>
        <v>-1615.6999999999998</v>
      </c>
      <c r="Z24" s="9">
        <v>972.79999999999984</v>
      </c>
      <c r="AA24" s="10">
        <f t="shared" si="12"/>
        <v>-166.08758223684214</v>
      </c>
      <c r="AB24" s="4">
        <v>680.95999999999981</v>
      </c>
      <c r="AC24" s="18">
        <f t="shared" si="13"/>
        <v>2296.66</v>
      </c>
    </row>
    <row r="25" spans="3:29" x14ac:dyDescent="0.35">
      <c r="K25" s="92"/>
      <c r="L25" s="29">
        <v>8</v>
      </c>
      <c r="M25" s="11">
        <v>1.6026</v>
      </c>
      <c r="N25" s="4">
        <v>2473.38</v>
      </c>
      <c r="O25" s="4">
        <f t="shared" si="3"/>
        <v>870.78</v>
      </c>
      <c r="P25" s="9">
        <v>1080.7999999999997</v>
      </c>
      <c r="Q25" s="10">
        <f t="shared" si="9"/>
        <v>80.568097705403417</v>
      </c>
      <c r="R25" s="4">
        <v>756.55999999999983</v>
      </c>
      <c r="S25" s="18">
        <f t="shared" si="10"/>
        <v>-114.22000000000014</v>
      </c>
      <c r="U25" s="86"/>
      <c r="V25" s="8">
        <v>8</v>
      </c>
      <c r="W25" s="11">
        <v>1.6026</v>
      </c>
      <c r="X25" s="4">
        <v>2307.0500000000002</v>
      </c>
      <c r="Y25" s="4">
        <f t="shared" si="11"/>
        <v>704.45</v>
      </c>
      <c r="Z25" s="9">
        <v>1080.7999999999997</v>
      </c>
      <c r="AA25" s="10">
        <f t="shared" si="12"/>
        <v>65.178571428571459</v>
      </c>
      <c r="AB25" s="4">
        <v>756.55999999999983</v>
      </c>
      <c r="AC25" s="18">
        <f t="shared" si="13"/>
        <v>52.109999999999786</v>
      </c>
    </row>
    <row r="26" spans="3:29" x14ac:dyDescent="0.35">
      <c r="C26" s="88" t="s">
        <v>16</v>
      </c>
      <c r="D26" s="89"/>
      <c r="E26" s="89"/>
      <c r="F26" s="89"/>
      <c r="G26" s="89"/>
      <c r="H26" s="89"/>
      <c r="K26" s="92"/>
      <c r="L26" s="27">
        <v>9</v>
      </c>
      <c r="M26" s="11">
        <v>1.5497000000000001</v>
      </c>
      <c r="N26" s="4">
        <v>2221.92</v>
      </c>
      <c r="O26" s="4">
        <f t="shared" si="3"/>
        <v>672.22</v>
      </c>
      <c r="P26" s="9">
        <v>1069.3000000000002</v>
      </c>
      <c r="Q26" s="10">
        <f t="shared" si="9"/>
        <v>62.865425979612823</v>
      </c>
      <c r="R26" s="4">
        <v>748.5100000000001</v>
      </c>
      <c r="S26" s="18">
        <f t="shared" si="10"/>
        <v>76.290000000000077</v>
      </c>
      <c r="U26" s="86"/>
      <c r="V26" s="8">
        <v>9</v>
      </c>
      <c r="W26" s="11">
        <v>1.5497000000000001</v>
      </c>
      <c r="X26" s="4">
        <v>2267.7800000000002</v>
      </c>
      <c r="Y26" s="4">
        <f t="shared" si="11"/>
        <v>718.08000000000015</v>
      </c>
      <c r="Z26" s="9">
        <v>1069.3000000000002</v>
      </c>
      <c r="AA26" s="10">
        <f t="shared" si="12"/>
        <v>67.154213036565977</v>
      </c>
      <c r="AB26" s="4">
        <v>748.5100000000001</v>
      </c>
      <c r="AC26" s="18">
        <f t="shared" si="13"/>
        <v>30.42999999999995</v>
      </c>
    </row>
    <row r="27" spans="3:29" x14ac:dyDescent="0.35">
      <c r="C27" s="39" t="s">
        <v>0</v>
      </c>
      <c r="D27" s="39" t="s">
        <v>1</v>
      </c>
      <c r="E27" s="39" t="s">
        <v>2</v>
      </c>
      <c r="F27" s="39" t="s">
        <v>4</v>
      </c>
      <c r="G27" s="39" t="s">
        <v>5</v>
      </c>
      <c r="H27" s="39" t="s">
        <v>3</v>
      </c>
      <c r="K27" s="92"/>
      <c r="L27" s="27">
        <v>10</v>
      </c>
      <c r="M27" s="11">
        <v>1.6895000000000002</v>
      </c>
      <c r="N27" s="4">
        <v>2275.89</v>
      </c>
      <c r="O27" s="4">
        <f t="shared" si="3"/>
        <v>586.38999999999965</v>
      </c>
      <c r="P27" s="9">
        <v>938.49999999999989</v>
      </c>
      <c r="Q27" s="10">
        <f t="shared" si="9"/>
        <v>62.481619605753835</v>
      </c>
      <c r="R27" s="4">
        <v>656.94999999999982</v>
      </c>
      <c r="S27" s="18">
        <f t="shared" si="10"/>
        <v>70.560000000000173</v>
      </c>
      <c r="U27" s="86"/>
      <c r="V27" s="8">
        <v>10</v>
      </c>
      <c r="W27" s="11">
        <v>1.6895000000000002</v>
      </c>
      <c r="X27" s="4">
        <v>2323.21</v>
      </c>
      <c r="Y27" s="4">
        <f t="shared" si="11"/>
        <v>633.70999999999981</v>
      </c>
      <c r="Z27" s="9">
        <v>938.49999999999989</v>
      </c>
      <c r="AA27" s="10">
        <f t="shared" si="12"/>
        <v>67.523708044752254</v>
      </c>
      <c r="AB27" s="4">
        <v>656.94999999999982</v>
      </c>
      <c r="AC27" s="18">
        <f t="shared" si="13"/>
        <v>23.240000000000009</v>
      </c>
    </row>
    <row r="28" spans="3:29" x14ac:dyDescent="0.35">
      <c r="C28" s="43">
        <v>0.40625</v>
      </c>
      <c r="D28" s="44">
        <v>78</v>
      </c>
      <c r="E28" s="44">
        <v>32.200000000000003</v>
      </c>
      <c r="F28" s="45">
        <f>0.61081*EXP((17.27*E28)/(237.3+E28))</f>
        <v>4.8088560944274183</v>
      </c>
      <c r="G28" s="45">
        <f>D28*F28/100</f>
        <v>3.7509077536533861</v>
      </c>
      <c r="H28" s="45">
        <f>F28-G28</f>
        <v>1.0579483407740322</v>
      </c>
      <c r="K28" s="92"/>
      <c r="L28" s="27">
        <v>11</v>
      </c>
      <c r="M28" s="11">
        <v>1.5619000000000001</v>
      </c>
      <c r="N28" s="4">
        <v>2234.81</v>
      </c>
      <c r="O28" s="4">
        <f t="shared" si="3"/>
        <v>672.90999999999985</v>
      </c>
      <c r="P28" s="9">
        <v>1079.8000000000002</v>
      </c>
      <c r="Q28" s="10">
        <f t="shared" si="9"/>
        <v>62.318021855899218</v>
      </c>
      <c r="R28" s="4">
        <v>755.86000000000013</v>
      </c>
      <c r="S28" s="18">
        <f t="shared" si="10"/>
        <v>82.950000000000273</v>
      </c>
      <c r="U28" s="86"/>
      <c r="V28" s="8">
        <v>11</v>
      </c>
      <c r="W28" s="11">
        <v>1.5619000000000001</v>
      </c>
      <c r="X28" s="4">
        <v>2291.1799999999998</v>
      </c>
      <c r="Y28" s="4">
        <f t="shared" si="11"/>
        <v>729.27999999999975</v>
      </c>
      <c r="Z28" s="9">
        <v>1079.8000000000002</v>
      </c>
      <c r="AA28" s="10">
        <f t="shared" si="12"/>
        <v>67.538433043156104</v>
      </c>
      <c r="AB28" s="4">
        <v>755.86000000000013</v>
      </c>
      <c r="AC28" s="18">
        <f t="shared" si="13"/>
        <v>26.580000000000382</v>
      </c>
    </row>
    <row r="29" spans="3:29" x14ac:dyDescent="0.35">
      <c r="C29" s="43">
        <v>0.41180555555555554</v>
      </c>
      <c r="D29" s="44">
        <v>78</v>
      </c>
      <c r="E29" s="44">
        <v>31.9</v>
      </c>
      <c r="F29" s="45">
        <f t="shared" ref="F29:F46" si="14">0.61081*EXP((17.27*E29)/(237.3+E29))</f>
        <v>4.7280499066035517</v>
      </c>
      <c r="G29" s="45">
        <f t="shared" ref="G29:G46" si="15">D29*F29/100</f>
        <v>3.6878789271507704</v>
      </c>
      <c r="H29" s="45">
        <f t="shared" ref="H29:H46" si="16">F29-G29</f>
        <v>1.0401709794527814</v>
      </c>
      <c r="K29" s="92"/>
      <c r="L29" s="27">
        <v>12</v>
      </c>
      <c r="M29" s="11">
        <v>1.5084</v>
      </c>
      <c r="N29" s="4">
        <v>2119.9</v>
      </c>
      <c r="O29" s="4">
        <f t="shared" si="3"/>
        <v>611.50000000000023</v>
      </c>
      <c r="P29" s="9">
        <v>929.9</v>
      </c>
      <c r="Q29" s="10">
        <f t="shared" si="9"/>
        <v>65.759759113883248</v>
      </c>
      <c r="R29" s="4">
        <v>650.92999999999995</v>
      </c>
      <c r="S29" s="18">
        <f t="shared" si="10"/>
        <v>39.429999999999723</v>
      </c>
      <c r="U29" s="86"/>
      <c r="V29" s="8">
        <v>12</v>
      </c>
      <c r="W29" s="11">
        <v>1.5084</v>
      </c>
      <c r="X29" s="4">
        <v>2146.41</v>
      </c>
      <c r="Y29" s="4">
        <f t="shared" si="11"/>
        <v>638.01</v>
      </c>
      <c r="Z29" s="9">
        <v>929.9</v>
      </c>
      <c r="AA29" s="10">
        <f t="shared" si="12"/>
        <v>68.610603290676423</v>
      </c>
      <c r="AB29" s="4">
        <v>650.92999999999995</v>
      </c>
      <c r="AC29" s="18">
        <f t="shared" si="13"/>
        <v>12.919999999999959</v>
      </c>
    </row>
    <row r="30" spans="3:29" x14ac:dyDescent="0.35">
      <c r="C30" s="43">
        <v>0.41875000000000001</v>
      </c>
      <c r="D30" s="44">
        <v>79</v>
      </c>
      <c r="E30" s="44">
        <v>31.8</v>
      </c>
      <c r="F30" s="45">
        <f t="shared" si="14"/>
        <v>4.7013779111236333</v>
      </c>
      <c r="G30" s="45">
        <f t="shared" si="15"/>
        <v>3.7140885497876699</v>
      </c>
      <c r="H30" s="45">
        <f t="shared" si="16"/>
        <v>0.98728936133596346</v>
      </c>
      <c r="K30" s="92"/>
      <c r="L30" s="27">
        <v>13</v>
      </c>
      <c r="M30" s="11">
        <v>1.587</v>
      </c>
      <c r="N30" s="4">
        <v>2241.87</v>
      </c>
      <c r="O30" s="4">
        <f t="shared" si="3"/>
        <v>654.86999999999989</v>
      </c>
      <c r="P30" s="9">
        <v>1024.5</v>
      </c>
      <c r="Q30" s="10">
        <f t="shared" si="9"/>
        <v>63.920937042459727</v>
      </c>
      <c r="R30" s="4">
        <v>717.15</v>
      </c>
      <c r="S30" s="18">
        <f t="shared" si="10"/>
        <v>62.280000000000086</v>
      </c>
      <c r="U30" s="86"/>
      <c r="V30" s="8">
        <v>13</v>
      </c>
      <c r="W30" s="11">
        <v>1.587</v>
      </c>
      <c r="X30" s="4">
        <v>2281.35</v>
      </c>
      <c r="Y30" s="4">
        <f t="shared" si="11"/>
        <v>694.34999999999991</v>
      </c>
      <c r="Z30" s="9">
        <v>1024.5</v>
      </c>
      <c r="AA30" s="10">
        <f t="shared" si="12"/>
        <v>67.774524158125899</v>
      </c>
      <c r="AB30" s="4">
        <v>717.15</v>
      </c>
      <c r="AC30" s="18">
        <f t="shared" si="13"/>
        <v>22.800000000000068</v>
      </c>
    </row>
    <row r="31" spans="3:29" x14ac:dyDescent="0.35">
      <c r="C31" s="43">
        <v>0.42708333333333331</v>
      </c>
      <c r="D31" s="44">
        <v>79</v>
      </c>
      <c r="E31" s="44">
        <v>31.9</v>
      </c>
      <c r="F31" s="45">
        <f t="shared" si="14"/>
        <v>4.7280499066035517</v>
      </c>
      <c r="G31" s="45">
        <f t="shared" si="15"/>
        <v>3.7351594262168062</v>
      </c>
      <c r="H31" s="45">
        <f t="shared" si="16"/>
        <v>0.99289048038674554</v>
      </c>
      <c r="K31" s="92"/>
      <c r="L31" s="27">
        <v>14</v>
      </c>
      <c r="M31" s="11">
        <v>1.7172000000000001</v>
      </c>
      <c r="N31" s="4">
        <v>2335.6</v>
      </c>
      <c r="O31" s="4">
        <f t="shared" si="3"/>
        <v>618.39999999999986</v>
      </c>
      <c r="P31" s="9">
        <v>992.59999999999991</v>
      </c>
      <c r="Q31" s="10">
        <f t="shared" si="9"/>
        <v>62.301027604271596</v>
      </c>
      <c r="R31" s="4">
        <v>694.82</v>
      </c>
      <c r="S31" s="18">
        <f t="shared" si="10"/>
        <v>76.420000000000186</v>
      </c>
      <c r="U31" s="86"/>
      <c r="V31" s="8">
        <v>14</v>
      </c>
      <c r="W31" s="11">
        <v>1.7172000000000001</v>
      </c>
      <c r="X31" s="4">
        <v>2385.7600000000002</v>
      </c>
      <c r="Y31" s="4">
        <f t="shared" si="11"/>
        <v>668.56000000000017</v>
      </c>
      <c r="Z31" s="9">
        <v>992.59999999999991</v>
      </c>
      <c r="AA31" s="10">
        <f t="shared" si="12"/>
        <v>67.354422728188624</v>
      </c>
      <c r="AB31" s="4">
        <v>694.82</v>
      </c>
      <c r="AC31" s="18">
        <f t="shared" si="13"/>
        <v>26.259999999999877</v>
      </c>
    </row>
    <row r="32" spans="3:29" x14ac:dyDescent="0.35">
      <c r="C32" s="40">
        <v>0.44861111111111113</v>
      </c>
      <c r="D32" s="41">
        <v>71</v>
      </c>
      <c r="E32" s="41">
        <v>32.200000000000003</v>
      </c>
      <c r="F32" s="37">
        <f t="shared" si="14"/>
        <v>4.8088560944274183</v>
      </c>
      <c r="G32" s="37">
        <f t="shared" si="15"/>
        <v>3.4142878270434669</v>
      </c>
      <c r="H32" s="37">
        <f t="shared" si="16"/>
        <v>1.3945682673839515</v>
      </c>
      <c r="K32" s="92"/>
      <c r="L32" s="27">
        <v>15</v>
      </c>
      <c r="M32" s="11">
        <v>1.5403</v>
      </c>
      <c r="N32" s="4">
        <v>2088.36</v>
      </c>
      <c r="O32" s="4">
        <f t="shared" si="3"/>
        <v>548.06000000000017</v>
      </c>
      <c r="P32" s="9">
        <v>929.9000000000002</v>
      </c>
      <c r="Q32" s="10">
        <f t="shared" si="9"/>
        <v>58.937520163458444</v>
      </c>
      <c r="R32" s="4">
        <v>650.93000000000018</v>
      </c>
      <c r="S32" s="18">
        <f t="shared" si="10"/>
        <v>102.87</v>
      </c>
      <c r="U32" s="86"/>
      <c r="V32" s="8">
        <v>15</v>
      </c>
      <c r="W32" s="11">
        <v>1.5403</v>
      </c>
      <c r="X32" s="4">
        <v>2161.73</v>
      </c>
      <c r="Y32" s="4">
        <f t="shared" si="11"/>
        <v>621.43000000000006</v>
      </c>
      <c r="Z32" s="9">
        <v>929.9000000000002</v>
      </c>
      <c r="AA32" s="10">
        <f t="shared" si="12"/>
        <v>66.827615872674471</v>
      </c>
      <c r="AB32" s="4">
        <v>650.93000000000018</v>
      </c>
      <c r="AC32" s="18">
        <f t="shared" si="13"/>
        <v>29.500000000000114</v>
      </c>
    </row>
    <row r="33" spans="3:29" x14ac:dyDescent="0.35">
      <c r="C33" s="40">
        <v>0.45277777777777778</v>
      </c>
      <c r="D33" s="41">
        <v>70</v>
      </c>
      <c r="E33" s="41">
        <v>31.7</v>
      </c>
      <c r="F33" s="37">
        <f t="shared" si="14"/>
        <v>4.6748367155366184</v>
      </c>
      <c r="G33" s="37">
        <f t="shared" si="15"/>
        <v>3.272385700875633</v>
      </c>
      <c r="H33" s="37">
        <f t="shared" si="16"/>
        <v>1.4024510146609854</v>
      </c>
      <c r="K33" s="92"/>
      <c r="L33" s="28">
        <v>16</v>
      </c>
      <c r="M33" s="19">
        <v>1.5101</v>
      </c>
      <c r="N33" s="20">
        <v>2124.02</v>
      </c>
      <c r="O33" s="20">
        <f t="shared" si="3"/>
        <v>613.92000000000007</v>
      </c>
      <c r="P33" s="21">
        <v>953.19999999999982</v>
      </c>
      <c r="Q33" s="22">
        <f t="shared" si="9"/>
        <v>64.406210658833416</v>
      </c>
      <c r="R33" s="20">
        <v>667.2399999999999</v>
      </c>
      <c r="S33" s="23">
        <f t="shared" si="10"/>
        <v>53.319999999999823</v>
      </c>
      <c r="U33" s="87"/>
      <c r="V33" s="28">
        <v>16</v>
      </c>
      <c r="W33" s="19">
        <v>1.5101</v>
      </c>
      <c r="X33" s="20">
        <v>2169.38</v>
      </c>
      <c r="Y33" s="20">
        <f t="shared" si="11"/>
        <v>659.2800000000002</v>
      </c>
      <c r="Z33" s="21">
        <v>953.19999999999982</v>
      </c>
      <c r="AA33" s="22">
        <f t="shared" si="12"/>
        <v>69.164918170373511</v>
      </c>
      <c r="AB33" s="20">
        <v>667.2399999999999</v>
      </c>
      <c r="AC33" s="23">
        <f t="shared" si="13"/>
        <v>7.9599999999996953</v>
      </c>
    </row>
    <row r="34" spans="3:29" x14ac:dyDescent="0.35">
      <c r="C34" s="40">
        <v>0.46527777777777779</v>
      </c>
      <c r="D34" s="41">
        <v>69</v>
      </c>
      <c r="E34" s="41">
        <v>32</v>
      </c>
      <c r="F34" s="37">
        <f t="shared" si="14"/>
        <v>4.7548532413075932</v>
      </c>
      <c r="G34" s="37">
        <f t="shared" si="15"/>
        <v>3.2808487365022394</v>
      </c>
      <c r="H34" s="37">
        <f t="shared" si="16"/>
        <v>1.4740045048053538</v>
      </c>
      <c r="K34" s="91">
        <v>0.45416666666666666</v>
      </c>
      <c r="L34" s="26">
        <v>1</v>
      </c>
      <c r="M34" s="13">
        <v>1.61</v>
      </c>
      <c r="N34" s="14">
        <v>2219.1</v>
      </c>
      <c r="O34" s="14">
        <f>N34-($M34*1000)</f>
        <v>609.09999999999991</v>
      </c>
      <c r="P34" s="15">
        <v>987.5</v>
      </c>
      <c r="Q34" s="16">
        <f>O34/$P34*100</f>
        <v>61.681012658227843</v>
      </c>
      <c r="R34" s="14">
        <v>691.25</v>
      </c>
      <c r="S34" s="17">
        <f>R34-O34</f>
        <v>82.150000000000091</v>
      </c>
      <c r="U34" s="86">
        <v>0.52361111111111114</v>
      </c>
      <c r="V34" s="8">
        <v>1</v>
      </c>
      <c r="W34" s="32">
        <v>1.61</v>
      </c>
      <c r="X34" s="4">
        <v>2266.6799999999998</v>
      </c>
      <c r="Y34" s="4">
        <f>X34-($M34*1000)</f>
        <v>656.67999999999984</v>
      </c>
      <c r="Z34" s="9">
        <v>987.5</v>
      </c>
      <c r="AA34" s="10">
        <f>Y34/$P34*100</f>
        <v>66.499240506329087</v>
      </c>
      <c r="AB34" s="4">
        <v>691.25</v>
      </c>
      <c r="AC34" s="18">
        <f>AB34-Y34</f>
        <v>34.570000000000164</v>
      </c>
    </row>
    <row r="35" spans="3:29" x14ac:dyDescent="0.35">
      <c r="C35" s="40">
        <v>0.48402777777777778</v>
      </c>
      <c r="D35" s="41">
        <v>61</v>
      </c>
      <c r="E35" s="41">
        <v>32.1</v>
      </c>
      <c r="F35" s="37">
        <f t="shared" si="14"/>
        <v>4.7817884563091235</v>
      </c>
      <c r="G35" s="37">
        <f t="shared" si="15"/>
        <v>2.9168909583485654</v>
      </c>
      <c r="H35" s="37">
        <f t="shared" si="16"/>
        <v>1.8648974979605581</v>
      </c>
      <c r="K35" s="92"/>
      <c r="L35" s="27">
        <v>2</v>
      </c>
      <c r="M35" s="11">
        <v>1.7912999999999999</v>
      </c>
      <c r="N35" s="4">
        <v>2422.5</v>
      </c>
      <c r="O35" s="4">
        <f t="shared" ref="O35:O49" si="17">N35-($M35*1000)</f>
        <v>631.20000000000005</v>
      </c>
      <c r="P35" s="9">
        <v>1029.4000000000001</v>
      </c>
      <c r="Q35" s="10">
        <f t="shared" ref="Q35:Q49" si="18">O35/$P35*100</f>
        <v>61.317272197396541</v>
      </c>
      <c r="R35" s="4">
        <v>720.58</v>
      </c>
      <c r="S35" s="18">
        <f t="shared" ref="S35:S49" si="19">R35-O35</f>
        <v>89.38</v>
      </c>
      <c r="U35" s="86"/>
      <c r="V35" s="8">
        <v>2</v>
      </c>
      <c r="W35" s="11">
        <v>1.7912999999999999</v>
      </c>
      <c r="X35" s="4">
        <v>2467.9899999999998</v>
      </c>
      <c r="Y35" s="4">
        <f t="shared" ref="Y35:Y49" si="20">X35-($M35*1000)</f>
        <v>676.68999999999983</v>
      </c>
      <c r="Z35" s="9">
        <v>1029.4000000000001</v>
      </c>
      <c r="AA35" s="10">
        <f t="shared" ref="AA35:AA49" si="21">Y35/$P35*100</f>
        <v>65.736351272585949</v>
      </c>
      <c r="AB35" s="4">
        <v>720.58</v>
      </c>
      <c r="AC35" s="18">
        <f t="shared" ref="AC35:AC49" si="22">AB35-Y35</f>
        <v>43.890000000000214</v>
      </c>
    </row>
    <row r="36" spans="3:29" x14ac:dyDescent="0.35">
      <c r="C36" s="46">
        <v>0.49305555555555558</v>
      </c>
      <c r="D36" s="47">
        <v>58</v>
      </c>
      <c r="E36" s="47">
        <v>31.9</v>
      </c>
      <c r="F36" s="30">
        <f t="shared" si="14"/>
        <v>4.7280499066035517</v>
      </c>
      <c r="G36" s="30">
        <f t="shared" si="15"/>
        <v>2.7422689458300602</v>
      </c>
      <c r="H36" s="30">
        <f t="shared" si="16"/>
        <v>1.9857809607734915</v>
      </c>
      <c r="K36" s="92"/>
      <c r="L36" s="27">
        <v>3</v>
      </c>
      <c r="M36" s="11">
        <v>1.5481</v>
      </c>
      <c r="N36" s="4">
        <v>2097.19</v>
      </c>
      <c r="O36" s="4">
        <f t="shared" si="17"/>
        <v>549.08999999999992</v>
      </c>
      <c r="P36" s="9">
        <v>1031.9000000000001</v>
      </c>
      <c r="Q36" s="10">
        <f t="shared" si="18"/>
        <v>53.211551506928956</v>
      </c>
      <c r="R36" s="4">
        <v>722.33</v>
      </c>
      <c r="S36" s="18">
        <f t="shared" si="19"/>
        <v>173.24000000000012</v>
      </c>
      <c r="U36" s="86"/>
      <c r="V36" s="8">
        <v>3</v>
      </c>
      <c r="W36" s="11">
        <v>1.5481</v>
      </c>
      <c r="X36" s="4">
        <v>2195.6799999999998</v>
      </c>
      <c r="Y36" s="4">
        <f t="shared" si="20"/>
        <v>647.5799999999997</v>
      </c>
      <c r="Z36" s="9">
        <v>1031.9000000000001</v>
      </c>
      <c r="AA36" s="10">
        <f t="shared" si="21"/>
        <v>62.756081015602248</v>
      </c>
      <c r="AB36" s="4">
        <v>722.33</v>
      </c>
      <c r="AC36" s="18">
        <f t="shared" si="22"/>
        <v>74.750000000000341</v>
      </c>
    </row>
    <row r="37" spans="3:29" x14ac:dyDescent="0.35">
      <c r="C37" s="46">
        <v>0.49861111111111112</v>
      </c>
      <c r="D37" s="47">
        <v>59</v>
      </c>
      <c r="E37" s="47">
        <v>31.6</v>
      </c>
      <c r="F37" s="30">
        <f t="shared" si="14"/>
        <v>4.6484257822496353</v>
      </c>
      <c r="G37" s="30">
        <f t="shared" si="15"/>
        <v>2.7425712115272849</v>
      </c>
      <c r="H37" s="30">
        <f t="shared" si="16"/>
        <v>1.9058545707223504</v>
      </c>
      <c r="K37" s="92"/>
      <c r="L37" s="27">
        <v>4</v>
      </c>
      <c r="M37" s="11">
        <v>1.5491999999999999</v>
      </c>
      <c r="N37" s="4">
        <v>2180.8000000000002</v>
      </c>
      <c r="O37" s="4">
        <f t="shared" si="17"/>
        <v>631.60000000000036</v>
      </c>
      <c r="P37" s="9">
        <v>1060.1000000000004</v>
      </c>
      <c r="Q37" s="10">
        <f t="shared" si="18"/>
        <v>59.579284973115755</v>
      </c>
      <c r="R37" s="4">
        <v>742.07000000000028</v>
      </c>
      <c r="S37" s="18">
        <f t="shared" si="19"/>
        <v>110.46999999999991</v>
      </c>
      <c r="U37" s="86"/>
      <c r="V37" s="8">
        <v>4</v>
      </c>
      <c r="W37" s="11">
        <v>1.5491999999999999</v>
      </c>
      <c r="X37" s="4">
        <v>2213.1799999999998</v>
      </c>
      <c r="Y37" s="4">
        <f t="shared" si="20"/>
        <v>663.98</v>
      </c>
      <c r="Z37" s="9">
        <v>1060.1000000000004</v>
      </c>
      <c r="AA37" s="10">
        <f t="shared" si="21"/>
        <v>62.633713800584836</v>
      </c>
      <c r="AB37" s="4">
        <v>742.07000000000028</v>
      </c>
      <c r="AC37" s="18">
        <f t="shared" si="22"/>
        <v>78.090000000000259</v>
      </c>
    </row>
    <row r="38" spans="3:29" x14ac:dyDescent="0.35">
      <c r="C38" s="46">
        <v>0.50347222222222221</v>
      </c>
      <c r="D38" s="47">
        <v>59</v>
      </c>
      <c r="E38" s="47">
        <v>32</v>
      </c>
      <c r="F38" s="30">
        <f t="shared" si="14"/>
        <v>4.7548532413075932</v>
      </c>
      <c r="G38" s="30">
        <f t="shared" si="15"/>
        <v>2.8053634123714799</v>
      </c>
      <c r="H38" s="30">
        <f t="shared" si="16"/>
        <v>1.9494898289361133</v>
      </c>
      <c r="K38" s="92"/>
      <c r="L38" s="27">
        <v>5</v>
      </c>
      <c r="M38" s="11">
        <v>1.7896000000000001</v>
      </c>
      <c r="N38" s="4">
        <v>2441.56</v>
      </c>
      <c r="O38" s="4">
        <f t="shared" si="17"/>
        <v>651.95999999999981</v>
      </c>
      <c r="P38" s="9">
        <v>1079.1999999999998</v>
      </c>
      <c r="Q38" s="10">
        <f t="shared" si="18"/>
        <v>60.411415863602656</v>
      </c>
      <c r="R38" s="4">
        <v>755.43999999999983</v>
      </c>
      <c r="S38" s="18">
        <f t="shared" si="19"/>
        <v>103.48000000000002</v>
      </c>
      <c r="U38" s="86"/>
      <c r="V38" s="8">
        <v>5</v>
      </c>
      <c r="W38" s="11">
        <v>1.7896000000000001</v>
      </c>
      <c r="X38" s="4">
        <v>2497.3000000000002</v>
      </c>
      <c r="Y38" s="4">
        <f t="shared" si="20"/>
        <v>707.7</v>
      </c>
      <c r="Z38" s="9">
        <v>1079.1999999999998</v>
      </c>
      <c r="AA38" s="10">
        <f t="shared" si="21"/>
        <v>65.576352853965915</v>
      </c>
      <c r="AB38" s="4">
        <v>755.43999999999983</v>
      </c>
      <c r="AC38" s="18">
        <f t="shared" si="22"/>
        <v>47.739999999999782</v>
      </c>
    </row>
    <row r="39" spans="3:29" x14ac:dyDescent="0.35">
      <c r="C39" s="51">
        <v>0.54583333333333328</v>
      </c>
      <c r="D39" s="52">
        <v>50</v>
      </c>
      <c r="E39" s="52">
        <v>32.1</v>
      </c>
      <c r="F39" s="53">
        <f t="shared" si="14"/>
        <v>4.7817884563091235</v>
      </c>
      <c r="G39" s="53">
        <f t="shared" si="15"/>
        <v>2.3908942281545618</v>
      </c>
      <c r="H39" s="53">
        <f t="shared" si="16"/>
        <v>2.3908942281545618</v>
      </c>
      <c r="K39" s="92"/>
      <c r="L39" s="27">
        <v>6</v>
      </c>
      <c r="M39" s="11">
        <v>1.8140000000000001</v>
      </c>
      <c r="N39" s="4">
        <v>2445.2600000000002</v>
      </c>
      <c r="O39" s="4">
        <f t="shared" si="17"/>
        <v>631.26000000000022</v>
      </c>
      <c r="P39" s="9">
        <v>1036.2999999999997</v>
      </c>
      <c r="Q39" s="10">
        <f t="shared" si="18"/>
        <v>60.914793013606136</v>
      </c>
      <c r="R39" s="4">
        <v>725.40999999999985</v>
      </c>
      <c r="S39" s="18">
        <f t="shared" si="19"/>
        <v>94.149999999999636</v>
      </c>
      <c r="U39" s="86"/>
      <c r="V39" s="8">
        <v>6</v>
      </c>
      <c r="W39" s="11">
        <v>1.8140000000000001</v>
      </c>
      <c r="X39" s="4">
        <v>2449.41</v>
      </c>
      <c r="Y39" s="4">
        <f t="shared" si="20"/>
        <v>635.40999999999985</v>
      </c>
      <c r="Z39" s="9">
        <v>1036.2999999999997</v>
      </c>
      <c r="AA39" s="10">
        <f t="shared" si="21"/>
        <v>61.315256199942105</v>
      </c>
      <c r="AB39" s="4">
        <v>725.40999999999985</v>
      </c>
      <c r="AC39" s="18">
        <f t="shared" si="22"/>
        <v>90</v>
      </c>
    </row>
    <row r="40" spans="3:29" x14ac:dyDescent="0.35">
      <c r="C40" s="51">
        <v>0.52569444444444446</v>
      </c>
      <c r="D40" s="52">
        <v>50</v>
      </c>
      <c r="E40" s="52">
        <v>32.200000000000003</v>
      </c>
      <c r="F40" s="53">
        <f t="shared" si="14"/>
        <v>4.8088560944274183</v>
      </c>
      <c r="G40" s="53">
        <f t="shared" si="15"/>
        <v>2.4044280472137092</v>
      </c>
      <c r="H40" s="53">
        <f t="shared" si="16"/>
        <v>2.4044280472137092</v>
      </c>
      <c r="K40" s="92"/>
      <c r="L40" s="27">
        <v>7</v>
      </c>
      <c r="M40" s="11">
        <v>1.6156999999999999</v>
      </c>
      <c r="N40" s="4">
        <v>0</v>
      </c>
      <c r="O40" s="4">
        <f t="shared" si="17"/>
        <v>-1615.6999999999998</v>
      </c>
      <c r="P40" s="9">
        <v>972.79999999999984</v>
      </c>
      <c r="Q40" s="10">
        <f t="shared" si="18"/>
        <v>-166.08758223684214</v>
      </c>
      <c r="R40" s="4">
        <v>680.95999999999981</v>
      </c>
      <c r="S40" s="18">
        <f t="shared" si="19"/>
        <v>2296.66</v>
      </c>
      <c r="U40" s="86"/>
      <c r="V40" s="8">
        <v>7</v>
      </c>
      <c r="W40" s="11">
        <v>1.6156999999999999</v>
      </c>
      <c r="X40" s="4">
        <v>0</v>
      </c>
      <c r="Y40" s="4">
        <f t="shared" si="20"/>
        <v>-1615.6999999999998</v>
      </c>
      <c r="Z40" s="9">
        <v>972.79999999999984</v>
      </c>
      <c r="AA40" s="10">
        <f t="shared" si="21"/>
        <v>-166.08758223684214</v>
      </c>
      <c r="AB40" s="4">
        <v>680.95999999999981</v>
      </c>
      <c r="AC40" s="18">
        <f t="shared" si="22"/>
        <v>2296.66</v>
      </c>
    </row>
    <row r="41" spans="3:29" x14ac:dyDescent="0.35">
      <c r="C41" s="51">
        <v>0.50694444444444442</v>
      </c>
      <c r="D41" s="52">
        <v>50</v>
      </c>
      <c r="E41" s="52">
        <v>32</v>
      </c>
      <c r="F41" s="53">
        <f t="shared" si="14"/>
        <v>4.7548532413075932</v>
      </c>
      <c r="G41" s="53">
        <f t="shared" si="15"/>
        <v>2.3774266206537966</v>
      </c>
      <c r="H41" s="53">
        <f t="shared" si="16"/>
        <v>2.3774266206537966</v>
      </c>
      <c r="K41" s="92"/>
      <c r="L41" s="29">
        <v>8</v>
      </c>
      <c r="M41" s="11">
        <v>1.6026</v>
      </c>
      <c r="N41" s="4">
        <v>2450.88</v>
      </c>
      <c r="O41" s="4">
        <f t="shared" si="17"/>
        <v>848.28</v>
      </c>
      <c r="P41" s="9">
        <v>1080.7999999999997</v>
      </c>
      <c r="Q41" s="10">
        <f t="shared" si="18"/>
        <v>78.486306439674337</v>
      </c>
      <c r="R41" s="4">
        <v>756.55999999999983</v>
      </c>
      <c r="S41" s="18">
        <f t="shared" si="19"/>
        <v>-91.720000000000141</v>
      </c>
      <c r="U41" s="86"/>
      <c r="V41" s="8">
        <v>8</v>
      </c>
      <c r="W41" s="11">
        <v>1.6026</v>
      </c>
      <c r="X41" s="4">
        <v>2268.13</v>
      </c>
      <c r="Y41" s="4">
        <f t="shared" si="20"/>
        <v>665.53</v>
      </c>
      <c r="Z41" s="9">
        <v>1080.7999999999997</v>
      </c>
      <c r="AA41" s="10">
        <f t="shared" si="21"/>
        <v>61.577535159141391</v>
      </c>
      <c r="AB41" s="4">
        <v>756.55999999999983</v>
      </c>
      <c r="AC41" s="18">
        <f t="shared" si="22"/>
        <v>91.029999999999859</v>
      </c>
    </row>
    <row r="42" spans="3:29" x14ac:dyDescent="0.35">
      <c r="C42" s="48">
        <v>0.56458333333333333</v>
      </c>
      <c r="D42" s="49">
        <v>36</v>
      </c>
      <c r="E42" s="49">
        <v>32.1</v>
      </c>
      <c r="F42" s="50">
        <f t="shared" si="14"/>
        <v>4.7817884563091235</v>
      </c>
      <c r="G42" s="50">
        <f t="shared" si="15"/>
        <v>1.7214438442712845</v>
      </c>
      <c r="H42" s="50">
        <f t="shared" si="16"/>
        <v>3.0603446120378388</v>
      </c>
      <c r="K42" s="92"/>
      <c r="L42" s="27">
        <v>9</v>
      </c>
      <c r="M42" s="11">
        <v>1.5497000000000001</v>
      </c>
      <c r="N42" s="4">
        <v>2205.79</v>
      </c>
      <c r="O42" s="4">
        <f t="shared" si="17"/>
        <v>656.08999999999992</v>
      </c>
      <c r="P42" s="9">
        <v>1069.3000000000002</v>
      </c>
      <c r="Q42" s="10">
        <f t="shared" si="18"/>
        <v>61.356962498830988</v>
      </c>
      <c r="R42" s="4">
        <v>748.5100000000001</v>
      </c>
      <c r="S42" s="18">
        <f t="shared" si="19"/>
        <v>92.420000000000186</v>
      </c>
      <c r="U42" s="86"/>
      <c r="V42" s="8">
        <v>9</v>
      </c>
      <c r="W42" s="11">
        <v>1.5497000000000001</v>
      </c>
      <c r="X42" s="4">
        <v>2243.4</v>
      </c>
      <c r="Y42" s="4">
        <f t="shared" si="20"/>
        <v>693.7</v>
      </c>
      <c r="Z42" s="9">
        <v>1069.3000000000002</v>
      </c>
      <c r="AA42" s="10">
        <f t="shared" si="21"/>
        <v>64.874216777330957</v>
      </c>
      <c r="AB42" s="4">
        <v>748.5100000000001</v>
      </c>
      <c r="AC42" s="18">
        <f t="shared" si="22"/>
        <v>54.810000000000059</v>
      </c>
    </row>
    <row r="43" spans="3:29" x14ac:dyDescent="0.35">
      <c r="C43" s="48">
        <v>0.56666666666666665</v>
      </c>
      <c r="D43" s="49">
        <v>44</v>
      </c>
      <c r="E43" s="49">
        <v>32</v>
      </c>
      <c r="F43" s="50">
        <f t="shared" si="14"/>
        <v>4.7548532413075932</v>
      </c>
      <c r="G43" s="50">
        <f t="shared" si="15"/>
        <v>2.0921354261753411</v>
      </c>
      <c r="H43" s="50">
        <f t="shared" si="16"/>
        <v>2.6627178151322521</v>
      </c>
      <c r="K43" s="92"/>
      <c r="L43" s="27">
        <v>10</v>
      </c>
      <c r="M43" s="11">
        <v>1.6895000000000002</v>
      </c>
      <c r="N43" s="4">
        <v>2270.0500000000002</v>
      </c>
      <c r="O43" s="4">
        <f t="shared" si="17"/>
        <v>580.54999999999995</v>
      </c>
      <c r="P43" s="9">
        <v>938.49999999999989</v>
      </c>
      <c r="Q43" s="10">
        <f t="shared" si="18"/>
        <v>61.859350026638261</v>
      </c>
      <c r="R43" s="4">
        <v>656.94999999999982</v>
      </c>
      <c r="S43" s="18">
        <f t="shared" si="19"/>
        <v>76.399999999999864</v>
      </c>
      <c r="U43" s="86"/>
      <c r="V43" s="8">
        <v>10</v>
      </c>
      <c r="W43" s="11">
        <v>1.6895000000000002</v>
      </c>
      <c r="X43" s="4">
        <v>2316.86</v>
      </c>
      <c r="Y43" s="4">
        <f t="shared" si="20"/>
        <v>627.3599999999999</v>
      </c>
      <c r="Z43" s="9">
        <v>938.49999999999989</v>
      </c>
      <c r="AA43" s="10">
        <f t="shared" si="21"/>
        <v>66.847096430474167</v>
      </c>
      <c r="AB43" s="4">
        <v>656.94999999999982</v>
      </c>
      <c r="AC43" s="18">
        <f t="shared" si="22"/>
        <v>29.589999999999918</v>
      </c>
    </row>
    <row r="44" spans="3:29" x14ac:dyDescent="0.35">
      <c r="C44" s="48">
        <v>0.57638888888888884</v>
      </c>
      <c r="D44" s="49">
        <v>41</v>
      </c>
      <c r="E44" s="49">
        <v>31.9</v>
      </c>
      <c r="F44" s="50">
        <f t="shared" si="14"/>
        <v>4.7280499066035517</v>
      </c>
      <c r="G44" s="50">
        <f t="shared" si="15"/>
        <v>1.9385004617074564</v>
      </c>
      <c r="H44" s="50">
        <f t="shared" si="16"/>
        <v>2.7895494448960951</v>
      </c>
      <c r="K44" s="92"/>
      <c r="L44" s="27">
        <v>11</v>
      </c>
      <c r="M44" s="11">
        <v>1.5619000000000001</v>
      </c>
      <c r="N44" s="4">
        <v>2220.6799999999998</v>
      </c>
      <c r="O44" s="4">
        <f t="shared" si="17"/>
        <v>658.77999999999975</v>
      </c>
      <c r="P44" s="9">
        <v>1079.8000000000002</v>
      </c>
      <c r="Q44" s="10">
        <f t="shared" si="18"/>
        <v>61.009446193739549</v>
      </c>
      <c r="R44" s="4">
        <v>755.86000000000013</v>
      </c>
      <c r="S44" s="18">
        <f t="shared" si="19"/>
        <v>97.080000000000382</v>
      </c>
      <c r="U44" s="86"/>
      <c r="V44" s="8">
        <v>11</v>
      </c>
      <c r="W44" s="11">
        <v>1.5619000000000001</v>
      </c>
      <c r="X44" s="4">
        <v>2258.7199999999998</v>
      </c>
      <c r="Y44" s="4">
        <f t="shared" si="20"/>
        <v>696.81999999999971</v>
      </c>
      <c r="Z44" s="9">
        <v>1079.8000000000002</v>
      </c>
      <c r="AA44" s="10">
        <f t="shared" si="21"/>
        <v>64.532320800148142</v>
      </c>
      <c r="AB44" s="4">
        <v>755.86000000000013</v>
      </c>
      <c r="AC44" s="18">
        <f t="shared" si="22"/>
        <v>59.040000000000418</v>
      </c>
    </row>
    <row r="45" spans="3:29" x14ac:dyDescent="0.35">
      <c r="C45" s="48">
        <v>0.58333333333333337</v>
      </c>
      <c r="D45" s="49">
        <v>39</v>
      </c>
      <c r="E45" s="49">
        <v>31.7</v>
      </c>
      <c r="F45" s="50">
        <f t="shared" si="14"/>
        <v>4.6748367155366184</v>
      </c>
      <c r="G45" s="50">
        <f t="shared" si="15"/>
        <v>1.8231863190592812</v>
      </c>
      <c r="H45" s="50">
        <f t="shared" si="16"/>
        <v>2.8516503964773374</v>
      </c>
      <c r="K45" s="92"/>
      <c r="L45" s="27">
        <v>12</v>
      </c>
      <c r="M45" s="11">
        <v>1.5084</v>
      </c>
      <c r="N45" s="4">
        <v>2114.23</v>
      </c>
      <c r="O45" s="4">
        <f t="shared" si="17"/>
        <v>605.83000000000015</v>
      </c>
      <c r="P45" s="9">
        <v>929.9</v>
      </c>
      <c r="Q45" s="10">
        <f t="shared" si="18"/>
        <v>65.150016130766758</v>
      </c>
      <c r="R45" s="4">
        <v>650.92999999999995</v>
      </c>
      <c r="S45" s="18">
        <f t="shared" si="19"/>
        <v>45.099999999999795</v>
      </c>
      <c r="U45" s="86"/>
      <c r="V45" s="8">
        <v>12</v>
      </c>
      <c r="W45" s="11">
        <v>1.5084</v>
      </c>
      <c r="X45" s="4">
        <v>2137.63</v>
      </c>
      <c r="Y45" s="4">
        <f t="shared" si="20"/>
        <v>629.23000000000025</v>
      </c>
      <c r="Z45" s="9">
        <v>929.9</v>
      </c>
      <c r="AA45" s="10">
        <f t="shared" si="21"/>
        <v>67.666415743628377</v>
      </c>
      <c r="AB45" s="4">
        <v>650.92999999999995</v>
      </c>
      <c r="AC45" s="18">
        <f t="shared" si="22"/>
        <v>21.699999999999704</v>
      </c>
    </row>
    <row r="46" spans="3:29" x14ac:dyDescent="0.35">
      <c r="C46" s="73">
        <v>0.59861111111111109</v>
      </c>
      <c r="D46" s="72">
        <v>30</v>
      </c>
      <c r="E46" s="72">
        <v>32.1</v>
      </c>
      <c r="F46" s="70">
        <f t="shared" si="14"/>
        <v>4.7817884563091235</v>
      </c>
      <c r="G46" s="70">
        <f t="shared" si="15"/>
        <v>1.434536536892737</v>
      </c>
      <c r="H46" s="70">
        <f t="shared" si="16"/>
        <v>3.3472519194163866</v>
      </c>
      <c r="K46" s="92"/>
      <c r="L46" s="27">
        <v>13</v>
      </c>
      <c r="M46" s="11">
        <v>1.587</v>
      </c>
      <c r="N46" s="4">
        <v>2232.5700000000002</v>
      </c>
      <c r="O46" s="4">
        <f t="shared" si="17"/>
        <v>645.57000000000016</v>
      </c>
      <c r="P46" s="9">
        <v>1024.5</v>
      </c>
      <c r="Q46" s="10">
        <f t="shared" si="18"/>
        <v>63.013177159590064</v>
      </c>
      <c r="R46" s="4">
        <v>717.15</v>
      </c>
      <c r="S46" s="18">
        <f t="shared" si="19"/>
        <v>71.579999999999814</v>
      </c>
      <c r="U46" s="86"/>
      <c r="V46" s="8">
        <v>13</v>
      </c>
      <c r="W46" s="11">
        <v>1.587</v>
      </c>
      <c r="X46" s="4">
        <v>2253.88</v>
      </c>
      <c r="Y46" s="4">
        <f t="shared" si="20"/>
        <v>666.88000000000011</v>
      </c>
      <c r="Z46" s="9">
        <v>1024.5</v>
      </c>
      <c r="AA46" s="10">
        <f t="shared" si="21"/>
        <v>65.093216203025875</v>
      </c>
      <c r="AB46" s="4">
        <v>717.15</v>
      </c>
      <c r="AC46" s="18">
        <f t="shared" si="22"/>
        <v>50.269999999999868</v>
      </c>
    </row>
    <row r="47" spans="3:29" x14ac:dyDescent="0.35">
      <c r="C47" s="73">
        <v>0.60416666666666663</v>
      </c>
      <c r="D47" s="72">
        <v>29</v>
      </c>
      <c r="E47" s="72">
        <v>31.8</v>
      </c>
      <c r="F47" s="70">
        <f t="shared" ref="F47:F48" si="23">0.61081*EXP((17.27*E47)/(237.3+E47))</f>
        <v>4.7013779111236333</v>
      </c>
      <c r="G47" s="70">
        <f t="shared" ref="G47:G48" si="24">D47*F47/100</f>
        <v>1.3633995942258537</v>
      </c>
      <c r="H47" s="70">
        <f t="shared" ref="H47:H48" si="25">F47-G47</f>
        <v>3.3379783168977797</v>
      </c>
      <c r="K47" s="92"/>
      <c r="L47" s="27">
        <v>14</v>
      </c>
      <c r="M47" s="11">
        <v>1.7172000000000001</v>
      </c>
      <c r="N47" s="4">
        <v>2327.7199999999998</v>
      </c>
      <c r="O47" s="4">
        <f t="shared" si="17"/>
        <v>610.51999999999975</v>
      </c>
      <c r="P47" s="9">
        <v>992.59999999999991</v>
      </c>
      <c r="Q47" s="10">
        <f t="shared" si="18"/>
        <v>61.50715293169452</v>
      </c>
      <c r="R47" s="4">
        <v>694.82</v>
      </c>
      <c r="S47" s="18">
        <f t="shared" si="19"/>
        <v>84.300000000000296</v>
      </c>
      <c r="U47" s="86"/>
      <c r="V47" s="8">
        <v>14</v>
      </c>
      <c r="W47" s="11">
        <v>1.7172000000000001</v>
      </c>
      <c r="X47" s="4">
        <v>2370.54</v>
      </c>
      <c r="Y47" s="4">
        <f t="shared" si="20"/>
        <v>653.33999999999992</v>
      </c>
      <c r="Z47" s="9">
        <v>992.59999999999991</v>
      </c>
      <c r="AA47" s="10">
        <f t="shared" si="21"/>
        <v>65.821075962119679</v>
      </c>
      <c r="AB47" s="4">
        <v>694.82</v>
      </c>
      <c r="AC47" s="18">
        <f t="shared" si="22"/>
        <v>41.480000000000132</v>
      </c>
    </row>
    <row r="48" spans="3:29" x14ac:dyDescent="0.35">
      <c r="C48" s="73">
        <v>0.61111111111111116</v>
      </c>
      <c r="D48" s="72">
        <v>28</v>
      </c>
      <c r="E48" s="72">
        <v>32.200000000000003</v>
      </c>
      <c r="F48" s="70">
        <f t="shared" si="23"/>
        <v>4.8088560944274183</v>
      </c>
      <c r="G48" s="70">
        <f t="shared" si="24"/>
        <v>1.3464797064396772</v>
      </c>
      <c r="H48" s="70">
        <f t="shared" si="25"/>
        <v>3.4623763879877414</v>
      </c>
      <c r="K48" s="92"/>
      <c r="L48" s="27">
        <v>15</v>
      </c>
      <c r="M48" s="11">
        <v>1.5403</v>
      </c>
      <c r="N48" s="4">
        <v>2072.3000000000002</v>
      </c>
      <c r="O48" s="4">
        <f t="shared" si="17"/>
        <v>532.00000000000023</v>
      </c>
      <c r="P48" s="9">
        <v>929.9000000000002</v>
      </c>
      <c r="Q48" s="10">
        <f t="shared" si="18"/>
        <v>57.210452736853433</v>
      </c>
      <c r="R48" s="4">
        <v>650.93000000000018</v>
      </c>
      <c r="S48" s="18">
        <f t="shared" si="19"/>
        <v>118.92999999999995</v>
      </c>
      <c r="U48" s="86"/>
      <c r="V48" s="8">
        <v>15</v>
      </c>
      <c r="W48" s="11">
        <v>1.5403</v>
      </c>
      <c r="X48" s="4">
        <v>2134.6999999999998</v>
      </c>
      <c r="Y48" s="4">
        <f t="shared" si="20"/>
        <v>594.39999999999986</v>
      </c>
      <c r="Z48" s="9">
        <v>929.9000000000002</v>
      </c>
      <c r="AA48" s="10">
        <f t="shared" si="21"/>
        <v>63.920851704484328</v>
      </c>
      <c r="AB48" s="4">
        <v>650.93000000000018</v>
      </c>
      <c r="AC48" s="18">
        <f t="shared" si="22"/>
        <v>56.530000000000314</v>
      </c>
    </row>
    <row r="49" spans="3:29" x14ac:dyDescent="0.35">
      <c r="C49" s="73">
        <v>0.61805555555555558</v>
      </c>
      <c r="D49" s="72">
        <v>39</v>
      </c>
      <c r="E49" s="72">
        <v>31.7</v>
      </c>
      <c r="F49" s="70">
        <f t="shared" ref="F49" si="26">0.61081*EXP((17.27*E49)/(237.3+E49))</f>
        <v>4.6748367155366184</v>
      </c>
      <c r="G49" s="70">
        <f t="shared" ref="G49" si="27">D49*F49/100</f>
        <v>1.8231863190592812</v>
      </c>
      <c r="H49" s="70">
        <f t="shared" ref="H49" si="28">F49-G49</f>
        <v>2.8516503964773374</v>
      </c>
      <c r="K49" s="92"/>
      <c r="L49" s="28">
        <v>16</v>
      </c>
      <c r="M49" s="19">
        <v>1.5101</v>
      </c>
      <c r="N49" s="20">
        <v>2114.87</v>
      </c>
      <c r="O49" s="20">
        <f t="shared" si="17"/>
        <v>604.77</v>
      </c>
      <c r="P49" s="21">
        <v>953.19999999999982</v>
      </c>
      <c r="Q49" s="22">
        <f t="shared" si="18"/>
        <v>63.446286193873277</v>
      </c>
      <c r="R49" s="20">
        <v>667.2399999999999</v>
      </c>
      <c r="S49" s="23">
        <f t="shared" si="19"/>
        <v>62.469999999999914</v>
      </c>
      <c r="U49" s="87"/>
      <c r="V49" s="28">
        <v>16</v>
      </c>
      <c r="W49" s="19">
        <v>1.5101</v>
      </c>
      <c r="X49" s="20">
        <v>2152.84</v>
      </c>
      <c r="Y49" s="20">
        <f t="shared" si="20"/>
        <v>642.74000000000024</v>
      </c>
      <c r="Z49" s="21">
        <v>953.19999999999982</v>
      </c>
      <c r="AA49" s="22">
        <f t="shared" si="21"/>
        <v>67.429710449013896</v>
      </c>
      <c r="AB49" s="20">
        <v>667.2399999999999</v>
      </c>
      <c r="AC49" s="23">
        <f t="shared" si="22"/>
        <v>24.499999999999659</v>
      </c>
    </row>
    <row r="50" spans="3:29" x14ac:dyDescent="0.35">
      <c r="K50" s="91">
        <v>0.47291666666666665</v>
      </c>
      <c r="L50" s="26">
        <v>1</v>
      </c>
      <c r="M50" s="13">
        <v>1.61</v>
      </c>
      <c r="N50" s="14">
        <v>2210.1799999999998</v>
      </c>
      <c r="O50" s="14">
        <f>N50-($M50*1000)</f>
        <v>600.17999999999984</v>
      </c>
      <c r="P50" s="15">
        <v>987.5</v>
      </c>
      <c r="Q50" s="16">
        <f>O50/$P50*100</f>
        <v>60.777721518987327</v>
      </c>
      <c r="R50" s="14">
        <v>691.25</v>
      </c>
      <c r="S50" s="17">
        <f>R50-O50</f>
        <v>91.070000000000164</v>
      </c>
      <c r="U50" s="86">
        <v>0.55763888888888891</v>
      </c>
      <c r="V50" s="8">
        <v>1</v>
      </c>
      <c r="W50" s="32">
        <v>1.61</v>
      </c>
      <c r="X50" s="4">
        <v>2255.65</v>
      </c>
      <c r="Y50" s="4">
        <f>X50-($M50*1000)</f>
        <v>645.65000000000009</v>
      </c>
      <c r="Z50" s="9">
        <v>987.5</v>
      </c>
      <c r="AA50" s="10">
        <f>Y50/$P50*100</f>
        <v>65.382278481012662</v>
      </c>
      <c r="AB50" s="4">
        <v>691.25</v>
      </c>
      <c r="AC50" s="18">
        <f>AB50-Y50</f>
        <v>45.599999999999909</v>
      </c>
    </row>
    <row r="51" spans="3:29" x14ac:dyDescent="0.35">
      <c r="K51" s="92"/>
      <c r="L51" s="27">
        <v>2</v>
      </c>
      <c r="M51" s="11">
        <v>1.7912999999999999</v>
      </c>
      <c r="N51" s="4">
        <v>2409.66</v>
      </c>
      <c r="O51" s="4">
        <f t="shared" ref="O51:O65" si="29">N51-($M51*1000)</f>
        <v>618.3599999999999</v>
      </c>
      <c r="P51" s="9">
        <v>1029.4000000000001</v>
      </c>
      <c r="Q51" s="10">
        <f t="shared" ref="Q51:Q65" si="30">O51/$P51*100</f>
        <v>60.069943656498914</v>
      </c>
      <c r="R51" s="4">
        <v>720.58</v>
      </c>
      <c r="S51" s="18">
        <f t="shared" ref="S51:S65" si="31">R51-O51</f>
        <v>102.22000000000014</v>
      </c>
      <c r="U51" s="86"/>
      <c r="V51" s="8">
        <v>2</v>
      </c>
      <c r="W51" s="11">
        <v>1.7912999999999999</v>
      </c>
      <c r="X51" s="4">
        <v>2454.1</v>
      </c>
      <c r="Y51" s="4">
        <f t="shared" ref="Y51:Y65" si="32">X51-($M51*1000)</f>
        <v>662.8</v>
      </c>
      <c r="Z51" s="9">
        <v>1029.4000000000001</v>
      </c>
      <c r="AA51" s="10">
        <f t="shared" ref="AA51:AA65" si="33">Y51/$P51*100</f>
        <v>64.387021565960751</v>
      </c>
      <c r="AB51" s="4">
        <v>720.58</v>
      </c>
      <c r="AC51" s="18">
        <f t="shared" ref="AC51:AC65" si="34">AB51-Y51</f>
        <v>57.780000000000086</v>
      </c>
    </row>
    <row r="52" spans="3:29" x14ac:dyDescent="0.35">
      <c r="K52" s="92"/>
      <c r="L52" s="27">
        <v>3</v>
      </c>
      <c r="M52" s="11">
        <v>1.5481</v>
      </c>
      <c r="N52" s="4">
        <v>2077.79</v>
      </c>
      <c r="O52" s="4">
        <f t="shared" si="29"/>
        <v>529.68999999999983</v>
      </c>
      <c r="P52" s="9">
        <v>1031.9000000000001</v>
      </c>
      <c r="Q52" s="10">
        <f t="shared" si="30"/>
        <v>51.331524372516689</v>
      </c>
      <c r="R52" s="4">
        <v>722.33</v>
      </c>
      <c r="S52" s="18">
        <f t="shared" si="31"/>
        <v>192.64000000000021</v>
      </c>
      <c r="U52" s="86"/>
      <c r="V52" s="8">
        <v>3</v>
      </c>
      <c r="W52" s="11">
        <v>1.5481</v>
      </c>
      <c r="X52" s="4">
        <v>2172.7600000000002</v>
      </c>
      <c r="Y52" s="4">
        <f t="shared" si="32"/>
        <v>624.66000000000008</v>
      </c>
      <c r="Z52" s="9">
        <v>1031.9000000000001</v>
      </c>
      <c r="AA52" s="10">
        <f t="shared" si="33"/>
        <v>60.534935555770907</v>
      </c>
      <c r="AB52" s="4">
        <v>722.33</v>
      </c>
      <c r="AC52" s="18">
        <f t="shared" si="34"/>
        <v>97.669999999999959</v>
      </c>
    </row>
    <row r="53" spans="3:29" x14ac:dyDescent="0.35">
      <c r="K53" s="92"/>
      <c r="L53" s="27">
        <v>4</v>
      </c>
      <c r="M53" s="11">
        <v>1.5491999999999999</v>
      </c>
      <c r="N53" s="4">
        <v>2163.92</v>
      </c>
      <c r="O53" s="4">
        <f t="shared" si="29"/>
        <v>614.72000000000025</v>
      </c>
      <c r="P53" s="9">
        <v>1060.1000000000004</v>
      </c>
      <c r="Q53" s="10">
        <f t="shared" si="30"/>
        <v>57.986982360154705</v>
      </c>
      <c r="R53" s="4">
        <v>742.07000000000028</v>
      </c>
      <c r="S53" s="18">
        <f t="shared" si="31"/>
        <v>127.35000000000002</v>
      </c>
      <c r="U53" s="86"/>
      <c r="V53" s="8">
        <v>4</v>
      </c>
      <c r="W53" s="11">
        <v>1.5491999999999999</v>
      </c>
      <c r="X53" s="4">
        <v>2193.23</v>
      </c>
      <c r="Y53" s="4">
        <f t="shared" si="32"/>
        <v>644.0300000000002</v>
      </c>
      <c r="Z53" s="9">
        <v>1060.1000000000004</v>
      </c>
      <c r="AA53" s="10">
        <f t="shared" si="33"/>
        <v>60.751815866427691</v>
      </c>
      <c r="AB53" s="4">
        <v>742.07000000000028</v>
      </c>
      <c r="AC53" s="18">
        <f t="shared" si="34"/>
        <v>98.040000000000077</v>
      </c>
    </row>
    <row r="54" spans="3:29" x14ac:dyDescent="0.35">
      <c r="K54" s="92"/>
      <c r="L54" s="27">
        <v>5</v>
      </c>
      <c r="M54" s="11">
        <v>1.7896000000000001</v>
      </c>
      <c r="N54" s="4">
        <v>2428.4899999999998</v>
      </c>
      <c r="O54" s="4">
        <f t="shared" si="29"/>
        <v>638.88999999999965</v>
      </c>
      <c r="P54" s="9">
        <v>1079.1999999999998</v>
      </c>
      <c r="Q54" s="10">
        <f t="shared" si="30"/>
        <v>59.20033358042992</v>
      </c>
      <c r="R54" s="4">
        <v>755.43999999999983</v>
      </c>
      <c r="S54" s="18">
        <f t="shared" si="31"/>
        <v>116.55000000000018</v>
      </c>
      <c r="U54" s="86"/>
      <c r="V54" s="8">
        <v>5</v>
      </c>
      <c r="W54" s="11">
        <v>1.7896000000000001</v>
      </c>
      <c r="X54" s="4">
        <v>2481.91</v>
      </c>
      <c r="Y54" s="4">
        <f t="shared" si="32"/>
        <v>692.30999999999972</v>
      </c>
      <c r="Z54" s="9">
        <v>1079.1999999999998</v>
      </c>
      <c r="AA54" s="10">
        <f t="shared" si="33"/>
        <v>64.150296515937725</v>
      </c>
      <c r="AB54" s="4">
        <v>755.43999999999983</v>
      </c>
      <c r="AC54" s="18">
        <f t="shared" si="34"/>
        <v>63.130000000000109</v>
      </c>
    </row>
    <row r="55" spans="3:29" x14ac:dyDescent="0.35">
      <c r="K55" s="92"/>
      <c r="L55" s="27">
        <v>6</v>
      </c>
      <c r="M55" s="11">
        <v>1.8140000000000001</v>
      </c>
      <c r="N55" s="4">
        <v>2430.6999999999998</v>
      </c>
      <c r="O55" s="4">
        <f t="shared" si="29"/>
        <v>616.69999999999982</v>
      </c>
      <c r="P55" s="9">
        <v>1036.2999999999997</v>
      </c>
      <c r="Q55" s="10">
        <f t="shared" si="30"/>
        <v>59.509794461063393</v>
      </c>
      <c r="R55" s="4">
        <v>725.40999999999985</v>
      </c>
      <c r="S55" s="18">
        <f t="shared" si="31"/>
        <v>108.71000000000004</v>
      </c>
      <c r="U55" s="86"/>
      <c r="V55" s="8">
        <v>6</v>
      </c>
      <c r="W55" s="11">
        <v>1.8140000000000001</v>
      </c>
      <c r="X55" s="4">
        <v>2429.89</v>
      </c>
      <c r="Y55" s="4">
        <f t="shared" si="32"/>
        <v>615.88999999999987</v>
      </c>
      <c r="Z55" s="9">
        <v>1036.2999999999997</v>
      </c>
      <c r="AA55" s="10">
        <f t="shared" si="33"/>
        <v>59.431631766862878</v>
      </c>
      <c r="AB55" s="4">
        <v>725.40999999999985</v>
      </c>
      <c r="AC55" s="18">
        <f t="shared" si="34"/>
        <v>109.51999999999998</v>
      </c>
    </row>
    <row r="56" spans="3:29" x14ac:dyDescent="0.35">
      <c r="K56" s="92"/>
      <c r="L56" s="27">
        <v>7</v>
      </c>
      <c r="M56" s="11">
        <v>1.6156999999999999</v>
      </c>
      <c r="N56" s="4">
        <v>0</v>
      </c>
      <c r="O56" s="4">
        <f t="shared" si="29"/>
        <v>-1615.6999999999998</v>
      </c>
      <c r="P56" s="9">
        <v>972.79999999999984</v>
      </c>
      <c r="Q56" s="10">
        <f t="shared" si="30"/>
        <v>-166.08758223684214</v>
      </c>
      <c r="R56" s="4">
        <v>680.95999999999981</v>
      </c>
      <c r="S56" s="18">
        <f t="shared" si="31"/>
        <v>2296.66</v>
      </c>
      <c r="U56" s="86"/>
      <c r="V56" s="8">
        <v>7</v>
      </c>
      <c r="W56" s="11">
        <v>1.6156999999999999</v>
      </c>
      <c r="X56" s="4">
        <v>0</v>
      </c>
      <c r="Y56" s="4">
        <f t="shared" si="32"/>
        <v>-1615.6999999999998</v>
      </c>
      <c r="Z56" s="9">
        <v>972.79999999999984</v>
      </c>
      <c r="AA56" s="10">
        <f t="shared" si="33"/>
        <v>-166.08758223684214</v>
      </c>
      <c r="AB56" s="4">
        <v>680.95999999999981</v>
      </c>
      <c r="AC56" s="18">
        <f t="shared" si="34"/>
        <v>2296.66</v>
      </c>
    </row>
    <row r="57" spans="3:29" x14ac:dyDescent="0.35">
      <c r="K57" s="92"/>
      <c r="L57" s="29">
        <v>8</v>
      </c>
      <c r="M57" s="11">
        <v>1.6026</v>
      </c>
      <c r="N57" s="4">
        <v>2418.6799999999998</v>
      </c>
      <c r="O57" s="4">
        <f t="shared" si="29"/>
        <v>816.0799999999997</v>
      </c>
      <c r="P57" s="9">
        <v>1080.7999999999997</v>
      </c>
      <c r="Q57" s="10">
        <f t="shared" si="30"/>
        <v>75.507031828275345</v>
      </c>
      <c r="R57" s="4">
        <v>756.55999999999983</v>
      </c>
      <c r="S57" s="18">
        <f t="shared" si="31"/>
        <v>-59.519999999999868</v>
      </c>
      <c r="U57" s="86"/>
      <c r="V57" s="8">
        <v>8</v>
      </c>
      <c r="W57" s="11">
        <v>1.6026</v>
      </c>
      <c r="X57" s="4">
        <v>2243.19</v>
      </c>
      <c r="Y57" s="4">
        <f t="shared" si="32"/>
        <v>640.58999999999992</v>
      </c>
      <c r="Z57" s="9">
        <v>1080.7999999999997</v>
      </c>
      <c r="AA57" s="10">
        <f t="shared" si="33"/>
        <v>59.269985196151012</v>
      </c>
      <c r="AB57" s="4">
        <v>756.55999999999983</v>
      </c>
      <c r="AC57" s="18">
        <f t="shared" si="34"/>
        <v>115.96999999999991</v>
      </c>
    </row>
    <row r="58" spans="3:29" x14ac:dyDescent="0.35">
      <c r="K58" s="92"/>
      <c r="L58" s="27">
        <v>9</v>
      </c>
      <c r="M58" s="11">
        <v>1.5497000000000001</v>
      </c>
      <c r="N58" s="4">
        <v>2191.84</v>
      </c>
      <c r="O58" s="4">
        <f t="shared" si="29"/>
        <v>642.1400000000001</v>
      </c>
      <c r="P58" s="9">
        <v>1069.3000000000002</v>
      </c>
      <c r="Q58" s="10">
        <f t="shared" si="30"/>
        <v>60.052370709810155</v>
      </c>
      <c r="R58" s="4">
        <v>748.5100000000001</v>
      </c>
      <c r="S58" s="18">
        <f t="shared" si="31"/>
        <v>106.37</v>
      </c>
      <c r="U58" s="86"/>
      <c r="V58" s="8">
        <v>9</v>
      </c>
      <c r="W58" s="11">
        <v>1.5497000000000001</v>
      </c>
      <c r="X58" s="4">
        <v>2227.7600000000002</v>
      </c>
      <c r="Y58" s="4">
        <f t="shared" si="32"/>
        <v>678.06000000000017</v>
      </c>
      <c r="Z58" s="9">
        <v>1069.3000000000002</v>
      </c>
      <c r="AA58" s="10">
        <f t="shared" si="33"/>
        <v>63.411577667633033</v>
      </c>
      <c r="AB58" s="4">
        <v>748.5100000000001</v>
      </c>
      <c r="AC58" s="18">
        <f t="shared" si="34"/>
        <v>70.449999999999932</v>
      </c>
    </row>
    <row r="59" spans="3:29" x14ac:dyDescent="0.35">
      <c r="K59" s="92"/>
      <c r="L59" s="27">
        <v>10</v>
      </c>
      <c r="M59" s="11">
        <v>1.6895000000000002</v>
      </c>
      <c r="N59" s="4">
        <v>2266.29</v>
      </c>
      <c r="O59" s="4">
        <f t="shared" si="29"/>
        <v>576.78999999999974</v>
      </c>
      <c r="P59" s="9">
        <v>938.49999999999989</v>
      </c>
      <c r="Q59" s="10">
        <f t="shared" si="30"/>
        <v>61.458710708577499</v>
      </c>
      <c r="R59" s="4">
        <v>656.94999999999982</v>
      </c>
      <c r="S59" s="18">
        <f t="shared" si="31"/>
        <v>80.160000000000082</v>
      </c>
      <c r="U59" s="86"/>
      <c r="V59" s="8">
        <v>10</v>
      </c>
      <c r="W59" s="11">
        <v>1.6895000000000002</v>
      </c>
      <c r="X59" s="4">
        <v>2312.35</v>
      </c>
      <c r="Y59" s="4">
        <f t="shared" si="32"/>
        <v>622.84999999999968</v>
      </c>
      <c r="Z59" s="9">
        <v>938.49999999999989</v>
      </c>
      <c r="AA59" s="10">
        <f t="shared" si="33"/>
        <v>66.366542354821505</v>
      </c>
      <c r="AB59" s="4">
        <v>656.94999999999982</v>
      </c>
      <c r="AC59" s="18">
        <f t="shared" si="34"/>
        <v>34.100000000000136</v>
      </c>
    </row>
    <row r="60" spans="3:29" x14ac:dyDescent="0.35">
      <c r="K60" s="92"/>
      <c r="L60" s="27">
        <v>11</v>
      </c>
      <c r="M60" s="11">
        <v>1.5619000000000001</v>
      </c>
      <c r="N60" s="4">
        <v>2202.7199999999998</v>
      </c>
      <c r="O60" s="4">
        <f t="shared" si="29"/>
        <v>640.81999999999971</v>
      </c>
      <c r="P60" s="9">
        <v>1079.8000000000002</v>
      </c>
      <c r="Q60" s="10">
        <f t="shared" si="30"/>
        <v>59.346175217632855</v>
      </c>
      <c r="R60" s="4">
        <v>755.86000000000013</v>
      </c>
      <c r="S60" s="18">
        <f t="shared" si="31"/>
        <v>115.04000000000042</v>
      </c>
      <c r="U60" s="86"/>
      <c r="V60" s="8">
        <v>11</v>
      </c>
      <c r="W60" s="11">
        <v>1.5619000000000001</v>
      </c>
      <c r="X60" s="4">
        <v>2237.44</v>
      </c>
      <c r="Y60" s="4">
        <f t="shared" si="32"/>
        <v>675.54</v>
      </c>
      <c r="Z60" s="9">
        <v>1079.8000000000002</v>
      </c>
      <c r="AA60" s="10">
        <f t="shared" si="33"/>
        <v>62.56158547879236</v>
      </c>
      <c r="AB60" s="4">
        <v>755.86000000000013</v>
      </c>
      <c r="AC60" s="18">
        <f t="shared" si="34"/>
        <v>80.320000000000164</v>
      </c>
    </row>
    <row r="61" spans="3:29" x14ac:dyDescent="0.35">
      <c r="K61" s="92"/>
      <c r="L61" s="27">
        <v>12</v>
      </c>
      <c r="M61" s="11">
        <v>1.5084</v>
      </c>
      <c r="N61" s="4">
        <v>2109.5</v>
      </c>
      <c r="O61" s="4">
        <f t="shared" si="29"/>
        <v>601.10000000000014</v>
      </c>
      <c r="P61" s="9">
        <v>929.9</v>
      </c>
      <c r="Q61" s="10">
        <f t="shared" si="30"/>
        <v>64.641359285944745</v>
      </c>
      <c r="R61" s="4">
        <v>650.92999999999995</v>
      </c>
      <c r="S61" s="18">
        <f t="shared" si="31"/>
        <v>49.829999999999814</v>
      </c>
      <c r="U61" s="86"/>
      <c r="V61" s="8">
        <v>12</v>
      </c>
      <c r="W61" s="11">
        <v>1.5084</v>
      </c>
      <c r="X61" s="4">
        <v>2132.77</v>
      </c>
      <c r="Y61" s="4">
        <f t="shared" si="32"/>
        <v>624.37000000000012</v>
      </c>
      <c r="Z61" s="9">
        <v>929.9</v>
      </c>
      <c r="AA61" s="10">
        <f t="shared" si="33"/>
        <v>67.143778900957102</v>
      </c>
      <c r="AB61" s="4">
        <v>650.92999999999995</v>
      </c>
      <c r="AC61" s="18">
        <f t="shared" si="34"/>
        <v>26.559999999999832</v>
      </c>
    </row>
    <row r="62" spans="3:29" x14ac:dyDescent="0.35">
      <c r="K62" s="92"/>
      <c r="L62" s="27">
        <v>13</v>
      </c>
      <c r="M62" s="11">
        <v>1.587</v>
      </c>
      <c r="N62" s="4">
        <v>2217.84</v>
      </c>
      <c r="O62" s="4">
        <f t="shared" si="29"/>
        <v>630.84000000000015</v>
      </c>
      <c r="P62" s="9">
        <v>1024.5</v>
      </c>
      <c r="Q62" s="10">
        <f t="shared" si="30"/>
        <v>61.575402635431928</v>
      </c>
      <c r="R62" s="4">
        <v>717.15</v>
      </c>
      <c r="S62" s="18">
        <f t="shared" si="31"/>
        <v>86.309999999999832</v>
      </c>
      <c r="U62" s="86"/>
      <c r="V62" s="8">
        <v>13</v>
      </c>
      <c r="W62" s="11">
        <v>1.587</v>
      </c>
      <c r="X62" s="4">
        <v>2230.92</v>
      </c>
      <c r="Y62" s="4">
        <f t="shared" si="32"/>
        <v>643.92000000000007</v>
      </c>
      <c r="Z62" s="9">
        <v>1024.5</v>
      </c>
      <c r="AA62" s="10">
        <f t="shared" si="33"/>
        <v>62.852122986822842</v>
      </c>
      <c r="AB62" s="4">
        <v>717.15</v>
      </c>
      <c r="AC62" s="18">
        <f t="shared" si="34"/>
        <v>73.229999999999905</v>
      </c>
    </row>
    <row r="63" spans="3:29" x14ac:dyDescent="0.35">
      <c r="K63" s="92"/>
      <c r="L63" s="27">
        <v>14</v>
      </c>
      <c r="M63" s="11">
        <v>1.7172000000000001</v>
      </c>
      <c r="N63" s="4">
        <v>2318.85</v>
      </c>
      <c r="O63" s="4">
        <f t="shared" si="29"/>
        <v>601.64999999999986</v>
      </c>
      <c r="P63" s="9">
        <v>992.59999999999991</v>
      </c>
      <c r="Q63" s="10">
        <f t="shared" si="30"/>
        <v>60.613540197461205</v>
      </c>
      <c r="R63" s="4">
        <v>694.82</v>
      </c>
      <c r="S63" s="18">
        <f t="shared" si="31"/>
        <v>93.170000000000186</v>
      </c>
      <c r="U63" s="86"/>
      <c r="V63" s="8">
        <v>14</v>
      </c>
      <c r="W63" s="11">
        <v>1.7172000000000001</v>
      </c>
      <c r="X63" s="4">
        <v>2359.79</v>
      </c>
      <c r="Y63" s="4">
        <f t="shared" si="32"/>
        <v>642.58999999999992</v>
      </c>
      <c r="Z63" s="9">
        <v>992.59999999999991</v>
      </c>
      <c r="AA63" s="10">
        <f t="shared" si="33"/>
        <v>64.738061656256292</v>
      </c>
      <c r="AB63" s="4">
        <v>694.82</v>
      </c>
      <c r="AC63" s="18">
        <f t="shared" si="34"/>
        <v>52.230000000000132</v>
      </c>
    </row>
    <row r="64" spans="3:29" x14ac:dyDescent="0.35">
      <c r="K64" s="92"/>
      <c r="L64" s="27">
        <v>15</v>
      </c>
      <c r="M64" s="11">
        <v>1.5403</v>
      </c>
      <c r="N64" s="4">
        <v>2056.67</v>
      </c>
      <c r="O64" s="4">
        <f t="shared" si="29"/>
        <v>516.37000000000012</v>
      </c>
      <c r="P64" s="9">
        <v>929.9000000000002</v>
      </c>
      <c r="Q64" s="10">
        <f t="shared" si="30"/>
        <v>55.529626841595871</v>
      </c>
      <c r="R64" s="4">
        <v>650.93000000000018</v>
      </c>
      <c r="S64" s="18">
        <f t="shared" si="31"/>
        <v>134.56000000000006</v>
      </c>
      <c r="U64" s="86"/>
      <c r="V64" s="8">
        <v>15</v>
      </c>
      <c r="W64" s="11">
        <v>1.5403</v>
      </c>
      <c r="X64" s="4">
        <v>2117.8000000000002</v>
      </c>
      <c r="Y64" s="4">
        <f t="shared" si="32"/>
        <v>577.50000000000023</v>
      </c>
      <c r="Z64" s="9">
        <v>929.9000000000002</v>
      </c>
      <c r="AA64" s="10">
        <f t="shared" si="33"/>
        <v>62.103451984084323</v>
      </c>
      <c r="AB64" s="4">
        <v>650.93000000000018</v>
      </c>
      <c r="AC64" s="18">
        <f t="shared" si="34"/>
        <v>73.42999999999995</v>
      </c>
    </row>
    <row r="65" spans="11:29" x14ac:dyDescent="0.35">
      <c r="K65" s="92"/>
      <c r="L65" s="28">
        <v>16</v>
      </c>
      <c r="M65" s="19">
        <v>1.5101</v>
      </c>
      <c r="N65" s="4">
        <v>2104.4499999999998</v>
      </c>
      <c r="O65" s="20">
        <f t="shared" si="29"/>
        <v>594.34999999999991</v>
      </c>
      <c r="P65" s="21">
        <v>953.19999999999982</v>
      </c>
      <c r="Q65" s="22">
        <f t="shared" si="30"/>
        <v>62.353126311372222</v>
      </c>
      <c r="R65" s="20">
        <v>667.2399999999999</v>
      </c>
      <c r="S65" s="23">
        <f t="shared" si="31"/>
        <v>72.889999999999986</v>
      </c>
      <c r="U65" s="87"/>
      <c r="V65" s="28">
        <v>16</v>
      </c>
      <c r="W65" s="19">
        <v>1.5101</v>
      </c>
      <c r="X65" s="20">
        <v>2141.33</v>
      </c>
      <c r="Y65" s="20">
        <f t="shared" si="32"/>
        <v>631.23</v>
      </c>
      <c r="Z65" s="21">
        <v>953.19999999999982</v>
      </c>
      <c r="AA65" s="22">
        <f t="shared" si="33"/>
        <v>66.222198908938324</v>
      </c>
      <c r="AB65" s="20">
        <v>667.2399999999999</v>
      </c>
      <c r="AC65" s="23">
        <f t="shared" si="34"/>
        <v>36.009999999999877</v>
      </c>
    </row>
    <row r="66" spans="11:29" x14ac:dyDescent="0.35">
      <c r="K66" s="91">
        <v>0.54374999999999996</v>
      </c>
      <c r="L66" s="26">
        <v>1</v>
      </c>
      <c r="M66" s="13">
        <v>1.61</v>
      </c>
      <c r="N66" s="14">
        <v>2280.0500000000002</v>
      </c>
      <c r="O66" s="14">
        <f>N66-($M66*1000)</f>
        <v>670.05000000000018</v>
      </c>
      <c r="P66" s="15">
        <v>987.5</v>
      </c>
      <c r="Q66" s="16">
        <f>O66/$P66*100</f>
        <v>67.853164556962042</v>
      </c>
      <c r="R66" s="14">
        <v>691.25</v>
      </c>
      <c r="S66" s="17">
        <f>R66-O66</f>
        <v>21.199999999999818</v>
      </c>
      <c r="U66" s="86">
        <v>0.59930555555555554</v>
      </c>
      <c r="V66" s="8">
        <v>1</v>
      </c>
      <c r="W66" s="32">
        <v>1.61</v>
      </c>
      <c r="X66" s="4">
        <v>2243.5700000000002</v>
      </c>
      <c r="Y66" s="4">
        <f>X66-($M66*1000)</f>
        <v>633.57000000000016</v>
      </c>
      <c r="Z66" s="9">
        <v>987.5</v>
      </c>
      <c r="AA66" s="10">
        <f>Y66/$P66*100</f>
        <v>64.158987341772161</v>
      </c>
      <c r="AB66" s="4">
        <v>691.25</v>
      </c>
      <c r="AC66" s="18">
        <f>AB66-Y66</f>
        <v>57.679999999999836</v>
      </c>
    </row>
    <row r="67" spans="11:29" x14ac:dyDescent="0.35">
      <c r="K67" s="92"/>
      <c r="L67" s="27">
        <v>2</v>
      </c>
      <c r="M67" s="11">
        <v>1.7912999999999999</v>
      </c>
      <c r="N67" s="4">
        <v>2484.88</v>
      </c>
      <c r="O67" s="4">
        <f t="shared" ref="O67:O81" si="35">N67-($M67*1000)</f>
        <v>693.58000000000015</v>
      </c>
      <c r="P67" s="9">
        <v>1029.4000000000001</v>
      </c>
      <c r="Q67" s="10">
        <f t="shared" ref="Q67:Q81" si="36">O67/$P67*100</f>
        <v>67.377112881290074</v>
      </c>
      <c r="R67" s="4">
        <v>720.58</v>
      </c>
      <c r="S67" s="18">
        <f t="shared" ref="S67:S81" si="37">R67-O67</f>
        <v>26.999999999999886</v>
      </c>
      <c r="U67" s="86"/>
      <c r="V67" s="8">
        <v>2</v>
      </c>
      <c r="W67" s="11">
        <v>1.7912999999999999</v>
      </c>
      <c r="X67" s="4">
        <v>2439.7199999999998</v>
      </c>
      <c r="Y67" s="4">
        <f t="shared" ref="Y67:Y81" si="38">X67-($M67*1000)</f>
        <v>648.41999999999985</v>
      </c>
      <c r="Z67" s="9">
        <v>1029.4000000000001</v>
      </c>
      <c r="AA67" s="10">
        <f t="shared" ref="AA67:AA81" si="39">Y67/$P67*100</f>
        <v>62.990091315329302</v>
      </c>
      <c r="AB67" s="4">
        <v>720.58</v>
      </c>
      <c r="AC67" s="18">
        <f t="shared" ref="AC67:AC81" si="40">AB67-Y67</f>
        <v>72.160000000000196</v>
      </c>
    </row>
    <row r="68" spans="11:29" x14ac:dyDescent="0.35">
      <c r="K68" s="92"/>
      <c r="L68" s="27">
        <v>3</v>
      </c>
      <c r="M68" s="11">
        <v>1.5481</v>
      </c>
      <c r="N68" s="4">
        <v>2230.06</v>
      </c>
      <c r="O68" s="4">
        <f t="shared" si="35"/>
        <v>681.95999999999981</v>
      </c>
      <c r="P68" s="9">
        <v>1031.9000000000001</v>
      </c>
      <c r="Q68" s="10">
        <f t="shared" si="36"/>
        <v>66.087799205349327</v>
      </c>
      <c r="R68" s="4">
        <v>722.33</v>
      </c>
      <c r="S68" s="18">
        <f t="shared" si="37"/>
        <v>40.370000000000232</v>
      </c>
      <c r="U68" s="86"/>
      <c r="V68" s="8">
        <v>3</v>
      </c>
      <c r="W68" s="11">
        <v>1.5481</v>
      </c>
      <c r="X68" s="4">
        <v>2147.5100000000002</v>
      </c>
      <c r="Y68" s="4">
        <f t="shared" si="38"/>
        <v>599.41000000000008</v>
      </c>
      <c r="Z68" s="9">
        <v>1031.9000000000001</v>
      </c>
      <c r="AA68" s="10">
        <f t="shared" si="39"/>
        <v>58.08799302257971</v>
      </c>
      <c r="AB68" s="4">
        <v>722.33</v>
      </c>
      <c r="AC68" s="18">
        <f t="shared" si="40"/>
        <v>122.91999999999996</v>
      </c>
    </row>
    <row r="69" spans="11:29" x14ac:dyDescent="0.35">
      <c r="K69" s="92"/>
      <c r="L69" s="27">
        <v>4</v>
      </c>
      <c r="M69" s="11">
        <v>1.5491999999999999</v>
      </c>
      <c r="N69" s="4">
        <v>2257.42</v>
      </c>
      <c r="O69" s="4">
        <f t="shared" si="35"/>
        <v>708.22000000000025</v>
      </c>
      <c r="P69" s="9">
        <v>1060.1000000000004</v>
      </c>
      <c r="Q69" s="10">
        <f t="shared" si="36"/>
        <v>66.806905008961408</v>
      </c>
      <c r="R69" s="4">
        <v>742.07000000000028</v>
      </c>
      <c r="S69" s="18">
        <f t="shared" si="37"/>
        <v>33.850000000000023</v>
      </c>
      <c r="U69" s="86"/>
      <c r="V69" s="8">
        <v>4</v>
      </c>
      <c r="W69" s="11">
        <v>1.5491999999999999</v>
      </c>
      <c r="X69" s="4">
        <v>2170.61</v>
      </c>
      <c r="Y69" s="4">
        <f t="shared" si="38"/>
        <v>621.41000000000031</v>
      </c>
      <c r="Z69" s="9">
        <v>1060.1000000000004</v>
      </c>
      <c r="AA69" s="10">
        <f t="shared" si="39"/>
        <v>58.618054900481098</v>
      </c>
      <c r="AB69" s="4">
        <v>742.07000000000028</v>
      </c>
      <c r="AC69" s="18">
        <f t="shared" si="40"/>
        <v>120.65999999999997</v>
      </c>
    </row>
    <row r="70" spans="11:29" x14ac:dyDescent="0.35">
      <c r="K70" s="92"/>
      <c r="L70" s="27">
        <v>5</v>
      </c>
      <c r="M70" s="11">
        <v>1.7896000000000001</v>
      </c>
      <c r="N70" s="4">
        <v>2515.44</v>
      </c>
      <c r="O70" s="4">
        <f t="shared" si="35"/>
        <v>725.83999999999992</v>
      </c>
      <c r="P70" s="9">
        <v>1079.1999999999998</v>
      </c>
      <c r="Q70" s="10">
        <f t="shared" si="36"/>
        <v>67.257227575982213</v>
      </c>
      <c r="R70" s="4">
        <v>755.43999999999983</v>
      </c>
      <c r="S70" s="18">
        <f t="shared" si="37"/>
        <v>29.599999999999909</v>
      </c>
      <c r="U70" s="86"/>
      <c r="V70" s="8">
        <v>5</v>
      </c>
      <c r="W70" s="11">
        <v>1.7896000000000001</v>
      </c>
      <c r="X70" s="4">
        <v>2463.12</v>
      </c>
      <c r="Y70" s="4">
        <f t="shared" si="38"/>
        <v>673.51999999999975</v>
      </c>
      <c r="Z70" s="9">
        <v>1079.1999999999998</v>
      </c>
      <c r="AA70" s="10">
        <f t="shared" si="39"/>
        <v>62.409191994069666</v>
      </c>
      <c r="AB70" s="4">
        <v>755.43999999999983</v>
      </c>
      <c r="AC70" s="18">
        <f t="shared" si="40"/>
        <v>81.920000000000073</v>
      </c>
    </row>
    <row r="71" spans="11:29" x14ac:dyDescent="0.35">
      <c r="K71" s="92"/>
      <c r="L71" s="27">
        <v>6</v>
      </c>
      <c r="M71" s="11">
        <v>1.8140000000000001</v>
      </c>
      <c r="N71" s="4">
        <v>2512.9499999999998</v>
      </c>
      <c r="O71" s="4">
        <f t="shared" si="35"/>
        <v>698.94999999999982</v>
      </c>
      <c r="P71" s="9">
        <v>1036.2999999999997</v>
      </c>
      <c r="Q71" s="10">
        <f t="shared" si="36"/>
        <v>67.446685322782969</v>
      </c>
      <c r="R71" s="4">
        <v>725.40999999999985</v>
      </c>
      <c r="S71" s="18">
        <f t="shared" si="37"/>
        <v>26.460000000000036</v>
      </c>
      <c r="U71" s="86"/>
      <c r="V71" s="8">
        <v>6</v>
      </c>
      <c r="W71" s="11">
        <v>1.8140000000000001</v>
      </c>
      <c r="X71" s="4">
        <v>2407.65</v>
      </c>
      <c r="Y71" s="4">
        <f t="shared" si="38"/>
        <v>593.65000000000009</v>
      </c>
      <c r="Z71" s="9">
        <v>1036.2999999999997</v>
      </c>
      <c r="AA71" s="10">
        <f t="shared" si="39"/>
        <v>57.285535076715263</v>
      </c>
      <c r="AB71" s="4">
        <v>725.40999999999985</v>
      </c>
      <c r="AC71" s="18">
        <f t="shared" si="40"/>
        <v>131.75999999999976</v>
      </c>
    </row>
    <row r="72" spans="11:29" x14ac:dyDescent="0.35">
      <c r="K72" s="92"/>
      <c r="L72" s="27">
        <v>7</v>
      </c>
      <c r="M72" s="11">
        <v>1.6156999999999999</v>
      </c>
      <c r="N72" s="4">
        <v>0</v>
      </c>
      <c r="O72" s="4">
        <f t="shared" si="35"/>
        <v>-1615.6999999999998</v>
      </c>
      <c r="P72" s="9">
        <v>972.79999999999984</v>
      </c>
      <c r="Q72" s="10">
        <f t="shared" si="36"/>
        <v>-166.08758223684214</v>
      </c>
      <c r="R72" s="4">
        <v>680.95999999999981</v>
      </c>
      <c r="S72" s="18">
        <f t="shared" si="37"/>
        <v>2296.66</v>
      </c>
      <c r="U72" s="86"/>
      <c r="V72" s="8">
        <v>7</v>
      </c>
      <c r="W72" s="11">
        <v>1.6156999999999999</v>
      </c>
      <c r="X72" s="4">
        <v>0</v>
      </c>
      <c r="Y72" s="4">
        <f t="shared" si="38"/>
        <v>-1615.6999999999998</v>
      </c>
      <c r="Z72" s="9">
        <v>972.79999999999984</v>
      </c>
      <c r="AA72" s="10">
        <f t="shared" si="39"/>
        <v>-166.08758223684214</v>
      </c>
      <c r="AB72" s="4">
        <v>680.95999999999981</v>
      </c>
      <c r="AC72" s="18">
        <f t="shared" si="40"/>
        <v>2296.66</v>
      </c>
    </row>
    <row r="73" spans="11:29" x14ac:dyDescent="0.35">
      <c r="K73" s="92"/>
      <c r="L73" s="29">
        <v>8</v>
      </c>
      <c r="M73" s="11">
        <v>1.6026</v>
      </c>
      <c r="N73" s="4">
        <v>2384.4</v>
      </c>
      <c r="O73" s="4">
        <f t="shared" si="35"/>
        <v>781.8</v>
      </c>
      <c r="P73" s="9">
        <v>1080.7999999999997</v>
      </c>
      <c r="Q73" s="10">
        <f t="shared" si="36"/>
        <v>72.335307179866788</v>
      </c>
      <c r="R73" s="4">
        <v>756.55999999999983</v>
      </c>
      <c r="S73" s="18">
        <f t="shared" si="37"/>
        <v>-25.240000000000123</v>
      </c>
      <c r="U73" s="86"/>
      <c r="V73" s="8">
        <v>8</v>
      </c>
      <c r="W73" s="11">
        <v>1.6026</v>
      </c>
      <c r="X73" s="4">
        <v>2219.16</v>
      </c>
      <c r="Y73" s="4">
        <f t="shared" si="38"/>
        <v>616.55999999999972</v>
      </c>
      <c r="Z73" s="9">
        <v>1080.7999999999997</v>
      </c>
      <c r="AA73" s="10">
        <f t="shared" si="39"/>
        <v>57.046632124352314</v>
      </c>
      <c r="AB73" s="4">
        <v>756.55999999999983</v>
      </c>
      <c r="AC73" s="18">
        <f t="shared" si="40"/>
        <v>140.00000000000011</v>
      </c>
    </row>
    <row r="74" spans="11:29" x14ac:dyDescent="0.35">
      <c r="K74" s="92"/>
      <c r="L74" s="27">
        <v>9</v>
      </c>
      <c r="M74" s="11">
        <v>1.5497000000000001</v>
      </c>
      <c r="N74" s="4">
        <v>2275.3000000000002</v>
      </c>
      <c r="O74" s="4">
        <f t="shared" si="35"/>
        <v>725.60000000000014</v>
      </c>
      <c r="P74" s="9">
        <v>1069.3000000000002</v>
      </c>
      <c r="Q74" s="10">
        <f t="shared" si="36"/>
        <v>67.857476854016653</v>
      </c>
      <c r="R74" s="4">
        <v>748.5100000000001</v>
      </c>
      <c r="S74" s="18">
        <f t="shared" si="37"/>
        <v>22.909999999999968</v>
      </c>
      <c r="U74" s="86"/>
      <c r="V74" s="8">
        <v>9</v>
      </c>
      <c r="W74" s="11">
        <v>1.5497000000000001</v>
      </c>
      <c r="X74" s="4">
        <v>2209.23</v>
      </c>
      <c r="Y74" s="4">
        <f t="shared" si="38"/>
        <v>659.53</v>
      </c>
      <c r="Z74" s="9">
        <v>1069.3000000000002</v>
      </c>
      <c r="AA74" s="10">
        <f t="shared" si="39"/>
        <v>61.67866828766482</v>
      </c>
      <c r="AB74" s="4">
        <v>748.5100000000001</v>
      </c>
      <c r="AC74" s="18">
        <f t="shared" si="40"/>
        <v>88.980000000000132</v>
      </c>
    </row>
    <row r="75" spans="11:29" x14ac:dyDescent="0.35">
      <c r="K75" s="92"/>
      <c r="L75" s="27">
        <v>10</v>
      </c>
      <c r="M75" s="11">
        <v>1.6895000000000002</v>
      </c>
      <c r="N75" s="4">
        <v>2340.41</v>
      </c>
      <c r="O75" s="4">
        <f t="shared" si="35"/>
        <v>650.90999999999963</v>
      </c>
      <c r="P75" s="9">
        <v>938.49999999999989</v>
      </c>
      <c r="Q75" s="10">
        <f t="shared" si="36"/>
        <v>69.356419818859848</v>
      </c>
      <c r="R75" s="4">
        <v>656.94999999999982</v>
      </c>
      <c r="S75" s="18">
        <f t="shared" si="37"/>
        <v>6.040000000000191</v>
      </c>
      <c r="U75" s="86"/>
      <c r="V75" s="8">
        <v>10</v>
      </c>
      <c r="W75" s="11">
        <v>1.6895000000000002</v>
      </c>
      <c r="X75" s="4">
        <v>2306.64</v>
      </c>
      <c r="Y75" s="4">
        <f t="shared" si="38"/>
        <v>617.13999999999965</v>
      </c>
      <c r="Z75" s="9">
        <v>938.49999999999989</v>
      </c>
      <c r="AA75" s="10">
        <f t="shared" si="39"/>
        <v>65.758124667021818</v>
      </c>
      <c r="AB75" s="4">
        <v>656.94999999999982</v>
      </c>
      <c r="AC75" s="18">
        <f t="shared" si="40"/>
        <v>39.810000000000173</v>
      </c>
    </row>
    <row r="76" spans="11:29" x14ac:dyDescent="0.35">
      <c r="K76" s="92"/>
      <c r="L76" s="27">
        <v>11</v>
      </c>
      <c r="M76" s="11">
        <v>1.5619000000000001</v>
      </c>
      <c r="N76" s="4">
        <v>2282.67</v>
      </c>
      <c r="O76" s="4">
        <f t="shared" si="35"/>
        <v>720.77</v>
      </c>
      <c r="P76" s="9">
        <v>1079.8000000000002</v>
      </c>
      <c r="Q76" s="10">
        <f t="shared" si="36"/>
        <v>66.750324134098889</v>
      </c>
      <c r="R76" s="4">
        <v>755.86000000000013</v>
      </c>
      <c r="S76" s="18">
        <f t="shared" si="37"/>
        <v>35.090000000000146</v>
      </c>
      <c r="U76" s="86"/>
      <c r="V76" s="8">
        <v>11</v>
      </c>
      <c r="W76" s="11">
        <v>1.5619000000000001</v>
      </c>
      <c r="X76" s="4">
        <v>2213.44</v>
      </c>
      <c r="Y76" s="4">
        <f t="shared" si="38"/>
        <v>651.54</v>
      </c>
      <c r="Z76" s="9">
        <v>1079.8000000000002</v>
      </c>
      <c r="AA76" s="10">
        <f t="shared" si="39"/>
        <v>60.338951657714382</v>
      </c>
      <c r="AB76" s="4">
        <v>755.86000000000013</v>
      </c>
      <c r="AC76" s="18">
        <f t="shared" si="40"/>
        <v>104.32000000000016</v>
      </c>
    </row>
    <row r="77" spans="11:29" x14ac:dyDescent="0.35">
      <c r="K77" s="92"/>
      <c r="L77" s="27">
        <v>12</v>
      </c>
      <c r="M77" s="11">
        <v>1.5084</v>
      </c>
      <c r="N77" s="4">
        <v>2145.17</v>
      </c>
      <c r="O77" s="4">
        <f t="shared" si="35"/>
        <v>636.77000000000021</v>
      </c>
      <c r="P77" s="9">
        <v>929.9</v>
      </c>
      <c r="Q77" s="10">
        <f t="shared" si="36"/>
        <v>68.477255618883774</v>
      </c>
      <c r="R77" s="4">
        <v>650.92999999999995</v>
      </c>
      <c r="S77" s="18">
        <f t="shared" si="37"/>
        <v>14.159999999999741</v>
      </c>
      <c r="U77" s="86"/>
      <c r="V77" s="8">
        <v>12</v>
      </c>
      <c r="W77" s="11">
        <v>1.5084</v>
      </c>
      <c r="X77" s="4">
        <v>2128.17</v>
      </c>
      <c r="Y77" s="4">
        <f t="shared" si="38"/>
        <v>619.77000000000021</v>
      </c>
      <c r="Z77" s="9">
        <v>929.9</v>
      </c>
      <c r="AA77" s="10">
        <f t="shared" si="39"/>
        <v>66.649102053984322</v>
      </c>
      <c r="AB77" s="4">
        <v>650.92999999999995</v>
      </c>
      <c r="AC77" s="18">
        <f t="shared" si="40"/>
        <v>31.159999999999741</v>
      </c>
    </row>
    <row r="78" spans="11:29" x14ac:dyDescent="0.35">
      <c r="K78" s="92"/>
      <c r="L78" s="27">
        <v>13</v>
      </c>
      <c r="M78" s="11">
        <v>1.587</v>
      </c>
      <c r="N78" s="4">
        <v>2270.35</v>
      </c>
      <c r="O78" s="4">
        <f t="shared" si="35"/>
        <v>683.34999999999991</v>
      </c>
      <c r="P78" s="9">
        <v>1024.5</v>
      </c>
      <c r="Q78" s="10">
        <f t="shared" si="36"/>
        <v>66.700829673011214</v>
      </c>
      <c r="R78" s="4">
        <v>717.15</v>
      </c>
      <c r="S78" s="18">
        <f t="shared" si="37"/>
        <v>33.800000000000068</v>
      </c>
      <c r="U78" s="86"/>
      <c r="V78" s="8">
        <v>13</v>
      </c>
      <c r="W78" s="11">
        <v>1.587</v>
      </c>
      <c r="X78" s="4">
        <v>2204.29</v>
      </c>
      <c r="Y78" s="4">
        <f t="shared" si="38"/>
        <v>617.29</v>
      </c>
      <c r="Z78" s="9">
        <v>1024.5</v>
      </c>
      <c r="AA78" s="10">
        <f t="shared" si="39"/>
        <v>60.252806246949731</v>
      </c>
      <c r="AB78" s="4">
        <v>717.15</v>
      </c>
      <c r="AC78" s="18">
        <f t="shared" si="40"/>
        <v>99.860000000000014</v>
      </c>
    </row>
    <row r="79" spans="11:29" x14ac:dyDescent="0.35">
      <c r="K79" s="92"/>
      <c r="L79" s="27">
        <v>14</v>
      </c>
      <c r="M79" s="11">
        <v>1.7172000000000001</v>
      </c>
      <c r="N79" s="4">
        <v>2396.7199999999998</v>
      </c>
      <c r="O79" s="4">
        <f t="shared" si="35"/>
        <v>679.51999999999975</v>
      </c>
      <c r="P79" s="9">
        <v>992.59999999999991</v>
      </c>
      <c r="Q79" s="10">
        <f t="shared" si="36"/>
        <v>68.458593592585117</v>
      </c>
      <c r="R79" s="4">
        <v>694.82</v>
      </c>
      <c r="S79" s="18">
        <f t="shared" si="37"/>
        <v>15.300000000000296</v>
      </c>
      <c r="U79" s="86"/>
      <c r="V79" s="8">
        <v>14</v>
      </c>
      <c r="W79" s="11">
        <v>1.7172000000000001</v>
      </c>
      <c r="X79" s="4">
        <v>2347.8000000000002</v>
      </c>
      <c r="Y79" s="4">
        <f t="shared" si="38"/>
        <v>630.60000000000014</v>
      </c>
      <c r="Z79" s="9">
        <v>992.59999999999991</v>
      </c>
      <c r="AA79" s="10">
        <f t="shared" si="39"/>
        <v>63.530122909530547</v>
      </c>
      <c r="AB79" s="4">
        <v>694.82</v>
      </c>
      <c r="AC79" s="18">
        <f t="shared" si="40"/>
        <v>64.219999999999914</v>
      </c>
    </row>
    <row r="80" spans="11:29" x14ac:dyDescent="0.35">
      <c r="K80" s="92"/>
      <c r="L80" s="27">
        <v>15</v>
      </c>
      <c r="M80" s="11">
        <v>1.5403</v>
      </c>
      <c r="N80" s="4">
        <v>2157.35</v>
      </c>
      <c r="O80" s="4">
        <f t="shared" si="35"/>
        <v>617.04999999999995</v>
      </c>
      <c r="P80" s="9">
        <v>929.9000000000002</v>
      </c>
      <c r="Q80" s="10">
        <f t="shared" si="36"/>
        <v>66.356597483600368</v>
      </c>
      <c r="R80" s="4">
        <v>650.93000000000018</v>
      </c>
      <c r="S80" s="18">
        <f t="shared" si="37"/>
        <v>33.880000000000223</v>
      </c>
      <c r="U80" s="86"/>
      <c r="V80" s="8">
        <v>15</v>
      </c>
      <c r="W80" s="11">
        <v>1.5403</v>
      </c>
      <c r="X80" s="4">
        <v>2098.11</v>
      </c>
      <c r="Y80" s="4">
        <f t="shared" si="38"/>
        <v>557.81000000000017</v>
      </c>
      <c r="Z80" s="9">
        <v>929.9000000000002</v>
      </c>
      <c r="AA80" s="10">
        <f t="shared" si="39"/>
        <v>59.986020002150774</v>
      </c>
      <c r="AB80" s="4">
        <v>650.93000000000018</v>
      </c>
      <c r="AC80" s="18">
        <f t="shared" si="40"/>
        <v>93.12</v>
      </c>
    </row>
    <row r="81" spans="11:29" x14ac:dyDescent="0.35">
      <c r="K81" s="92"/>
      <c r="L81" s="28">
        <v>16</v>
      </c>
      <c r="M81" s="19">
        <v>1.5101</v>
      </c>
      <c r="N81" s="20">
        <v>2155.63</v>
      </c>
      <c r="O81" s="20">
        <f t="shared" si="35"/>
        <v>645.5300000000002</v>
      </c>
      <c r="P81" s="21">
        <v>953.19999999999982</v>
      </c>
      <c r="Q81" s="22">
        <f t="shared" si="36"/>
        <v>67.722408728493534</v>
      </c>
      <c r="R81" s="20">
        <v>667.2399999999999</v>
      </c>
      <c r="S81" s="23">
        <f t="shared" si="37"/>
        <v>21.709999999999695</v>
      </c>
      <c r="U81" s="87"/>
      <c r="V81" s="28">
        <v>16</v>
      </c>
      <c r="W81" s="19">
        <v>1.5101</v>
      </c>
      <c r="X81" s="20">
        <v>2127.81</v>
      </c>
      <c r="Y81" s="20">
        <f t="shared" si="38"/>
        <v>617.71</v>
      </c>
      <c r="Z81" s="21">
        <v>953.19999999999982</v>
      </c>
      <c r="AA81" s="22">
        <f t="shared" si="39"/>
        <v>64.803818715904342</v>
      </c>
      <c r="AB81" s="20">
        <v>667.2399999999999</v>
      </c>
      <c r="AC81" s="23">
        <f t="shared" si="40"/>
        <v>49.529999999999859</v>
      </c>
    </row>
    <row r="82" spans="11:29" x14ac:dyDescent="0.35">
      <c r="K82" s="91">
        <v>0.60416666666666663</v>
      </c>
      <c r="L82" s="26">
        <v>1</v>
      </c>
      <c r="M82" s="13">
        <v>1.61</v>
      </c>
      <c r="N82" s="4">
        <v>2261.89</v>
      </c>
      <c r="O82" s="14">
        <f>N82-($M82*1000)</f>
        <v>651.88999999999987</v>
      </c>
      <c r="P82" s="15">
        <v>987.5</v>
      </c>
      <c r="Q82" s="16">
        <f>O82/$P82*100</f>
        <v>66.014177215189861</v>
      </c>
      <c r="R82" s="14">
        <v>691.25</v>
      </c>
      <c r="S82" s="17">
        <f>R82-O82</f>
        <v>39.360000000000127</v>
      </c>
      <c r="U82" s="86">
        <v>0.62916666666666665</v>
      </c>
      <c r="V82" s="8">
        <v>1</v>
      </c>
      <c r="W82" s="32">
        <v>1.61</v>
      </c>
      <c r="X82" s="4">
        <v>2234.91</v>
      </c>
      <c r="Y82" s="4">
        <f>X82-($M82*1000)</f>
        <v>624.90999999999985</v>
      </c>
      <c r="Z82" s="9">
        <v>987.5</v>
      </c>
      <c r="AA82" s="10">
        <f>Y82/$P82*100</f>
        <v>63.28202531645568</v>
      </c>
      <c r="AB82" s="4">
        <v>691.25</v>
      </c>
      <c r="AC82" s="18">
        <f>AB82-Y82</f>
        <v>66.340000000000146</v>
      </c>
    </row>
    <row r="83" spans="11:29" x14ac:dyDescent="0.35">
      <c r="K83" s="92"/>
      <c r="L83" s="27">
        <v>2</v>
      </c>
      <c r="M83" s="11">
        <v>1.7912999999999999</v>
      </c>
      <c r="N83" s="4">
        <v>2462.4699999999998</v>
      </c>
      <c r="O83" s="4">
        <f t="shared" ref="O83:O97" si="41">N83-($M83*1000)</f>
        <v>671.16999999999985</v>
      </c>
      <c r="P83" s="9">
        <v>1029.4000000000001</v>
      </c>
      <c r="Q83" s="10">
        <f t="shared" ref="Q83:Q97" si="42">O83/$P83*100</f>
        <v>65.20011657276082</v>
      </c>
      <c r="R83" s="4">
        <v>720.58</v>
      </c>
      <c r="S83" s="18">
        <f t="shared" ref="S83:S97" si="43">R83-O83</f>
        <v>49.410000000000196</v>
      </c>
      <c r="U83" s="86"/>
      <c r="V83" s="8">
        <v>2</v>
      </c>
      <c r="W83" s="11">
        <v>1.7912999999999999</v>
      </c>
      <c r="X83" s="4">
        <v>2428.61</v>
      </c>
      <c r="Y83" s="4">
        <f t="shared" ref="Y83:Y97" si="44">X83-($M83*1000)</f>
        <v>637.31000000000017</v>
      </c>
      <c r="Z83" s="9">
        <v>1029.4000000000001</v>
      </c>
      <c r="AA83" s="10">
        <f t="shared" ref="AA83:AA97" si="45">Y83/$P83*100</f>
        <v>61.910821837963873</v>
      </c>
      <c r="AB83" s="4">
        <v>720.58</v>
      </c>
      <c r="AC83" s="18">
        <f t="shared" ref="AC83:AC97" si="46">AB83-Y83</f>
        <v>83.269999999999868</v>
      </c>
    </row>
    <row r="84" spans="11:29" x14ac:dyDescent="0.35">
      <c r="K84" s="92"/>
      <c r="L84" s="27">
        <v>3</v>
      </c>
      <c r="M84" s="11">
        <v>1.5481</v>
      </c>
      <c r="N84" s="4">
        <v>2193.1799999999998</v>
      </c>
      <c r="O84" s="4">
        <f t="shared" si="41"/>
        <v>645.0799999999997</v>
      </c>
      <c r="P84" s="9">
        <v>1031.9000000000001</v>
      </c>
      <c r="Q84" s="10">
        <f t="shared" si="42"/>
        <v>62.513809477662527</v>
      </c>
      <c r="R84" s="4">
        <v>722.33</v>
      </c>
      <c r="S84" s="18">
        <f t="shared" si="43"/>
        <v>77.250000000000341</v>
      </c>
      <c r="U84" s="86"/>
      <c r="V84" s="8">
        <v>3</v>
      </c>
      <c r="W84" s="11">
        <v>1.5481</v>
      </c>
      <c r="X84" s="4">
        <v>2132.13</v>
      </c>
      <c r="Y84" s="4">
        <f t="shared" si="44"/>
        <v>584.03</v>
      </c>
      <c r="Z84" s="9">
        <v>1031.9000000000001</v>
      </c>
      <c r="AA84" s="10">
        <f t="shared" si="45"/>
        <v>56.597538521174528</v>
      </c>
      <c r="AB84" s="4">
        <v>722.33</v>
      </c>
      <c r="AC84" s="18">
        <f t="shared" si="46"/>
        <v>138.30000000000007</v>
      </c>
    </row>
    <row r="85" spans="11:29" x14ac:dyDescent="0.35">
      <c r="K85" s="92"/>
      <c r="L85" s="27">
        <v>4</v>
      </c>
      <c r="M85" s="11">
        <v>1.5491999999999999</v>
      </c>
      <c r="N85" s="4">
        <v>2224.52</v>
      </c>
      <c r="O85" s="4">
        <f t="shared" si="41"/>
        <v>675.32000000000016</v>
      </c>
      <c r="P85" s="9">
        <v>1060.1000000000004</v>
      </c>
      <c r="Q85" s="10">
        <f t="shared" si="42"/>
        <v>63.703424205263644</v>
      </c>
      <c r="R85" s="4">
        <v>742.07000000000028</v>
      </c>
      <c r="S85" s="18">
        <f t="shared" si="43"/>
        <v>66.750000000000114</v>
      </c>
      <c r="U85" s="86"/>
      <c r="V85" s="8">
        <v>4</v>
      </c>
      <c r="W85" s="11">
        <v>1.5491999999999999</v>
      </c>
      <c r="X85" s="4">
        <v>2156.84</v>
      </c>
      <c r="Y85" s="4">
        <f t="shared" si="44"/>
        <v>607.64000000000033</v>
      </c>
      <c r="Z85" s="9">
        <v>1060.1000000000004</v>
      </c>
      <c r="AA85" s="10">
        <f t="shared" si="45"/>
        <v>57.319120837656833</v>
      </c>
      <c r="AB85" s="4">
        <v>742.07000000000028</v>
      </c>
      <c r="AC85" s="18">
        <f t="shared" si="46"/>
        <v>134.42999999999995</v>
      </c>
    </row>
    <row r="86" spans="11:29" x14ac:dyDescent="0.35">
      <c r="K86" s="92"/>
      <c r="L86" s="27">
        <v>5</v>
      </c>
      <c r="M86" s="11">
        <v>1.7896000000000001</v>
      </c>
      <c r="N86" s="4">
        <v>2490.42</v>
      </c>
      <c r="O86" s="4">
        <f t="shared" si="41"/>
        <v>700.81999999999994</v>
      </c>
      <c r="P86" s="9">
        <v>1079.1999999999998</v>
      </c>
      <c r="Q86" s="10">
        <f t="shared" si="42"/>
        <v>64.938843587842854</v>
      </c>
      <c r="R86" s="4">
        <v>755.43999999999983</v>
      </c>
      <c r="S86" s="18">
        <f t="shared" si="43"/>
        <v>54.619999999999891</v>
      </c>
      <c r="U86" s="86"/>
      <c r="V86" s="8">
        <v>5</v>
      </c>
      <c r="W86" s="11">
        <v>1.7896000000000001</v>
      </c>
      <c r="X86" s="4">
        <v>2447.71</v>
      </c>
      <c r="Y86" s="4">
        <f t="shared" si="44"/>
        <v>658.1099999999999</v>
      </c>
      <c r="Z86" s="9">
        <v>1079.1999999999998</v>
      </c>
      <c r="AA86" s="10">
        <f t="shared" si="45"/>
        <v>60.981282431430692</v>
      </c>
      <c r="AB86" s="4">
        <v>755.43999999999983</v>
      </c>
      <c r="AC86" s="18">
        <f t="shared" si="46"/>
        <v>97.329999999999927</v>
      </c>
    </row>
    <row r="87" spans="11:29" x14ac:dyDescent="0.35">
      <c r="K87" s="92"/>
      <c r="L87" s="27">
        <v>6</v>
      </c>
      <c r="M87" s="11">
        <v>1.8140000000000001</v>
      </c>
      <c r="N87" s="4">
        <v>2485.84</v>
      </c>
      <c r="O87" s="4">
        <f t="shared" si="41"/>
        <v>671.84000000000015</v>
      </c>
      <c r="P87" s="9">
        <v>1036.2999999999997</v>
      </c>
      <c r="Q87" s="10">
        <f t="shared" si="42"/>
        <v>64.830647495898901</v>
      </c>
      <c r="R87" s="4">
        <v>725.40999999999985</v>
      </c>
      <c r="S87" s="18">
        <f t="shared" si="43"/>
        <v>53.569999999999709</v>
      </c>
      <c r="U87" s="86"/>
      <c r="V87" s="8">
        <v>6</v>
      </c>
      <c r="W87" s="11">
        <v>1.8140000000000001</v>
      </c>
      <c r="X87" s="4">
        <v>2396.0300000000002</v>
      </c>
      <c r="Y87" s="4">
        <f t="shared" si="44"/>
        <v>582.0300000000002</v>
      </c>
      <c r="Z87" s="9">
        <v>1036.2999999999997</v>
      </c>
      <c r="AA87" s="10">
        <f t="shared" si="45"/>
        <v>56.16423815497447</v>
      </c>
      <c r="AB87" s="4">
        <v>725.40999999999985</v>
      </c>
      <c r="AC87" s="18">
        <f t="shared" si="46"/>
        <v>143.37999999999965</v>
      </c>
    </row>
    <row r="88" spans="11:29" x14ac:dyDescent="0.35">
      <c r="K88" s="92"/>
      <c r="L88" s="27">
        <v>7</v>
      </c>
      <c r="M88" s="11">
        <v>1.6156999999999999</v>
      </c>
      <c r="N88" s="4">
        <v>0</v>
      </c>
      <c r="O88" s="4">
        <f t="shared" si="41"/>
        <v>-1615.6999999999998</v>
      </c>
      <c r="P88" s="9">
        <v>972.79999999999984</v>
      </c>
      <c r="Q88" s="10">
        <f t="shared" si="42"/>
        <v>-166.08758223684214</v>
      </c>
      <c r="R88" s="4">
        <v>680.95999999999981</v>
      </c>
      <c r="S88" s="18">
        <f t="shared" si="43"/>
        <v>2296.66</v>
      </c>
      <c r="U88" s="86"/>
      <c r="V88" s="8">
        <v>7</v>
      </c>
      <c r="W88" s="11">
        <v>1.6156999999999999</v>
      </c>
      <c r="X88" s="4">
        <v>0</v>
      </c>
      <c r="Y88" s="4">
        <f t="shared" si="44"/>
        <v>-1615.6999999999998</v>
      </c>
      <c r="Z88" s="9">
        <v>972.79999999999984</v>
      </c>
      <c r="AA88" s="10">
        <f t="shared" si="45"/>
        <v>-166.08758223684214</v>
      </c>
      <c r="AB88" s="4">
        <v>680.95999999999981</v>
      </c>
      <c r="AC88" s="18">
        <f t="shared" si="46"/>
        <v>2296.66</v>
      </c>
    </row>
    <row r="89" spans="11:29" x14ac:dyDescent="0.35">
      <c r="K89" s="92"/>
      <c r="L89" s="29">
        <v>8</v>
      </c>
      <c r="M89" s="11">
        <v>1.6026</v>
      </c>
      <c r="N89" s="4">
        <v>2342.63</v>
      </c>
      <c r="O89" s="4">
        <f t="shared" si="41"/>
        <v>740.03</v>
      </c>
      <c r="P89" s="9">
        <v>1080.7999999999997</v>
      </c>
      <c r="Q89" s="10">
        <f t="shared" si="42"/>
        <v>68.470577350111043</v>
      </c>
      <c r="R89" s="4">
        <v>756.55999999999983</v>
      </c>
      <c r="S89" s="18">
        <f t="shared" si="43"/>
        <v>16.529999999999859</v>
      </c>
      <c r="U89" s="86"/>
      <c r="V89" s="8">
        <v>8</v>
      </c>
      <c r="W89" s="11">
        <v>1.6026</v>
      </c>
      <c r="X89" s="4">
        <v>2201.8000000000002</v>
      </c>
      <c r="Y89" s="4">
        <f t="shared" si="44"/>
        <v>599.20000000000005</v>
      </c>
      <c r="Z89" s="9">
        <v>1080.7999999999997</v>
      </c>
      <c r="AA89" s="10">
        <f t="shared" si="45"/>
        <v>55.44041450777204</v>
      </c>
      <c r="AB89" s="4">
        <v>756.55999999999983</v>
      </c>
      <c r="AC89" s="18">
        <f t="shared" si="46"/>
        <v>157.35999999999979</v>
      </c>
    </row>
    <row r="90" spans="11:29" x14ac:dyDescent="0.35">
      <c r="K90" s="92"/>
      <c r="L90" s="27">
        <v>9</v>
      </c>
      <c r="M90" s="11">
        <v>1.5497000000000001</v>
      </c>
      <c r="N90" s="4">
        <v>2248.1999999999998</v>
      </c>
      <c r="O90" s="4">
        <f t="shared" si="41"/>
        <v>698.49999999999977</v>
      </c>
      <c r="P90" s="9">
        <v>1069.3000000000002</v>
      </c>
      <c r="Q90" s="10">
        <f t="shared" si="42"/>
        <v>65.323108575703699</v>
      </c>
      <c r="R90" s="4">
        <v>748.5100000000001</v>
      </c>
      <c r="S90" s="18">
        <f t="shared" si="43"/>
        <v>50.010000000000332</v>
      </c>
      <c r="U90" s="86"/>
      <c r="V90" s="8">
        <v>9</v>
      </c>
      <c r="W90" s="11">
        <v>1.5497000000000001</v>
      </c>
      <c r="X90" s="4">
        <v>2187.11</v>
      </c>
      <c r="Y90" s="4">
        <f t="shared" si="44"/>
        <v>637.41000000000008</v>
      </c>
      <c r="Z90" s="9">
        <v>1069.3000000000002</v>
      </c>
      <c r="AA90" s="10">
        <f t="shared" si="45"/>
        <v>59.610025250163659</v>
      </c>
      <c r="AB90" s="4">
        <v>748.5100000000001</v>
      </c>
      <c r="AC90" s="18">
        <f t="shared" si="46"/>
        <v>111.10000000000002</v>
      </c>
    </row>
    <row r="91" spans="11:29" x14ac:dyDescent="0.35">
      <c r="K91" s="92"/>
      <c r="L91" s="27">
        <v>10</v>
      </c>
      <c r="M91" s="11">
        <v>1.6895000000000002</v>
      </c>
      <c r="N91" s="4">
        <v>2329.13</v>
      </c>
      <c r="O91" s="4">
        <f t="shared" si="41"/>
        <v>639.62999999999988</v>
      </c>
      <c r="P91" s="9">
        <v>938.49999999999989</v>
      </c>
      <c r="Q91" s="10">
        <f t="shared" si="42"/>
        <v>68.15450186467767</v>
      </c>
      <c r="R91" s="4">
        <v>656.94999999999982</v>
      </c>
      <c r="S91" s="18">
        <f t="shared" si="43"/>
        <v>17.319999999999936</v>
      </c>
      <c r="U91" s="86"/>
      <c r="V91" s="8">
        <v>10</v>
      </c>
      <c r="W91" s="11">
        <v>1.6895000000000002</v>
      </c>
      <c r="X91" s="4">
        <v>2299.9299999999998</v>
      </c>
      <c r="Y91" s="4">
        <f t="shared" si="44"/>
        <v>610.42999999999961</v>
      </c>
      <c r="Z91" s="9">
        <v>938.49999999999989</v>
      </c>
      <c r="AA91" s="10">
        <f t="shared" si="45"/>
        <v>65.043153969099592</v>
      </c>
      <c r="AB91" s="4">
        <v>656.94999999999982</v>
      </c>
      <c r="AC91" s="18">
        <f t="shared" si="46"/>
        <v>46.520000000000209</v>
      </c>
    </row>
    <row r="92" spans="11:29" x14ac:dyDescent="0.35">
      <c r="K92" s="92"/>
      <c r="L92" s="27">
        <v>11</v>
      </c>
      <c r="M92" s="11">
        <v>1.5619000000000001</v>
      </c>
      <c r="N92" s="4">
        <v>2251.73</v>
      </c>
      <c r="O92" s="4">
        <f t="shared" si="41"/>
        <v>689.82999999999993</v>
      </c>
      <c r="P92" s="9">
        <v>1079.8000000000002</v>
      </c>
      <c r="Q92" s="10">
        <f t="shared" si="42"/>
        <v>63.884978699759202</v>
      </c>
      <c r="R92" s="4">
        <v>755.86000000000013</v>
      </c>
      <c r="S92" s="18">
        <f t="shared" si="43"/>
        <v>66.0300000000002</v>
      </c>
      <c r="U92" s="86"/>
      <c r="V92" s="8">
        <v>11</v>
      </c>
      <c r="W92" s="11">
        <v>1.5619000000000001</v>
      </c>
      <c r="X92" s="4">
        <v>2194.04</v>
      </c>
      <c r="Y92" s="4">
        <f t="shared" si="44"/>
        <v>632.13999999999987</v>
      </c>
      <c r="Z92" s="9">
        <v>1079.8000000000002</v>
      </c>
      <c r="AA92" s="10">
        <f t="shared" si="45"/>
        <v>58.542322652343003</v>
      </c>
      <c r="AB92" s="4">
        <v>755.86000000000013</v>
      </c>
      <c r="AC92" s="18">
        <f t="shared" si="46"/>
        <v>123.72000000000025</v>
      </c>
    </row>
    <row r="93" spans="11:29" x14ac:dyDescent="0.35">
      <c r="K93" s="92"/>
      <c r="L93" s="27">
        <v>12</v>
      </c>
      <c r="M93" s="11">
        <v>1.5084</v>
      </c>
      <c r="N93" s="4">
        <v>2138.92</v>
      </c>
      <c r="O93" s="4">
        <f t="shared" si="41"/>
        <v>630.52000000000021</v>
      </c>
      <c r="P93" s="9">
        <v>929.9</v>
      </c>
      <c r="Q93" s="10">
        <f t="shared" si="42"/>
        <v>67.80514033767075</v>
      </c>
      <c r="R93" s="4">
        <v>650.92999999999995</v>
      </c>
      <c r="S93" s="18">
        <f t="shared" si="43"/>
        <v>20.409999999999741</v>
      </c>
      <c r="U93" s="86"/>
      <c r="V93" s="8">
        <v>12</v>
      </c>
      <c r="W93" s="11">
        <v>1.5084</v>
      </c>
      <c r="X93" s="4">
        <v>2127.88</v>
      </c>
      <c r="Y93" s="4">
        <f t="shared" si="44"/>
        <v>619.48000000000025</v>
      </c>
      <c r="Z93" s="9">
        <v>929.9</v>
      </c>
      <c r="AA93" s="10">
        <f t="shared" si="45"/>
        <v>66.617915904936041</v>
      </c>
      <c r="AB93" s="4">
        <v>650.92999999999995</v>
      </c>
      <c r="AC93" s="18">
        <f t="shared" si="46"/>
        <v>31.449999999999704</v>
      </c>
    </row>
    <row r="94" spans="11:29" x14ac:dyDescent="0.35">
      <c r="K94" s="92"/>
      <c r="L94" s="27">
        <v>13</v>
      </c>
      <c r="M94" s="11">
        <v>1.587</v>
      </c>
      <c r="N94" s="4">
        <v>2236.58</v>
      </c>
      <c r="O94" s="4">
        <f t="shared" si="41"/>
        <v>649.57999999999993</v>
      </c>
      <c r="P94" s="9">
        <v>1024.5</v>
      </c>
      <c r="Q94" s="10">
        <f t="shared" si="42"/>
        <v>63.404587603709118</v>
      </c>
      <c r="R94" s="4">
        <v>717.15</v>
      </c>
      <c r="S94" s="18">
        <f t="shared" si="43"/>
        <v>67.57000000000005</v>
      </c>
      <c r="U94" s="86"/>
      <c r="V94" s="8">
        <v>13</v>
      </c>
      <c r="W94" s="11">
        <v>1.587</v>
      </c>
      <c r="X94" s="4">
        <v>2185.67</v>
      </c>
      <c r="Y94" s="4">
        <f t="shared" si="44"/>
        <v>598.67000000000007</v>
      </c>
      <c r="Z94" s="9">
        <v>1024.5</v>
      </c>
      <c r="AA94" s="10">
        <f t="shared" si="45"/>
        <v>58.43533430941924</v>
      </c>
      <c r="AB94" s="4">
        <v>717.15</v>
      </c>
      <c r="AC94" s="18">
        <f t="shared" si="46"/>
        <v>118.4799999999999</v>
      </c>
    </row>
    <row r="95" spans="11:29" x14ac:dyDescent="0.35">
      <c r="K95" s="92"/>
      <c r="L95" s="27">
        <v>14</v>
      </c>
      <c r="M95" s="11">
        <v>1.7172000000000001</v>
      </c>
      <c r="N95" s="4">
        <v>2378.4899999999998</v>
      </c>
      <c r="O95" s="4">
        <f t="shared" si="41"/>
        <v>661.28999999999974</v>
      </c>
      <c r="P95" s="9">
        <v>992.59999999999991</v>
      </c>
      <c r="Q95" s="10">
        <f t="shared" si="42"/>
        <v>66.622002820874442</v>
      </c>
      <c r="R95" s="4">
        <v>694.82</v>
      </c>
      <c r="S95" s="18">
        <f t="shared" si="43"/>
        <v>33.530000000000314</v>
      </c>
      <c r="U95" s="86"/>
      <c r="V95" s="8">
        <v>14</v>
      </c>
      <c r="W95" s="11">
        <v>1.7172000000000001</v>
      </c>
      <c r="X95" s="4">
        <v>2338.5700000000002</v>
      </c>
      <c r="Y95" s="4">
        <f t="shared" si="44"/>
        <v>621.37000000000012</v>
      </c>
      <c r="Z95" s="9">
        <v>992.59999999999991</v>
      </c>
      <c r="AA95" s="10">
        <f t="shared" si="45"/>
        <v>62.6002417892404</v>
      </c>
      <c r="AB95" s="4">
        <v>694.82</v>
      </c>
      <c r="AC95" s="18">
        <f t="shared" si="46"/>
        <v>73.449999999999932</v>
      </c>
    </row>
    <row r="96" spans="11:29" x14ac:dyDescent="0.35">
      <c r="K96" s="92"/>
      <c r="L96" s="27">
        <v>15</v>
      </c>
      <c r="M96" s="11">
        <v>1.5403</v>
      </c>
      <c r="N96" s="4">
        <v>2129.83</v>
      </c>
      <c r="O96" s="4">
        <f t="shared" si="41"/>
        <v>589.53</v>
      </c>
      <c r="P96" s="9">
        <v>929.9000000000002</v>
      </c>
      <c r="Q96" s="10">
        <f t="shared" si="42"/>
        <v>63.39713947736314</v>
      </c>
      <c r="R96" s="4">
        <v>650.93000000000018</v>
      </c>
      <c r="S96" s="18">
        <f t="shared" si="43"/>
        <v>61.400000000000205</v>
      </c>
      <c r="U96" s="86"/>
      <c r="V96" s="8">
        <v>15</v>
      </c>
      <c r="W96" s="11">
        <v>1.5403</v>
      </c>
      <c r="X96" s="4">
        <v>2082.2600000000002</v>
      </c>
      <c r="Y96" s="4">
        <f t="shared" si="44"/>
        <v>541.96000000000026</v>
      </c>
      <c r="Z96" s="9">
        <v>929.9000000000002</v>
      </c>
      <c r="AA96" s="10">
        <f t="shared" si="45"/>
        <v>58.281535648994534</v>
      </c>
      <c r="AB96" s="4">
        <v>650.93000000000018</v>
      </c>
      <c r="AC96" s="18">
        <f t="shared" si="46"/>
        <v>108.96999999999991</v>
      </c>
    </row>
    <row r="97" spans="11:29" x14ac:dyDescent="0.35">
      <c r="K97" s="92"/>
      <c r="L97" s="28">
        <v>16</v>
      </c>
      <c r="M97" s="19">
        <v>1.5101</v>
      </c>
      <c r="N97" s="4">
        <v>2137.77</v>
      </c>
      <c r="O97" s="20">
        <f t="shared" si="41"/>
        <v>627.67000000000007</v>
      </c>
      <c r="P97" s="21">
        <v>953.19999999999982</v>
      </c>
      <c r="Q97" s="22">
        <f t="shared" si="42"/>
        <v>65.848720100713408</v>
      </c>
      <c r="R97" s="20">
        <v>667.2399999999999</v>
      </c>
      <c r="S97" s="23">
        <f t="shared" si="43"/>
        <v>39.569999999999823</v>
      </c>
      <c r="U97" s="87"/>
      <c r="V97" s="28">
        <v>16</v>
      </c>
      <c r="W97" s="19">
        <v>1.5101</v>
      </c>
      <c r="X97" s="20">
        <v>2118.4699999999998</v>
      </c>
      <c r="Y97" s="20">
        <f t="shared" si="44"/>
        <v>608.36999999999989</v>
      </c>
      <c r="Z97" s="21">
        <v>953.19999999999982</v>
      </c>
      <c r="AA97" s="22">
        <f t="shared" si="45"/>
        <v>63.823961393201841</v>
      </c>
      <c r="AB97" s="20">
        <v>667.2399999999999</v>
      </c>
      <c r="AC97" s="23">
        <f t="shared" si="46"/>
        <v>58.870000000000005</v>
      </c>
    </row>
    <row r="98" spans="11:29" x14ac:dyDescent="0.35">
      <c r="K98" s="91">
        <v>0.6333333333333333</v>
      </c>
      <c r="L98" s="26">
        <v>1</v>
      </c>
      <c r="M98" s="13">
        <v>1.61</v>
      </c>
      <c r="N98" s="14">
        <v>2252.77</v>
      </c>
      <c r="O98" s="14">
        <f>N98-($M98*1000)</f>
        <v>642.77</v>
      </c>
      <c r="P98" s="15">
        <v>987.5</v>
      </c>
      <c r="Q98" s="16">
        <f>O98/$P98*100</f>
        <v>65.090632911392404</v>
      </c>
      <c r="R98" s="14">
        <v>691.25</v>
      </c>
      <c r="S98" s="17">
        <f>R98-O98</f>
        <v>48.480000000000018</v>
      </c>
    </row>
    <row r="99" spans="11:29" x14ac:dyDescent="0.35">
      <c r="K99" s="92"/>
      <c r="L99" s="27">
        <v>2</v>
      </c>
      <c r="M99" s="11">
        <v>1.7912999999999999</v>
      </c>
      <c r="N99" s="4">
        <v>2450.9899999999998</v>
      </c>
      <c r="O99" s="4">
        <f t="shared" ref="O99:O113" si="47">N99-($M99*1000)</f>
        <v>659.68999999999983</v>
      </c>
      <c r="P99" s="9">
        <v>1029.4000000000001</v>
      </c>
      <c r="Q99" s="10">
        <f t="shared" ref="Q99:Q113" si="48">O99/$P99*100</f>
        <v>64.084903827472289</v>
      </c>
      <c r="R99" s="4">
        <v>720.58</v>
      </c>
      <c r="S99" s="18">
        <f t="shared" ref="S99:S113" si="49">R99-O99</f>
        <v>60.890000000000214</v>
      </c>
    </row>
    <row r="100" spans="11:29" x14ac:dyDescent="0.35">
      <c r="K100" s="92"/>
      <c r="L100" s="27">
        <v>3</v>
      </c>
      <c r="M100" s="11">
        <v>1.5481</v>
      </c>
      <c r="N100" s="4">
        <v>2176.62</v>
      </c>
      <c r="O100" s="4">
        <f t="shared" si="47"/>
        <v>628.51999999999975</v>
      </c>
      <c r="P100" s="9">
        <v>1031.9000000000001</v>
      </c>
      <c r="Q100" s="10">
        <f t="shared" si="48"/>
        <v>60.909002810349811</v>
      </c>
      <c r="R100" s="4">
        <v>722.33</v>
      </c>
      <c r="S100" s="18">
        <f t="shared" si="49"/>
        <v>93.810000000000286</v>
      </c>
    </row>
    <row r="101" spans="11:29" x14ac:dyDescent="0.35">
      <c r="K101" s="92"/>
      <c r="L101" s="27">
        <v>4</v>
      </c>
      <c r="M101" s="11">
        <v>1.5491999999999999</v>
      </c>
      <c r="N101" s="4">
        <v>2209.19</v>
      </c>
      <c r="O101" s="4">
        <f t="shared" si="47"/>
        <v>659.99000000000024</v>
      </c>
      <c r="P101" s="9">
        <v>1060.1000000000004</v>
      </c>
      <c r="Q101" s="10">
        <f t="shared" si="48"/>
        <v>62.257334213753424</v>
      </c>
      <c r="R101" s="4">
        <v>742.07000000000028</v>
      </c>
      <c r="S101" s="18">
        <f t="shared" si="49"/>
        <v>82.080000000000041</v>
      </c>
    </row>
    <row r="102" spans="11:29" x14ac:dyDescent="0.35">
      <c r="K102" s="92"/>
      <c r="L102" s="27">
        <v>5</v>
      </c>
      <c r="M102" s="11">
        <v>1.7896000000000001</v>
      </c>
      <c r="N102" s="4">
        <v>2474.8000000000002</v>
      </c>
      <c r="O102" s="4">
        <f t="shared" si="47"/>
        <v>685.2</v>
      </c>
      <c r="P102" s="9">
        <v>1079.1999999999998</v>
      </c>
      <c r="Q102" s="10">
        <f t="shared" si="48"/>
        <v>63.491475166790238</v>
      </c>
      <c r="R102" s="4">
        <v>755.43999999999983</v>
      </c>
      <c r="S102" s="18">
        <f t="shared" si="49"/>
        <v>70.239999999999782</v>
      </c>
    </row>
    <row r="103" spans="11:29" x14ac:dyDescent="0.35">
      <c r="K103" s="92"/>
      <c r="L103" s="27">
        <v>6</v>
      </c>
      <c r="M103" s="11">
        <v>1.8140000000000001</v>
      </c>
      <c r="N103" s="4">
        <v>2476.3200000000002</v>
      </c>
      <c r="O103" s="4">
        <f t="shared" si="47"/>
        <v>662.32000000000016</v>
      </c>
      <c r="P103" s="9">
        <v>1036.2999999999997</v>
      </c>
      <c r="Q103" s="10">
        <f t="shared" si="48"/>
        <v>63.911994596159452</v>
      </c>
      <c r="R103" s="4">
        <v>725.40999999999985</v>
      </c>
      <c r="S103" s="18">
        <f t="shared" si="49"/>
        <v>63.089999999999691</v>
      </c>
    </row>
    <row r="104" spans="11:29" x14ac:dyDescent="0.35">
      <c r="K104" s="92"/>
      <c r="L104" s="27">
        <v>7</v>
      </c>
      <c r="M104" s="11">
        <v>1.6156999999999999</v>
      </c>
      <c r="N104" s="4">
        <v>0</v>
      </c>
      <c r="O104" s="4">
        <f t="shared" si="47"/>
        <v>-1615.6999999999998</v>
      </c>
      <c r="P104" s="9">
        <v>972.79999999999984</v>
      </c>
      <c r="Q104" s="10">
        <f t="shared" si="48"/>
        <v>-166.08758223684214</v>
      </c>
      <c r="R104" s="4">
        <v>680.95999999999981</v>
      </c>
      <c r="S104" s="18">
        <f t="shared" si="49"/>
        <v>2296.66</v>
      </c>
    </row>
    <row r="105" spans="11:29" x14ac:dyDescent="0.35">
      <c r="K105" s="92"/>
      <c r="L105" s="29">
        <v>8</v>
      </c>
      <c r="M105" s="11">
        <v>1.6026</v>
      </c>
      <c r="N105" s="4">
        <v>2323.64</v>
      </c>
      <c r="O105" s="4">
        <f t="shared" si="47"/>
        <v>721.03999999999974</v>
      </c>
      <c r="P105" s="9">
        <v>1080.7999999999997</v>
      </c>
      <c r="Q105" s="10">
        <f t="shared" si="48"/>
        <v>66.71354552183567</v>
      </c>
      <c r="R105" s="4">
        <v>756.55999999999983</v>
      </c>
      <c r="S105" s="18">
        <f t="shared" si="49"/>
        <v>35.520000000000095</v>
      </c>
    </row>
    <row r="106" spans="11:29" x14ac:dyDescent="0.35">
      <c r="K106" s="92"/>
      <c r="L106" s="27">
        <v>9</v>
      </c>
      <c r="M106" s="11">
        <v>1.5497000000000001</v>
      </c>
      <c r="N106" s="4">
        <v>2224.7800000000002</v>
      </c>
      <c r="O106" s="4">
        <f t="shared" si="47"/>
        <v>675.08000000000015</v>
      </c>
      <c r="P106" s="9">
        <v>1069.3000000000002</v>
      </c>
      <c r="Q106" s="10">
        <f t="shared" si="48"/>
        <v>63.132890676143269</v>
      </c>
      <c r="R106" s="4">
        <v>748.5100000000001</v>
      </c>
      <c r="S106" s="18">
        <f t="shared" si="49"/>
        <v>73.42999999999995</v>
      </c>
    </row>
    <row r="107" spans="11:29" x14ac:dyDescent="0.35">
      <c r="K107" s="92"/>
      <c r="L107" s="27">
        <v>10</v>
      </c>
      <c r="M107" s="11">
        <v>1.6895000000000002</v>
      </c>
      <c r="N107" s="4">
        <v>2321.71</v>
      </c>
      <c r="O107" s="4">
        <f t="shared" si="47"/>
        <v>632.20999999999981</v>
      </c>
      <c r="P107" s="9">
        <v>938.49999999999989</v>
      </c>
      <c r="Q107" s="10">
        <f t="shared" si="48"/>
        <v>67.363878529568439</v>
      </c>
      <c r="R107" s="4">
        <v>656.94999999999982</v>
      </c>
      <c r="S107" s="18">
        <f t="shared" si="49"/>
        <v>24.740000000000009</v>
      </c>
    </row>
    <row r="108" spans="11:29" x14ac:dyDescent="0.35">
      <c r="K108" s="92"/>
      <c r="L108" s="27">
        <v>11</v>
      </c>
      <c r="M108" s="11">
        <v>1.5619000000000001</v>
      </c>
      <c r="N108" s="4">
        <v>2234.1999999999998</v>
      </c>
      <c r="O108" s="4">
        <f t="shared" si="47"/>
        <v>672.29999999999973</v>
      </c>
      <c r="P108" s="9">
        <v>1079.8000000000002</v>
      </c>
      <c r="Q108" s="10">
        <f t="shared" si="48"/>
        <v>62.261529912946813</v>
      </c>
      <c r="R108" s="4">
        <v>755.86000000000013</v>
      </c>
      <c r="S108" s="18">
        <f t="shared" si="49"/>
        <v>83.5600000000004</v>
      </c>
    </row>
    <row r="109" spans="11:29" x14ac:dyDescent="0.35">
      <c r="K109" s="92"/>
      <c r="L109" s="27">
        <v>12</v>
      </c>
      <c r="M109" s="11">
        <v>1.5084</v>
      </c>
      <c r="N109" s="4">
        <v>2138.0700000000002</v>
      </c>
      <c r="O109" s="4">
        <f t="shared" si="47"/>
        <v>629.6700000000003</v>
      </c>
      <c r="P109" s="9">
        <v>929.9</v>
      </c>
      <c r="Q109" s="10">
        <f t="shared" si="48"/>
        <v>67.713732659425773</v>
      </c>
      <c r="R109" s="4">
        <v>650.92999999999995</v>
      </c>
      <c r="S109" s="18">
        <f t="shared" si="49"/>
        <v>21.25999999999965</v>
      </c>
    </row>
    <row r="110" spans="11:29" x14ac:dyDescent="0.35">
      <c r="K110" s="92"/>
      <c r="L110" s="27">
        <v>13</v>
      </c>
      <c r="M110" s="11">
        <v>1.587</v>
      </c>
      <c r="N110" s="4">
        <v>2218.1999999999998</v>
      </c>
      <c r="O110" s="4">
        <f t="shared" si="47"/>
        <v>631.19999999999982</v>
      </c>
      <c r="P110" s="9">
        <v>1024.5</v>
      </c>
      <c r="Q110" s="10">
        <f t="shared" si="48"/>
        <v>61.610541727672022</v>
      </c>
      <c r="R110" s="4">
        <v>717.15</v>
      </c>
      <c r="S110" s="18">
        <f t="shared" si="49"/>
        <v>85.950000000000159</v>
      </c>
    </row>
    <row r="111" spans="11:29" x14ac:dyDescent="0.35">
      <c r="K111" s="92"/>
      <c r="L111" s="27">
        <v>14</v>
      </c>
      <c r="M111" s="11">
        <v>1.7172000000000001</v>
      </c>
      <c r="N111" s="4">
        <v>2369.5700000000002</v>
      </c>
      <c r="O111" s="4">
        <f t="shared" si="47"/>
        <v>652.37000000000012</v>
      </c>
      <c r="P111" s="9">
        <v>992.59999999999991</v>
      </c>
      <c r="Q111" s="10">
        <f t="shared" si="48"/>
        <v>65.723352810799938</v>
      </c>
      <c r="R111" s="4">
        <v>694.82</v>
      </c>
      <c r="S111" s="18">
        <f t="shared" si="49"/>
        <v>42.449999999999932</v>
      </c>
    </row>
    <row r="112" spans="11:29" x14ac:dyDescent="0.35">
      <c r="K112" s="92"/>
      <c r="L112" s="27">
        <v>15</v>
      </c>
      <c r="M112" s="11">
        <v>1.5403</v>
      </c>
      <c r="N112" s="4">
        <v>2112.4499999999998</v>
      </c>
      <c r="O112" s="4">
        <f t="shared" si="47"/>
        <v>572.14999999999986</v>
      </c>
      <c r="P112" s="9">
        <v>929.9000000000002</v>
      </c>
      <c r="Q112" s="10">
        <f t="shared" si="48"/>
        <v>61.528121303365921</v>
      </c>
      <c r="R112" s="4">
        <v>650.93000000000018</v>
      </c>
      <c r="S112" s="18">
        <f t="shared" si="49"/>
        <v>78.780000000000314</v>
      </c>
    </row>
    <row r="113" spans="11:19" x14ac:dyDescent="0.35">
      <c r="K113" s="92"/>
      <c r="L113" s="28">
        <v>16</v>
      </c>
      <c r="M113" s="19">
        <v>1.5101</v>
      </c>
      <c r="N113" s="20">
        <v>2128.12</v>
      </c>
      <c r="O113" s="20">
        <f t="shared" si="47"/>
        <v>618.02</v>
      </c>
      <c r="P113" s="21">
        <v>953.19999999999982</v>
      </c>
      <c r="Q113" s="22">
        <f t="shared" si="48"/>
        <v>64.836340746957617</v>
      </c>
      <c r="R113" s="20">
        <v>667.2399999999999</v>
      </c>
      <c r="S113" s="23">
        <f t="shared" si="49"/>
        <v>49.219999999999914</v>
      </c>
    </row>
  </sheetData>
  <mergeCells count="16">
    <mergeCell ref="K98:K113"/>
    <mergeCell ref="K2:K17"/>
    <mergeCell ref="K18:K33"/>
    <mergeCell ref="K34:K49"/>
    <mergeCell ref="K50:K65"/>
    <mergeCell ref="K66:K81"/>
    <mergeCell ref="U66:U81"/>
    <mergeCell ref="U82:U97"/>
    <mergeCell ref="U2:U17"/>
    <mergeCell ref="C26:H26"/>
    <mergeCell ref="C21:H21"/>
    <mergeCell ref="U18:U33"/>
    <mergeCell ref="U34:U49"/>
    <mergeCell ref="U50:U65"/>
    <mergeCell ref="K82:K97"/>
    <mergeCell ref="C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A582-CD43-4D3F-9A02-4257524D53E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DC6C-9511-4EB4-94B3-E5E08382C22B}">
  <dimension ref="A1:N18"/>
  <sheetViews>
    <sheetView workbookViewId="0">
      <selection activeCell="C2" sqref="C2:C17"/>
    </sheetView>
  </sheetViews>
  <sheetFormatPr defaultRowHeight="14.5" x14ac:dyDescent="0.35"/>
  <cols>
    <col min="4" max="4" width="23.7265625" bestFit="1" customWidth="1"/>
    <col min="5" max="5" width="32.54296875" bestFit="1" customWidth="1"/>
    <col min="6" max="6" width="33.26953125" bestFit="1" customWidth="1"/>
    <col min="7" max="7" width="12.453125" bestFit="1" customWidth="1"/>
    <col min="8" max="8" width="22.1796875" bestFit="1" customWidth="1"/>
    <col min="9" max="9" width="10.453125" bestFit="1" customWidth="1"/>
    <col min="10" max="10" width="10.453125" customWidth="1"/>
    <col min="11" max="11" width="8.453125" bestFit="1" customWidth="1"/>
    <col min="12" max="12" width="13.453125" bestFit="1" customWidth="1"/>
    <col min="13" max="13" width="22.1796875" bestFit="1" customWidth="1"/>
    <col min="14" max="14" width="10.453125" bestFit="1" customWidth="1"/>
  </cols>
  <sheetData>
    <row r="1" spans="1:14" x14ac:dyDescent="0.35">
      <c r="A1" s="78" t="s">
        <v>18</v>
      </c>
      <c r="B1" s="78" t="s">
        <v>19</v>
      </c>
      <c r="C1" s="78" t="s">
        <v>13</v>
      </c>
      <c r="D1" s="78" t="s">
        <v>25</v>
      </c>
      <c r="E1" s="78" t="s">
        <v>24</v>
      </c>
      <c r="F1" s="78" t="s">
        <v>21</v>
      </c>
      <c r="G1" s="78" t="s">
        <v>22</v>
      </c>
      <c r="H1" s="78" t="s">
        <v>23</v>
      </c>
      <c r="I1" s="78" t="s">
        <v>26</v>
      </c>
      <c r="J1" s="82"/>
      <c r="K1" s="78" t="s">
        <v>20</v>
      </c>
      <c r="L1" s="78" t="s">
        <v>27</v>
      </c>
      <c r="M1" s="78" t="s">
        <v>23</v>
      </c>
      <c r="N1" s="78" t="s">
        <v>26</v>
      </c>
    </row>
    <row r="2" spans="1:14" x14ac:dyDescent="0.35">
      <c r="A2" s="75">
        <v>42491</v>
      </c>
      <c r="B2" s="74">
        <v>0.34027777777777779</v>
      </c>
      <c r="C2" s="8">
        <v>1</v>
      </c>
      <c r="D2" s="4">
        <v>2185.0300000000002</v>
      </c>
      <c r="E2" s="4">
        <v>2185.1799999999998</v>
      </c>
      <c r="F2" s="4">
        <v>2301.33</v>
      </c>
      <c r="G2" s="4">
        <f t="shared" ref="G2:G17" si="0">F2-E2</f>
        <v>116.15000000000009</v>
      </c>
      <c r="H2" s="4">
        <v>116.2199999999998</v>
      </c>
      <c r="I2" s="4">
        <f t="shared" ref="I2:I17" si="1">H2-G2</f>
        <v>6.9999999999708962E-2</v>
      </c>
      <c r="J2" s="4"/>
      <c r="K2" s="4">
        <v>2298.87</v>
      </c>
      <c r="L2" s="4">
        <f t="shared" ref="L2:L17" si="2">K2-E2</f>
        <v>113.69000000000005</v>
      </c>
      <c r="M2" s="4">
        <v>116.2199999999998</v>
      </c>
      <c r="N2" s="4">
        <f>M2-L2</f>
        <v>2.5299999999997453</v>
      </c>
    </row>
    <row r="3" spans="1:14" x14ac:dyDescent="0.35">
      <c r="A3" s="75">
        <v>42491</v>
      </c>
      <c r="B3" s="74">
        <v>0.34027777777777779</v>
      </c>
      <c r="C3" s="8">
        <v>2</v>
      </c>
      <c r="D3" s="4">
        <v>2363.7399999999998</v>
      </c>
      <c r="E3" s="4">
        <v>2363.98</v>
      </c>
      <c r="F3" s="4">
        <v>2502.2399999999998</v>
      </c>
      <c r="G3" s="4">
        <f t="shared" si="0"/>
        <v>138.25999999999976</v>
      </c>
      <c r="H3" s="4">
        <v>148.14000000000021</v>
      </c>
      <c r="I3" s="4">
        <f t="shared" si="1"/>
        <v>9.8800000000004502</v>
      </c>
      <c r="J3" s="4"/>
      <c r="K3" s="4">
        <v>2500.5</v>
      </c>
      <c r="L3" s="4">
        <f t="shared" si="2"/>
        <v>136.51999999999998</v>
      </c>
      <c r="M3" s="4">
        <v>148.14000000000021</v>
      </c>
      <c r="N3" s="4">
        <f t="shared" ref="N3:N17" si="3">M3-L3</f>
        <v>11.620000000000232</v>
      </c>
    </row>
    <row r="4" spans="1:14" x14ac:dyDescent="0.35">
      <c r="A4" s="75">
        <v>42491</v>
      </c>
      <c r="B4" s="74">
        <v>0.34027777777777779</v>
      </c>
      <c r="C4" s="8">
        <v>3</v>
      </c>
      <c r="D4" s="4">
        <v>2024.65</v>
      </c>
      <c r="E4" s="4">
        <v>2025.07</v>
      </c>
      <c r="F4" s="4">
        <v>2257.1</v>
      </c>
      <c r="G4" s="4">
        <f t="shared" si="0"/>
        <v>232.02999999999997</v>
      </c>
      <c r="H4" s="4">
        <v>245.78000000000009</v>
      </c>
      <c r="I4" s="4">
        <f t="shared" si="1"/>
        <v>13.750000000000114</v>
      </c>
      <c r="J4" s="4"/>
      <c r="K4" s="4">
        <v>2246.21</v>
      </c>
      <c r="L4" s="4">
        <f t="shared" si="2"/>
        <v>221.1400000000001</v>
      </c>
      <c r="M4" s="4">
        <v>245.78000000000009</v>
      </c>
      <c r="N4" s="4">
        <f t="shared" si="3"/>
        <v>24.639999999999986</v>
      </c>
    </row>
    <row r="5" spans="1:14" x14ac:dyDescent="0.35">
      <c r="A5" s="75">
        <v>42491</v>
      </c>
      <c r="B5" s="74">
        <v>0.34027777777777779</v>
      </c>
      <c r="C5" s="8">
        <v>4</v>
      </c>
      <c r="D5" s="4">
        <v>2066.13</v>
      </c>
      <c r="E5" s="4">
        <v>2066.46</v>
      </c>
      <c r="F5" s="4">
        <v>2275.5100000000002</v>
      </c>
      <c r="G5" s="4">
        <f t="shared" si="0"/>
        <v>209.05000000000018</v>
      </c>
      <c r="H5" s="4">
        <v>225.14</v>
      </c>
      <c r="I5" s="4">
        <f t="shared" si="1"/>
        <v>16.089999999999804</v>
      </c>
      <c r="J5" s="4"/>
      <c r="K5" s="4">
        <v>2266.81</v>
      </c>
      <c r="L5" s="4">
        <f t="shared" si="2"/>
        <v>200.34999999999991</v>
      </c>
      <c r="M5" s="4">
        <v>225.14</v>
      </c>
      <c r="N5" s="4">
        <f t="shared" si="3"/>
        <v>24.790000000000077</v>
      </c>
    </row>
    <row r="6" spans="1:14" x14ac:dyDescent="0.35">
      <c r="A6" s="75">
        <v>42491</v>
      </c>
      <c r="B6" s="74">
        <v>0.34027777777777779</v>
      </c>
      <c r="C6" s="8">
        <v>5</v>
      </c>
      <c r="D6" s="4">
        <v>2380.94</v>
      </c>
      <c r="E6" s="4">
        <v>2381.1799999999998</v>
      </c>
      <c r="F6" s="4">
        <v>2531.9299999999998</v>
      </c>
      <c r="G6" s="4">
        <f t="shared" si="0"/>
        <v>150.75</v>
      </c>
      <c r="H6" s="4">
        <v>164.09999999999991</v>
      </c>
      <c r="I6" s="4">
        <f t="shared" si="1"/>
        <v>13.349999999999909</v>
      </c>
      <c r="J6" s="4"/>
      <c r="K6" s="4">
        <v>2531.4499999999998</v>
      </c>
      <c r="L6" s="4">
        <f t="shared" si="2"/>
        <v>150.26999999999998</v>
      </c>
      <c r="M6" s="4">
        <v>164.09999999999991</v>
      </c>
      <c r="N6" s="4">
        <f t="shared" si="3"/>
        <v>13.829999999999927</v>
      </c>
    </row>
    <row r="7" spans="1:14" x14ac:dyDescent="0.35">
      <c r="A7" s="75">
        <v>42491</v>
      </c>
      <c r="B7" s="74">
        <v>0.34027777777777779</v>
      </c>
      <c r="C7" s="8">
        <v>6</v>
      </c>
      <c r="D7" s="4">
        <v>2360.15</v>
      </c>
      <c r="E7" s="4">
        <v>2360.62</v>
      </c>
      <c r="F7" s="4">
        <v>2515.1999999999998</v>
      </c>
      <c r="G7" s="4">
        <f t="shared" si="0"/>
        <v>154.57999999999993</v>
      </c>
      <c r="H7" s="4">
        <v>179.25999999999976</v>
      </c>
      <c r="I7" s="4">
        <f t="shared" si="1"/>
        <v>24.679999999999836</v>
      </c>
      <c r="J7" s="4"/>
      <c r="K7" s="4">
        <v>2498.87</v>
      </c>
      <c r="L7" s="4">
        <f t="shared" si="2"/>
        <v>138.25</v>
      </c>
      <c r="M7" s="4">
        <v>179.25999999999976</v>
      </c>
      <c r="N7" s="4">
        <f t="shared" si="3"/>
        <v>41.009999999999764</v>
      </c>
    </row>
    <row r="8" spans="1:14" x14ac:dyDescent="0.35">
      <c r="A8" s="79">
        <v>42491</v>
      </c>
      <c r="B8" s="80">
        <v>0.34027777777777779</v>
      </c>
      <c r="C8" s="31">
        <v>7</v>
      </c>
      <c r="D8" s="81">
        <v>0</v>
      </c>
      <c r="E8" s="81">
        <v>0</v>
      </c>
      <c r="F8" s="81">
        <v>0</v>
      </c>
      <c r="G8" s="81">
        <f t="shared" si="0"/>
        <v>0</v>
      </c>
      <c r="H8" s="81">
        <v>2296.66</v>
      </c>
      <c r="I8" s="81">
        <f t="shared" si="1"/>
        <v>2296.66</v>
      </c>
      <c r="J8" s="4"/>
      <c r="K8" s="81">
        <v>0</v>
      </c>
      <c r="L8" s="81">
        <f t="shared" si="2"/>
        <v>0</v>
      </c>
      <c r="M8" s="81">
        <v>2296.66</v>
      </c>
      <c r="N8" s="81">
        <f t="shared" si="3"/>
        <v>2296.66</v>
      </c>
    </row>
    <row r="9" spans="1:14" x14ac:dyDescent="0.35">
      <c r="A9" s="75">
        <v>42491</v>
      </c>
      <c r="B9" s="74">
        <v>0.34027777777777779</v>
      </c>
      <c r="C9" s="8">
        <v>8</v>
      </c>
      <c r="D9" s="4">
        <v>2155.1799999999998</v>
      </c>
      <c r="E9" s="4">
        <v>2155.56</v>
      </c>
      <c r="F9" s="4">
        <v>2337.87</v>
      </c>
      <c r="G9" s="4">
        <f t="shared" si="0"/>
        <v>182.30999999999995</v>
      </c>
      <c r="H9" s="4">
        <v>203.98000000000013</v>
      </c>
      <c r="I9" s="4">
        <f t="shared" si="1"/>
        <v>21.670000000000186</v>
      </c>
      <c r="J9" s="4"/>
      <c r="K9" s="4">
        <v>2328.14</v>
      </c>
      <c r="L9" s="4">
        <f t="shared" si="2"/>
        <v>172.57999999999993</v>
      </c>
      <c r="M9" s="4">
        <v>203.98000000000013</v>
      </c>
      <c r="N9" s="4">
        <f t="shared" si="3"/>
        <v>31.400000000000205</v>
      </c>
    </row>
    <row r="10" spans="1:14" x14ac:dyDescent="0.35">
      <c r="A10" s="75">
        <v>42491</v>
      </c>
      <c r="B10" s="74">
        <v>0.34027777777777779</v>
      </c>
      <c r="C10" s="8">
        <v>9</v>
      </c>
      <c r="D10" s="4">
        <v>2103.9899999999998</v>
      </c>
      <c r="E10" s="4">
        <v>2104.1</v>
      </c>
      <c r="F10" s="4">
        <v>2285.1799999999998</v>
      </c>
      <c r="G10" s="4">
        <f t="shared" si="0"/>
        <v>181.07999999999993</v>
      </c>
      <c r="H10" s="4">
        <v>194.22000000000037</v>
      </c>
      <c r="I10" s="4">
        <f t="shared" si="1"/>
        <v>13.140000000000441</v>
      </c>
      <c r="J10" s="4"/>
      <c r="K10" s="4">
        <v>2284.35</v>
      </c>
      <c r="L10" s="4">
        <f t="shared" si="2"/>
        <v>180.25</v>
      </c>
      <c r="M10" s="4">
        <v>194.22000000000037</v>
      </c>
      <c r="N10" s="4">
        <f t="shared" si="3"/>
        <v>13.970000000000368</v>
      </c>
    </row>
    <row r="11" spans="1:14" x14ac:dyDescent="0.35">
      <c r="A11" s="75">
        <v>42491</v>
      </c>
      <c r="B11" s="74">
        <v>0.34027777777777779</v>
      </c>
      <c r="C11" s="8">
        <v>10</v>
      </c>
      <c r="D11" s="4">
        <v>2248.38</v>
      </c>
      <c r="E11" s="4">
        <v>2248.67</v>
      </c>
      <c r="F11" s="4">
        <v>2339.17</v>
      </c>
      <c r="G11" s="4">
        <f t="shared" si="0"/>
        <v>90.5</v>
      </c>
      <c r="H11" s="4">
        <v>98.069999999999936</v>
      </c>
      <c r="I11" s="4">
        <f t="shared" si="1"/>
        <v>7.5699999999999363</v>
      </c>
      <c r="J11" s="4"/>
      <c r="K11" s="4">
        <v>2333.52</v>
      </c>
      <c r="L11" s="4">
        <f t="shared" si="2"/>
        <v>84.849999999999909</v>
      </c>
      <c r="M11" s="4">
        <v>98.069999999999936</v>
      </c>
      <c r="N11" s="4">
        <f t="shared" si="3"/>
        <v>13.220000000000027</v>
      </c>
    </row>
    <row r="12" spans="1:14" x14ac:dyDescent="0.35">
      <c r="A12" s="75">
        <v>42491</v>
      </c>
      <c r="B12" s="74">
        <v>0.34027777777777779</v>
      </c>
      <c r="C12" s="8">
        <v>11</v>
      </c>
      <c r="D12" s="4">
        <v>2112.5100000000002</v>
      </c>
      <c r="E12" s="4">
        <v>2112.9899999999998</v>
      </c>
      <c r="F12" s="4">
        <v>2306.13</v>
      </c>
      <c r="G12" s="4">
        <f t="shared" si="0"/>
        <v>193.14000000000033</v>
      </c>
      <c r="H12" s="4">
        <v>205.25</v>
      </c>
      <c r="I12" s="4">
        <f t="shared" si="1"/>
        <v>12.109999999999673</v>
      </c>
      <c r="J12" s="4"/>
      <c r="K12" s="4">
        <v>2305.1999999999998</v>
      </c>
      <c r="L12" s="4">
        <f t="shared" si="2"/>
        <v>192.21000000000004</v>
      </c>
      <c r="M12" s="4">
        <v>205.25</v>
      </c>
      <c r="N12" s="4">
        <f t="shared" si="3"/>
        <v>13.039999999999964</v>
      </c>
    </row>
    <row r="13" spans="1:14" x14ac:dyDescent="0.35">
      <c r="A13" s="75">
        <v>42491</v>
      </c>
      <c r="B13" s="74">
        <v>0.34027777777777779</v>
      </c>
      <c r="C13" s="8">
        <v>12</v>
      </c>
      <c r="D13" s="4">
        <v>2102.36</v>
      </c>
      <c r="E13" s="4">
        <v>2102.44</v>
      </c>
      <c r="F13" s="4">
        <v>2152.91</v>
      </c>
      <c r="G13" s="4">
        <f t="shared" si="0"/>
        <v>50.4699999999998</v>
      </c>
      <c r="H13" s="4">
        <v>56.969999999999686</v>
      </c>
      <c r="I13" s="4">
        <f t="shared" si="1"/>
        <v>6.4999999999998863</v>
      </c>
      <c r="J13" s="4"/>
      <c r="K13" s="4">
        <v>2152.83</v>
      </c>
      <c r="L13" s="4">
        <f t="shared" si="2"/>
        <v>50.389999999999873</v>
      </c>
      <c r="M13" s="4">
        <v>56.969999999999686</v>
      </c>
      <c r="N13" s="4">
        <f t="shared" si="3"/>
        <v>6.5799999999998136</v>
      </c>
    </row>
    <row r="14" spans="1:14" x14ac:dyDescent="0.35">
      <c r="A14" s="75">
        <v>42491</v>
      </c>
      <c r="B14" s="74">
        <v>0.34027777777777779</v>
      </c>
      <c r="C14" s="8">
        <v>13</v>
      </c>
      <c r="D14" s="4">
        <v>2093.8000000000002</v>
      </c>
      <c r="E14" s="4">
        <v>2093.6999999999998</v>
      </c>
      <c r="F14" s="4">
        <v>2291.08</v>
      </c>
      <c r="G14" s="4">
        <f t="shared" si="0"/>
        <v>197.38000000000011</v>
      </c>
      <c r="H14" s="4">
        <v>210.3499999999998</v>
      </c>
      <c r="I14" s="4">
        <f t="shared" si="1"/>
        <v>12.969999999999686</v>
      </c>
      <c r="J14" s="4"/>
      <c r="K14" s="4">
        <v>2296.48</v>
      </c>
      <c r="L14" s="4">
        <f t="shared" si="2"/>
        <v>202.7800000000002</v>
      </c>
      <c r="M14" s="4">
        <v>210.3499999999998</v>
      </c>
      <c r="N14" s="4">
        <f t="shared" si="3"/>
        <v>7.5699999999995953</v>
      </c>
    </row>
    <row r="15" spans="1:14" x14ac:dyDescent="0.35">
      <c r="A15" s="75">
        <v>42491</v>
      </c>
      <c r="B15" s="74">
        <v>0.34027777777777779</v>
      </c>
      <c r="C15" s="8">
        <v>14</v>
      </c>
      <c r="D15" s="4">
        <v>2300.63</v>
      </c>
      <c r="E15" s="4">
        <v>2300.61</v>
      </c>
      <c r="F15" s="4">
        <v>2402.79</v>
      </c>
      <c r="G15" s="4">
        <f t="shared" si="0"/>
        <v>102.17999999999984</v>
      </c>
      <c r="H15" s="4">
        <v>111.38999999999999</v>
      </c>
      <c r="I15" s="4">
        <f t="shared" si="1"/>
        <v>9.2100000000001501</v>
      </c>
      <c r="J15" s="4"/>
      <c r="K15" s="4">
        <v>2395.15</v>
      </c>
      <c r="L15" s="4">
        <f t="shared" si="2"/>
        <v>94.539999999999964</v>
      </c>
      <c r="M15" s="4">
        <v>111.38999999999999</v>
      </c>
      <c r="N15" s="4">
        <f t="shared" si="3"/>
        <v>16.850000000000023</v>
      </c>
    </row>
    <row r="16" spans="1:14" x14ac:dyDescent="0.35">
      <c r="A16" s="75">
        <v>42491</v>
      </c>
      <c r="B16" s="74">
        <v>0.34027777777777779</v>
      </c>
      <c r="C16" s="8">
        <v>15</v>
      </c>
      <c r="D16" s="4">
        <v>1980.98</v>
      </c>
      <c r="E16" s="4">
        <v>1980.95</v>
      </c>
      <c r="F16" s="4">
        <v>2178.71</v>
      </c>
      <c r="G16" s="4">
        <f t="shared" si="0"/>
        <v>197.76</v>
      </c>
      <c r="H16" s="4">
        <v>210.25000000000011</v>
      </c>
      <c r="I16" s="4">
        <f t="shared" si="1"/>
        <v>12.490000000000123</v>
      </c>
      <c r="J16" s="4"/>
      <c r="K16" s="4">
        <v>2180.11</v>
      </c>
      <c r="L16" s="4">
        <f t="shared" si="2"/>
        <v>199.16000000000008</v>
      </c>
      <c r="M16" s="4">
        <v>210.25000000000011</v>
      </c>
      <c r="N16" s="4">
        <f t="shared" si="3"/>
        <v>11.090000000000032</v>
      </c>
    </row>
    <row r="17" spans="1:14" x14ac:dyDescent="0.35">
      <c r="A17" s="75">
        <v>42491</v>
      </c>
      <c r="B17" s="74">
        <v>0.34027777777777779</v>
      </c>
      <c r="C17" s="8">
        <v>16</v>
      </c>
      <c r="D17" s="4">
        <v>2051.09</v>
      </c>
      <c r="E17" s="4">
        <v>2051.15</v>
      </c>
      <c r="F17" s="4">
        <v>2168.5500000000002</v>
      </c>
      <c r="G17" s="4">
        <f t="shared" si="0"/>
        <v>117.40000000000009</v>
      </c>
      <c r="H17" s="4">
        <v>126.24999999999966</v>
      </c>
      <c r="I17" s="4">
        <f t="shared" si="1"/>
        <v>8.849999999999568</v>
      </c>
      <c r="J17" s="4"/>
      <c r="K17" s="4">
        <v>2177.0700000000002</v>
      </c>
      <c r="L17" s="4">
        <f t="shared" si="2"/>
        <v>125.92000000000007</v>
      </c>
      <c r="M17" s="4">
        <v>126.24999999999966</v>
      </c>
      <c r="N17" s="4">
        <f t="shared" si="3"/>
        <v>0.32999999999958618</v>
      </c>
    </row>
    <row r="18" spans="1:14" x14ac:dyDescent="0.35">
      <c r="F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2C56-9B1B-4E9E-9A89-2E6E6C1AE1D2}">
  <dimension ref="A1:C17"/>
  <sheetViews>
    <sheetView workbookViewId="0">
      <selection activeCell="T23" sqref="T23"/>
    </sheetView>
  </sheetViews>
  <sheetFormatPr defaultRowHeight="14.5" x14ac:dyDescent="0.35"/>
  <cols>
    <col min="2" max="2" width="15.453125" bestFit="1" customWidth="1"/>
    <col min="3" max="3" width="14" bestFit="1" customWidth="1"/>
  </cols>
  <sheetData>
    <row r="1" spans="1:3" x14ac:dyDescent="0.35">
      <c r="A1" s="4" t="s">
        <v>13</v>
      </c>
      <c r="B1" t="s">
        <v>28</v>
      </c>
      <c r="C1" t="s">
        <v>29</v>
      </c>
    </row>
    <row r="2" spans="1:3" x14ac:dyDescent="0.35">
      <c r="A2" s="8">
        <v>1</v>
      </c>
      <c r="B2" s="4">
        <v>2185.1799999999998</v>
      </c>
      <c r="C2" s="4">
        <v>2301.33</v>
      </c>
    </row>
    <row r="3" spans="1:3" x14ac:dyDescent="0.35">
      <c r="A3" s="8">
        <v>2</v>
      </c>
      <c r="B3" s="4">
        <v>2363.98</v>
      </c>
      <c r="C3" s="4">
        <v>2502.2399999999998</v>
      </c>
    </row>
    <row r="4" spans="1:3" x14ac:dyDescent="0.35">
      <c r="A4" s="8">
        <v>3</v>
      </c>
      <c r="B4" s="4">
        <v>2025.07</v>
      </c>
      <c r="C4" s="4">
        <v>2257.1</v>
      </c>
    </row>
    <row r="5" spans="1:3" x14ac:dyDescent="0.35">
      <c r="A5" s="8">
        <v>4</v>
      </c>
      <c r="B5" s="4">
        <v>2066.46</v>
      </c>
      <c r="C5" s="4">
        <v>2275.5100000000002</v>
      </c>
    </row>
    <row r="6" spans="1:3" x14ac:dyDescent="0.35">
      <c r="A6" s="8">
        <v>5</v>
      </c>
      <c r="B6" s="4">
        <v>2381.1799999999998</v>
      </c>
      <c r="C6" s="4">
        <v>2531.9299999999998</v>
      </c>
    </row>
    <row r="7" spans="1:3" x14ac:dyDescent="0.35">
      <c r="A7" s="8">
        <v>6</v>
      </c>
      <c r="B7" s="4">
        <v>2360.62</v>
      </c>
      <c r="C7" s="4">
        <v>2515.1999999999998</v>
      </c>
    </row>
    <row r="8" spans="1:3" x14ac:dyDescent="0.35">
      <c r="A8" s="8">
        <v>7</v>
      </c>
      <c r="B8" s="4">
        <v>0</v>
      </c>
      <c r="C8" s="4">
        <v>0</v>
      </c>
    </row>
    <row r="9" spans="1:3" x14ac:dyDescent="0.35">
      <c r="A9" s="8">
        <v>8</v>
      </c>
      <c r="B9" s="4">
        <v>2155.56</v>
      </c>
      <c r="C9" s="4">
        <v>2337.87</v>
      </c>
    </row>
    <row r="10" spans="1:3" x14ac:dyDescent="0.35">
      <c r="A10" s="8">
        <v>9</v>
      </c>
      <c r="B10" s="4">
        <v>2104.1</v>
      </c>
      <c r="C10" s="4">
        <v>2285.1799999999998</v>
      </c>
    </row>
    <row r="11" spans="1:3" x14ac:dyDescent="0.35">
      <c r="A11" s="8">
        <v>10</v>
      </c>
      <c r="B11" s="4">
        <v>2248.67</v>
      </c>
      <c r="C11" s="4">
        <v>2339.17</v>
      </c>
    </row>
    <row r="12" spans="1:3" x14ac:dyDescent="0.35">
      <c r="A12" s="8">
        <v>11</v>
      </c>
      <c r="B12" s="4">
        <v>2112.9899999999998</v>
      </c>
      <c r="C12" s="4">
        <v>2306.13</v>
      </c>
    </row>
    <row r="13" spans="1:3" x14ac:dyDescent="0.35">
      <c r="A13" s="8">
        <v>12</v>
      </c>
      <c r="B13" s="4">
        <v>2102.44</v>
      </c>
      <c r="C13" s="4">
        <v>2152.91</v>
      </c>
    </row>
    <row r="14" spans="1:3" x14ac:dyDescent="0.35">
      <c r="A14" s="8">
        <v>13</v>
      </c>
      <c r="B14" s="4">
        <v>2093.6999999999998</v>
      </c>
      <c r="C14" s="4">
        <v>2291.08</v>
      </c>
    </row>
    <row r="15" spans="1:3" x14ac:dyDescent="0.35">
      <c r="A15" s="8">
        <v>14</v>
      </c>
      <c r="B15" s="4">
        <v>2300.61</v>
      </c>
      <c r="C15" s="4">
        <v>2402.79</v>
      </c>
    </row>
    <row r="16" spans="1:3" x14ac:dyDescent="0.35">
      <c r="A16" s="8">
        <v>15</v>
      </c>
      <c r="B16" s="4">
        <v>1980.95</v>
      </c>
      <c r="C16" s="4">
        <v>2178.71</v>
      </c>
    </row>
    <row r="17" spans="1:3" x14ac:dyDescent="0.35">
      <c r="A17" s="8">
        <v>16</v>
      </c>
      <c r="B17" s="4">
        <v>2051.15</v>
      </c>
      <c r="C17" s="4">
        <v>2168.5500000000002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DB2C-3AA4-42A5-8170-506A511CC277}">
  <dimension ref="A1:G17"/>
  <sheetViews>
    <sheetView workbookViewId="0">
      <selection activeCell="N18" sqref="N18"/>
    </sheetView>
  </sheetViews>
  <sheetFormatPr defaultRowHeight="14.5" x14ac:dyDescent="0.35"/>
  <sheetData>
    <row r="1" spans="1:7" x14ac:dyDescent="0.35">
      <c r="A1" s="4" t="s">
        <v>13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36</v>
      </c>
    </row>
    <row r="2" spans="1:7" x14ac:dyDescent="0.35">
      <c r="A2" s="8">
        <v>1</v>
      </c>
      <c r="B2" s="76">
        <v>2297.4299999999998</v>
      </c>
      <c r="C2" s="77">
        <v>2283.92</v>
      </c>
      <c r="D2" s="77">
        <v>2272.69</v>
      </c>
      <c r="E2" s="77">
        <v>2259.06</v>
      </c>
      <c r="F2" s="77">
        <v>2246.8000000000002</v>
      </c>
      <c r="G2" s="77">
        <v>2234.98</v>
      </c>
    </row>
    <row r="3" spans="1:7" x14ac:dyDescent="0.35">
      <c r="A3" s="8">
        <v>2</v>
      </c>
      <c r="B3" s="76">
        <v>2499.4</v>
      </c>
      <c r="C3" s="77">
        <v>2485.4699999999998</v>
      </c>
      <c r="D3" s="77">
        <v>2473.44</v>
      </c>
      <c r="E3" s="77">
        <v>2457.91</v>
      </c>
      <c r="F3" s="77">
        <v>2443.48</v>
      </c>
      <c r="G3" s="77">
        <v>2428.9499999999998</v>
      </c>
    </row>
    <row r="4" spans="1:7" x14ac:dyDescent="0.35">
      <c r="A4" s="8">
        <v>3</v>
      </c>
      <c r="B4" s="76">
        <v>2243.37</v>
      </c>
      <c r="C4" s="77">
        <v>2222.48</v>
      </c>
      <c r="D4" s="77">
        <v>2204.3200000000002</v>
      </c>
      <c r="E4" s="77">
        <v>2179.2600000000002</v>
      </c>
      <c r="F4" s="77">
        <v>2154.6999999999998</v>
      </c>
      <c r="G4" s="77">
        <v>2132.13</v>
      </c>
    </row>
    <row r="5" spans="1:7" x14ac:dyDescent="0.35">
      <c r="A5" s="8">
        <v>4</v>
      </c>
      <c r="B5" s="76">
        <v>2263.36</v>
      </c>
      <c r="C5" s="77">
        <v>2238.75</v>
      </c>
      <c r="D5" s="77">
        <v>2220.9699999999998</v>
      </c>
      <c r="E5" s="77">
        <v>2198.84</v>
      </c>
      <c r="F5" s="77">
        <v>2176.61</v>
      </c>
      <c r="G5" s="77">
        <v>2156.8200000000002</v>
      </c>
    </row>
    <row r="6" spans="1:7" x14ac:dyDescent="0.35">
      <c r="A6" s="8">
        <v>5</v>
      </c>
      <c r="B6" s="76">
        <v>2530.0500000000002</v>
      </c>
      <c r="C6" s="77">
        <v>2516.12</v>
      </c>
      <c r="D6" s="77">
        <v>2503.6</v>
      </c>
      <c r="E6" s="77">
        <v>2486.0100000000002</v>
      </c>
      <c r="F6" s="77">
        <v>2467.31</v>
      </c>
      <c r="G6" s="77">
        <v>2447.77</v>
      </c>
    </row>
    <row r="7" spans="1:7" x14ac:dyDescent="0.35">
      <c r="A7" s="8">
        <v>6</v>
      </c>
      <c r="B7" s="76">
        <v>2496.11</v>
      </c>
      <c r="C7" s="77">
        <v>2475.37</v>
      </c>
      <c r="D7" s="77">
        <v>2457.25</v>
      </c>
      <c r="E7" s="77">
        <v>2435.17</v>
      </c>
      <c r="F7" s="77">
        <v>2413.64</v>
      </c>
      <c r="G7" s="77">
        <v>2396.7800000000002</v>
      </c>
    </row>
    <row r="8" spans="1:7" x14ac:dyDescent="0.35">
      <c r="A8" s="8">
        <v>7</v>
      </c>
      <c r="B8" s="76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</row>
    <row r="9" spans="1:7" x14ac:dyDescent="0.35">
      <c r="A9" s="8">
        <v>8</v>
      </c>
      <c r="B9" s="76">
        <v>2324.79</v>
      </c>
      <c r="C9" s="77">
        <v>2299.08</v>
      </c>
      <c r="D9" s="77">
        <v>2278.1799999999998</v>
      </c>
      <c r="E9" s="77">
        <v>2250.31</v>
      </c>
      <c r="F9" s="77">
        <v>2225.7600000000002</v>
      </c>
      <c r="G9" s="77">
        <v>2201.6999999999998</v>
      </c>
    </row>
    <row r="10" spans="1:7" x14ac:dyDescent="0.35">
      <c r="A10" s="8">
        <v>9</v>
      </c>
      <c r="B10" s="76">
        <v>2281.71</v>
      </c>
      <c r="C10" s="77">
        <v>2262.9699999999998</v>
      </c>
      <c r="D10" s="77">
        <v>2249.52</v>
      </c>
      <c r="E10" s="77">
        <v>2230.96</v>
      </c>
      <c r="F10" s="77">
        <v>2212.42</v>
      </c>
      <c r="G10" s="77">
        <v>2185.98</v>
      </c>
    </row>
    <row r="11" spans="1:7" x14ac:dyDescent="0.35">
      <c r="A11" s="8">
        <v>10</v>
      </c>
      <c r="B11" s="76">
        <v>2330.98</v>
      </c>
      <c r="C11" s="77">
        <v>2321.91</v>
      </c>
      <c r="D11" s="77">
        <v>2318.04</v>
      </c>
      <c r="E11" s="77">
        <v>2313.1</v>
      </c>
      <c r="F11" s="77">
        <v>2307.7199999999998</v>
      </c>
      <c r="G11" s="77">
        <v>2299.35</v>
      </c>
    </row>
    <row r="12" spans="1:7" x14ac:dyDescent="0.35">
      <c r="A12" s="8">
        <v>11</v>
      </c>
      <c r="B12" s="76">
        <v>2303.6</v>
      </c>
      <c r="C12" s="77">
        <v>2286.5700000000002</v>
      </c>
      <c r="D12" s="77">
        <v>2267.89</v>
      </c>
      <c r="E12" s="77">
        <v>2244.4499999999998</v>
      </c>
      <c r="F12" s="77">
        <v>2219.94</v>
      </c>
      <c r="G12" s="77">
        <v>2194.1</v>
      </c>
    </row>
    <row r="13" spans="1:7" x14ac:dyDescent="0.35">
      <c r="A13" s="8">
        <v>12</v>
      </c>
      <c r="B13" s="76">
        <v>2151.96</v>
      </c>
      <c r="C13" s="77">
        <v>2144.52</v>
      </c>
      <c r="D13" s="77">
        <v>2139.7800000000002</v>
      </c>
      <c r="E13" s="77">
        <v>2134.73</v>
      </c>
      <c r="F13" s="77">
        <v>2129.7800000000002</v>
      </c>
      <c r="G13" s="77">
        <v>2127.86</v>
      </c>
    </row>
    <row r="14" spans="1:7" x14ac:dyDescent="0.35">
      <c r="A14" s="8">
        <v>13</v>
      </c>
      <c r="B14" s="76">
        <v>2294.41</v>
      </c>
      <c r="C14" s="77">
        <v>2278.2399999999998</v>
      </c>
      <c r="D14" s="77">
        <v>2262.5300000000002</v>
      </c>
      <c r="E14" s="77">
        <v>2238.84</v>
      </c>
      <c r="F14" s="77">
        <v>2212.0700000000002</v>
      </c>
      <c r="G14" s="77">
        <v>2185.09</v>
      </c>
    </row>
    <row r="15" spans="1:7" x14ac:dyDescent="0.35">
      <c r="A15" s="8">
        <v>14</v>
      </c>
      <c r="B15" s="76">
        <v>2393.06</v>
      </c>
      <c r="C15" s="77">
        <v>2382.71</v>
      </c>
      <c r="D15" s="77">
        <v>2374.61</v>
      </c>
      <c r="E15" s="77">
        <v>2362.9299999999998</v>
      </c>
      <c r="F15" s="77">
        <v>2350.96</v>
      </c>
      <c r="G15" s="77">
        <v>2338.21</v>
      </c>
    </row>
    <row r="16" spans="1:7" x14ac:dyDescent="0.35">
      <c r="A16" s="8">
        <v>15</v>
      </c>
      <c r="B16" s="76">
        <v>2177.8200000000002</v>
      </c>
      <c r="C16" s="77">
        <v>2157.38</v>
      </c>
      <c r="D16" s="77">
        <v>2142.5500000000002</v>
      </c>
      <c r="E16" s="77">
        <v>2122.67</v>
      </c>
      <c r="F16" s="77">
        <v>2102.98</v>
      </c>
      <c r="G16" s="77">
        <v>2081.87</v>
      </c>
    </row>
    <row r="17" spans="1:7" x14ac:dyDescent="0.35">
      <c r="A17" s="8">
        <v>16</v>
      </c>
      <c r="B17" s="76">
        <v>2176.91</v>
      </c>
      <c r="C17" s="77">
        <v>2168.09</v>
      </c>
      <c r="D17" s="77">
        <v>2158.4499999999998</v>
      </c>
      <c r="E17" s="77">
        <v>2145.2600000000002</v>
      </c>
      <c r="F17" s="77" t="s">
        <v>35</v>
      </c>
      <c r="G17" s="77">
        <v>2118.56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899C-DD2B-4EA1-97A9-29446296DB6D}">
  <dimension ref="E2:P13"/>
  <sheetViews>
    <sheetView tabSelected="1" workbookViewId="0">
      <selection activeCell="M33" sqref="M33"/>
    </sheetView>
  </sheetViews>
  <sheetFormatPr defaultRowHeight="14.5" x14ac:dyDescent="0.35"/>
  <cols>
    <col min="5" max="6" width="8.7265625" style="5"/>
    <col min="7" max="7" width="14.7265625" customWidth="1"/>
    <col min="8" max="8" width="17.54296875" bestFit="1" customWidth="1"/>
    <col min="9" max="11" width="14.7265625" customWidth="1"/>
    <col min="14" max="14" width="19.81640625" bestFit="1" customWidth="1"/>
    <col min="15" max="15" width="23.54296875" bestFit="1" customWidth="1"/>
    <col min="16" max="16" width="24.26953125" bestFit="1" customWidth="1"/>
  </cols>
  <sheetData>
    <row r="2" spans="5:16" ht="23.5" x14ac:dyDescent="0.35">
      <c r="E2" s="5" t="s">
        <v>37</v>
      </c>
      <c r="G2" s="42" t="s">
        <v>38</v>
      </c>
      <c r="H2" s="42" t="s">
        <v>39</v>
      </c>
      <c r="I2" s="42" t="s">
        <v>4</v>
      </c>
      <c r="J2" s="42" t="s">
        <v>5</v>
      </c>
      <c r="K2" s="42" t="s">
        <v>3</v>
      </c>
      <c r="N2" s="95" t="s">
        <v>40</v>
      </c>
      <c r="O2" s="95" t="s">
        <v>42</v>
      </c>
      <c r="P2" s="95" t="s">
        <v>41</v>
      </c>
    </row>
    <row r="3" spans="5:16" ht="23.5" x14ac:dyDescent="0.55000000000000004">
      <c r="E3" s="5">
        <f>G3-3</f>
        <v>77</v>
      </c>
      <c r="F3" s="5">
        <f>G3+3</f>
        <v>83</v>
      </c>
      <c r="G3" s="83">
        <v>80</v>
      </c>
      <c r="H3" s="83">
        <v>32</v>
      </c>
      <c r="I3" s="84">
        <f>0.61081*EXP((17.27*H3)/(237.3+H3))</f>
        <v>4.7548532413075932</v>
      </c>
      <c r="J3" s="84">
        <f>G3*I3/100</f>
        <v>3.8038825930460747</v>
      </c>
      <c r="K3" s="85">
        <f>I3-J3</f>
        <v>0.95097064826151856</v>
      </c>
      <c r="N3" s="96">
        <v>80</v>
      </c>
      <c r="O3" s="96">
        <v>32</v>
      </c>
      <c r="P3" s="97">
        <v>0.95097064826151856</v>
      </c>
    </row>
    <row r="4" spans="5:16" ht="23.5" x14ac:dyDescent="0.55000000000000004">
      <c r="E4" s="5">
        <f t="shared" ref="E4:E8" si="0">G4-3</f>
        <v>65</v>
      </c>
      <c r="F4" s="5">
        <f t="shared" ref="F4:F8" si="1">G4+3</f>
        <v>71</v>
      </c>
      <c r="G4" s="83">
        <f>G3-12</f>
        <v>68</v>
      </c>
      <c r="H4" s="83">
        <v>32</v>
      </c>
      <c r="I4" s="84">
        <f t="shared" ref="I4" si="2">0.61081*EXP((17.27*H4)/(237.3+H4))</f>
        <v>4.7548532413075932</v>
      </c>
      <c r="J4" s="84">
        <f t="shared" ref="J4" si="3">G4*I4/100</f>
        <v>3.2333002040891632</v>
      </c>
      <c r="K4" s="85">
        <f t="shared" ref="K4" si="4">I4-J4</f>
        <v>1.52155303721843</v>
      </c>
      <c r="N4" s="96">
        <f>N3-12</f>
        <v>68</v>
      </c>
      <c r="O4" s="96">
        <v>32</v>
      </c>
      <c r="P4" s="97">
        <v>1.52155303721843</v>
      </c>
    </row>
    <row r="5" spans="5:16" ht="23.5" x14ac:dyDescent="0.55000000000000004">
      <c r="E5" s="5">
        <f t="shared" si="0"/>
        <v>53</v>
      </c>
      <c r="F5" s="5">
        <f t="shared" si="1"/>
        <v>59</v>
      </c>
      <c r="G5" s="83">
        <f t="shared" ref="G5:G8" si="5">G4-12</f>
        <v>56</v>
      </c>
      <c r="H5" s="83">
        <v>32</v>
      </c>
      <c r="I5" s="84">
        <f t="shared" ref="I5:I8" si="6">0.61081*EXP((17.27*H5)/(237.3+H5))</f>
        <v>4.7548532413075932</v>
      </c>
      <c r="J5" s="84">
        <f t="shared" ref="J5:J8" si="7">G5*I5/100</f>
        <v>2.6627178151322521</v>
      </c>
      <c r="K5" s="85">
        <f t="shared" ref="K5:K8" si="8">I5-J5</f>
        <v>2.0921354261753411</v>
      </c>
      <c r="N5" s="96">
        <f t="shared" ref="N5:N8" si="9">N4-12</f>
        <v>56</v>
      </c>
      <c r="O5" s="96">
        <v>32</v>
      </c>
      <c r="P5" s="97">
        <v>2.0921354261753411</v>
      </c>
    </row>
    <row r="6" spans="5:16" ht="23.5" x14ac:dyDescent="0.55000000000000004">
      <c r="E6" s="5">
        <f t="shared" si="0"/>
        <v>41</v>
      </c>
      <c r="F6" s="5">
        <f t="shared" si="1"/>
        <v>47</v>
      </c>
      <c r="G6" s="83">
        <f t="shared" si="5"/>
        <v>44</v>
      </c>
      <c r="H6" s="83">
        <v>32</v>
      </c>
      <c r="I6" s="84">
        <f t="shared" si="6"/>
        <v>4.7548532413075932</v>
      </c>
      <c r="J6" s="84">
        <f t="shared" si="7"/>
        <v>2.0921354261753411</v>
      </c>
      <c r="K6" s="85">
        <f t="shared" si="8"/>
        <v>2.6627178151322521</v>
      </c>
      <c r="N6" s="96">
        <f t="shared" si="9"/>
        <v>44</v>
      </c>
      <c r="O6" s="96">
        <v>32</v>
      </c>
      <c r="P6" s="97">
        <v>2.6627178151322521</v>
      </c>
    </row>
    <row r="7" spans="5:16" ht="23.5" x14ac:dyDescent="0.55000000000000004">
      <c r="E7" s="5">
        <f t="shared" si="0"/>
        <v>29</v>
      </c>
      <c r="F7" s="5">
        <f t="shared" si="1"/>
        <v>35</v>
      </c>
      <c r="G7" s="83">
        <f t="shared" si="5"/>
        <v>32</v>
      </c>
      <c r="H7" s="83">
        <v>32</v>
      </c>
      <c r="I7" s="84">
        <f t="shared" si="6"/>
        <v>4.7548532413075932</v>
      </c>
      <c r="J7" s="84">
        <f t="shared" si="7"/>
        <v>1.5215530372184298</v>
      </c>
      <c r="K7" s="85">
        <f t="shared" si="8"/>
        <v>3.2333002040891632</v>
      </c>
      <c r="N7" s="96">
        <f t="shared" si="9"/>
        <v>32</v>
      </c>
      <c r="O7" s="96">
        <v>32</v>
      </c>
      <c r="P7" s="97">
        <v>3.2333002040891632</v>
      </c>
    </row>
    <row r="8" spans="5:16" ht="23.5" x14ac:dyDescent="0.55000000000000004">
      <c r="E8" s="5">
        <f t="shared" si="0"/>
        <v>17</v>
      </c>
      <c r="F8" s="5">
        <f t="shared" si="1"/>
        <v>23</v>
      </c>
      <c r="G8" s="83">
        <f t="shared" si="5"/>
        <v>20</v>
      </c>
      <c r="H8" s="83">
        <v>32</v>
      </c>
      <c r="I8" s="84">
        <f t="shared" si="6"/>
        <v>4.7548532413075932</v>
      </c>
      <c r="J8" s="84">
        <f t="shared" si="7"/>
        <v>0.95097064826151867</v>
      </c>
      <c r="K8" s="85">
        <f t="shared" si="8"/>
        <v>3.8038825930460747</v>
      </c>
      <c r="N8" s="96">
        <f t="shared" si="9"/>
        <v>20</v>
      </c>
      <c r="O8" s="96">
        <v>32</v>
      </c>
      <c r="P8" s="97">
        <v>3.8038825930460747</v>
      </c>
    </row>
    <row r="9" spans="5:16" x14ac:dyDescent="0.35">
      <c r="G9" s="83"/>
      <c r="H9" s="83"/>
      <c r="I9" s="84"/>
      <c r="J9" s="84"/>
      <c r="K9" s="85"/>
      <c r="N9" s="83"/>
      <c r="O9" s="83"/>
      <c r="P9" s="85"/>
    </row>
    <row r="10" spans="5:16" x14ac:dyDescent="0.35">
      <c r="G10" s="83"/>
      <c r="H10" s="83"/>
      <c r="I10" s="84"/>
      <c r="J10" s="84"/>
      <c r="K10" s="85"/>
      <c r="N10" s="83"/>
      <c r="O10" s="83"/>
      <c r="P10" s="85"/>
    </row>
    <row r="11" spans="5:16" x14ac:dyDescent="0.35">
      <c r="G11" s="83"/>
      <c r="H11" s="83"/>
      <c r="I11" s="84"/>
      <c r="J11" s="84"/>
      <c r="K11" s="85"/>
      <c r="N11" s="83"/>
      <c r="O11" s="83"/>
      <c r="P11" s="85"/>
    </row>
    <row r="12" spans="5:16" x14ac:dyDescent="0.35">
      <c r="G12" s="83"/>
      <c r="H12" s="83"/>
      <c r="I12" s="84"/>
      <c r="J12" s="84"/>
      <c r="K12" s="85"/>
      <c r="N12" s="83"/>
      <c r="O12" s="83"/>
      <c r="P12" s="85"/>
    </row>
    <row r="13" spans="5:16" x14ac:dyDescent="0.35">
      <c r="G13" s="83"/>
      <c r="H13" s="83"/>
      <c r="I13" s="84"/>
      <c r="J13" s="84"/>
      <c r="K13" s="85"/>
      <c r="N13" s="83"/>
      <c r="O13" s="83"/>
      <c r="P13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Data</vt:lpstr>
      <vt:lpstr>Graphic</vt:lpstr>
      <vt:lpstr>Sheet4</vt:lpstr>
      <vt:lpstr>vpd-test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F. Elli</cp:lastModifiedBy>
  <dcterms:created xsi:type="dcterms:W3CDTF">2015-06-05T18:17:20Z</dcterms:created>
  <dcterms:modified xsi:type="dcterms:W3CDTF">2024-11-18T20:45:12Z</dcterms:modified>
</cp:coreProperties>
</file>