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paula\Box\Soybean-Transpiration-Efficiency\data-analysis\Second time GC\Part 3\"/>
    </mc:Choice>
  </mc:AlternateContent>
  <xr:revisionPtr revIDLastSave="0" documentId="13_ncr:1_{972B5847-B0C1-492C-98D8-33D5C89BF154}" xr6:coauthVersionLast="47" xr6:coauthVersionMax="47" xr10:uidLastSave="{00000000-0000-0000-0000-000000000000}"/>
  <bookViews>
    <workbookView xWindow="-120" yWindow="-120" windowWidth="20730" windowHeight="11040" firstSheet="5" activeTab="3" xr2:uid="{A40B86BC-AE17-4A09-BBD4-450DEF530FB4}"/>
  </bookViews>
  <sheets>
    <sheet name="Experiment map" sheetId="1" r:id="rId1"/>
    <sheet name="Weights" sheetId="3" r:id="rId2"/>
    <sheet name="Irrigation" sheetId="4" r:id="rId3"/>
    <sheet name="Methodology" sheetId="19" r:id="rId4"/>
    <sheet name="Evaluation targets" sheetId="5" r:id="rId5"/>
    <sheet name="Tracking weights" sheetId="7" r:id="rId6"/>
    <sheet name="Tracking VPD" sheetId="6" r:id="rId7"/>
    <sheet name="Day 1" sheetId="9" r:id="rId8"/>
    <sheet name="Day 2" sheetId="12" r:id="rId9"/>
    <sheet name="RT day 1" sheetId="10" r:id="rId10"/>
    <sheet name="RT day 2" sheetId="13" r:id="rId11"/>
    <sheet name="Genotype average D1" sheetId="18" r:id="rId12"/>
    <sheet name="Genotype average D2" sheetId="16" r:id="rId13"/>
    <sheet name="Graphics D2" sheetId="14" r:id="rId14"/>
    <sheet name="Dry weights" sheetId="11" r:id="rId15"/>
    <sheet name="T leaf area" sheetId="15" r:id="rId16"/>
    <sheet name="Final" sheetId="17"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W3" i="10" l="1"/>
  <c r="N39" i="18"/>
  <c r="N28" i="18"/>
  <c r="C28" i="18"/>
  <c r="C29" i="18"/>
  <c r="R28" i="18"/>
  <c r="B28" i="18"/>
  <c r="J18" i="18"/>
  <c r="B18" i="18"/>
  <c r="N18" i="18"/>
  <c r="S8" i="18"/>
  <c r="N9" i="18"/>
  <c r="R39" i="18"/>
  <c r="O39" i="18"/>
  <c r="F39" i="18"/>
  <c r="O38" i="18"/>
  <c r="F38" i="18"/>
  <c r="O29" i="18"/>
  <c r="B29" i="18"/>
  <c r="O28" i="18"/>
  <c r="J19" i="18"/>
  <c r="R9" i="18"/>
  <c r="O9" i="18"/>
  <c r="O8" i="18"/>
  <c r="G113" i="15"/>
  <c r="I113" i="15" s="1"/>
  <c r="J113" i="15" s="1"/>
  <c r="G110" i="15"/>
  <c r="I110" i="15" s="1"/>
  <c r="J110" i="15" s="1"/>
  <c r="G112" i="15"/>
  <c r="I112" i="15" s="1"/>
  <c r="J112" i="15" s="1"/>
  <c r="G111" i="15"/>
  <c r="I111" i="15" s="1"/>
  <c r="J111" i="15" s="1"/>
  <c r="G109" i="15"/>
  <c r="G102" i="15"/>
  <c r="I102" i="15" s="1"/>
  <c r="J102" i="15" s="1"/>
  <c r="G105" i="15"/>
  <c r="I105" i="15" s="1"/>
  <c r="J105" i="15" s="1"/>
  <c r="G104" i="15"/>
  <c r="I104" i="15" s="1"/>
  <c r="J104" i="15" s="1"/>
  <c r="G103" i="15"/>
  <c r="I103" i="15" s="1"/>
  <c r="J103" i="15" s="1"/>
  <c r="G101" i="15"/>
  <c r="G97" i="15"/>
  <c r="I97" i="15" s="1"/>
  <c r="J97" i="15" s="1"/>
  <c r="G96" i="15"/>
  <c r="I96" i="15" s="1"/>
  <c r="J96" i="15" s="1"/>
  <c r="G95" i="15"/>
  <c r="I95" i="15" s="1"/>
  <c r="J95" i="15" s="1"/>
  <c r="G94" i="15"/>
  <c r="I94" i="15" s="1"/>
  <c r="J94" i="15" s="1"/>
  <c r="G93" i="15"/>
  <c r="G85" i="15"/>
  <c r="G89" i="15"/>
  <c r="I89" i="15" s="1"/>
  <c r="J89" i="15" s="1"/>
  <c r="G88" i="15"/>
  <c r="I88" i="15" s="1"/>
  <c r="J88" i="15" s="1"/>
  <c r="G87" i="15"/>
  <c r="I87" i="15" s="1"/>
  <c r="J87" i="15" s="1"/>
  <c r="G86" i="15"/>
  <c r="I86" i="15" s="1"/>
  <c r="J86" i="15" s="1"/>
  <c r="G78" i="15"/>
  <c r="I78" i="15" s="1"/>
  <c r="J78" i="15" s="1"/>
  <c r="G77" i="15"/>
  <c r="I77" i="15" s="1"/>
  <c r="J77" i="15" s="1"/>
  <c r="G81" i="15"/>
  <c r="I81" i="15" s="1"/>
  <c r="J81" i="15" s="1"/>
  <c r="G80" i="15"/>
  <c r="I80" i="15" s="1"/>
  <c r="J80" i="15" s="1"/>
  <c r="G79" i="15"/>
  <c r="I79" i="15" s="1"/>
  <c r="J79" i="15" s="1"/>
  <c r="G73" i="15"/>
  <c r="I73" i="15" s="1"/>
  <c r="J73" i="15" s="1"/>
  <c r="G69" i="15"/>
  <c r="I69" i="15" s="1"/>
  <c r="J69" i="15" s="1"/>
  <c r="G72" i="15"/>
  <c r="I72" i="15" s="1"/>
  <c r="J72" i="15" s="1"/>
  <c r="G71" i="15"/>
  <c r="I71" i="15" s="1"/>
  <c r="J71" i="15" s="1"/>
  <c r="G70" i="15"/>
  <c r="I70" i="15" s="1"/>
  <c r="J70" i="15" s="1"/>
  <c r="G65" i="15"/>
  <c r="I65" i="15" s="1"/>
  <c r="J65" i="15" s="1"/>
  <c r="G62" i="15"/>
  <c r="I62" i="15" s="1"/>
  <c r="J62" i="15" s="1"/>
  <c r="G64" i="15"/>
  <c r="I64" i="15" s="1"/>
  <c r="J64" i="15" s="1"/>
  <c r="G63" i="15"/>
  <c r="I63" i="15" s="1"/>
  <c r="J63" i="15" s="1"/>
  <c r="G61" i="15"/>
  <c r="I61" i="15" s="1"/>
  <c r="J61" i="15" s="1"/>
  <c r="G57" i="15"/>
  <c r="I57" i="15" s="1"/>
  <c r="J57" i="15" s="1"/>
  <c r="G56" i="15"/>
  <c r="I56" i="15" s="1"/>
  <c r="J56" i="15" s="1"/>
  <c r="G55" i="15"/>
  <c r="I55" i="15" s="1"/>
  <c r="J55" i="15" s="1"/>
  <c r="G54" i="15"/>
  <c r="I54" i="15" s="1"/>
  <c r="J54" i="15" s="1"/>
  <c r="G53" i="15"/>
  <c r="G45" i="15"/>
  <c r="I45" i="15" s="1"/>
  <c r="J45" i="15" s="1"/>
  <c r="G49" i="15"/>
  <c r="I49" i="15" s="1"/>
  <c r="J49" i="15" s="1"/>
  <c r="G48" i="15"/>
  <c r="I48" i="15" s="1"/>
  <c r="J48" i="15" s="1"/>
  <c r="G47" i="15"/>
  <c r="I47" i="15" s="1"/>
  <c r="J47" i="15" s="1"/>
  <c r="G46" i="15"/>
  <c r="I46" i="15" s="1"/>
  <c r="J46" i="15" s="1"/>
  <c r="G41" i="15"/>
  <c r="I41" i="15" s="1"/>
  <c r="J41" i="15" s="1"/>
  <c r="G37" i="15"/>
  <c r="G40" i="15"/>
  <c r="I40" i="15" s="1"/>
  <c r="J40" i="15" s="1"/>
  <c r="G39" i="15"/>
  <c r="I39" i="15" s="1"/>
  <c r="J39" i="15" s="1"/>
  <c r="G38" i="15"/>
  <c r="I38" i="15" s="1"/>
  <c r="J38" i="15" s="1"/>
  <c r="G33" i="15"/>
  <c r="I33" i="15" s="1"/>
  <c r="J33" i="15" s="1"/>
  <c r="G32" i="15"/>
  <c r="I32" i="15" s="1"/>
  <c r="J32" i="15" s="1"/>
  <c r="G31" i="15"/>
  <c r="I31" i="15" s="1"/>
  <c r="J31" i="15" s="1"/>
  <c r="G30" i="15"/>
  <c r="I30" i="15" s="1"/>
  <c r="J30" i="15" s="1"/>
  <c r="G29" i="15"/>
  <c r="I29" i="15" s="1"/>
  <c r="J29" i="15" s="1"/>
  <c r="G25" i="15"/>
  <c r="I25" i="15" s="1"/>
  <c r="J25" i="15" s="1"/>
  <c r="G24" i="15"/>
  <c r="I24" i="15" s="1"/>
  <c r="J24" i="15" s="1"/>
  <c r="G21" i="15"/>
  <c r="H21" i="15"/>
  <c r="G23" i="15"/>
  <c r="I23" i="15" s="1"/>
  <c r="J23" i="15" s="1"/>
  <c r="G22" i="15"/>
  <c r="I22" i="15" s="1"/>
  <c r="J22" i="15" s="1"/>
  <c r="G17" i="15"/>
  <c r="I17" i="15" s="1"/>
  <c r="J17" i="15" s="1"/>
  <c r="G15" i="15"/>
  <c r="I15" i="15" s="1"/>
  <c r="J15" i="15" s="1"/>
  <c r="H13" i="15"/>
  <c r="G16" i="15"/>
  <c r="I16" i="15" s="1"/>
  <c r="J16" i="15" s="1"/>
  <c r="G14" i="15"/>
  <c r="I14" i="15" s="1"/>
  <c r="J14" i="15" s="1"/>
  <c r="G13" i="15"/>
  <c r="H5" i="15"/>
  <c r="G9" i="15"/>
  <c r="I9" i="15" s="1"/>
  <c r="J9" i="15" s="1"/>
  <c r="G8" i="15"/>
  <c r="I8" i="15" s="1"/>
  <c r="J8" i="15" s="1"/>
  <c r="G7" i="15"/>
  <c r="I7" i="15" s="1"/>
  <c r="J7" i="15" s="1"/>
  <c r="G6" i="15"/>
  <c r="I6" i="15" s="1"/>
  <c r="J6" i="15" s="1"/>
  <c r="G5" i="15"/>
  <c r="CR7" i="10"/>
  <c r="CR6" i="10"/>
  <c r="CR5" i="10"/>
  <c r="CR4" i="10"/>
  <c r="CR3" i="10"/>
  <c r="CK7" i="10"/>
  <c r="CK6" i="10"/>
  <c r="CK5" i="10"/>
  <c r="CK4" i="10"/>
  <c r="CK3" i="10"/>
  <c r="CD7" i="10"/>
  <c r="CD6" i="10"/>
  <c r="CD5" i="10"/>
  <c r="CD4" i="10"/>
  <c r="CD3" i="10"/>
  <c r="BW7" i="10"/>
  <c r="BW6" i="10"/>
  <c r="BW5" i="10"/>
  <c r="BW4" i="10"/>
  <c r="BP7" i="10"/>
  <c r="BP6" i="10"/>
  <c r="BP5" i="10"/>
  <c r="BP4" i="10"/>
  <c r="BP3" i="10"/>
  <c r="BI7" i="10"/>
  <c r="BI6" i="10"/>
  <c r="BI5" i="10"/>
  <c r="BI4" i="10"/>
  <c r="BI3" i="10"/>
  <c r="BB7" i="10"/>
  <c r="BB6" i="10"/>
  <c r="BB5" i="10"/>
  <c r="BB4" i="10"/>
  <c r="BB3" i="10"/>
  <c r="AU7" i="10"/>
  <c r="AU6" i="10"/>
  <c r="AU5" i="10"/>
  <c r="AU4" i="10"/>
  <c r="AU3" i="10"/>
  <c r="AN7" i="10"/>
  <c r="AN6" i="10"/>
  <c r="AN5" i="10"/>
  <c r="AN4" i="10"/>
  <c r="AN3" i="10"/>
  <c r="AG7" i="10"/>
  <c r="AG6" i="10"/>
  <c r="AG5" i="10"/>
  <c r="AG4" i="10"/>
  <c r="AG3" i="10"/>
  <c r="Z7" i="10"/>
  <c r="Z6" i="10"/>
  <c r="Z5" i="10"/>
  <c r="Z4" i="10"/>
  <c r="Z3" i="10"/>
  <c r="B24" i="5"/>
  <c r="G23" i="5"/>
  <c r="F23" i="5"/>
  <c r="E23" i="5"/>
  <c r="E24" i="5" s="1"/>
  <c r="D23" i="5"/>
  <c r="D24" i="5" s="1"/>
  <c r="C23" i="5"/>
  <c r="B23" i="5"/>
  <c r="B25" i="5" s="1"/>
  <c r="AB3" i="9"/>
  <c r="X3" i="9"/>
  <c r="W102" i="9"/>
  <c r="W103" i="9"/>
  <c r="W104" i="9"/>
  <c r="W105" i="9"/>
  <c r="W106" i="9"/>
  <c r="W107" i="9"/>
  <c r="W108" i="9"/>
  <c r="W109" i="9"/>
  <c r="W110" i="9"/>
  <c r="W111" i="9"/>
  <c r="W112" i="9"/>
  <c r="W113" i="9"/>
  <c r="W114" i="9"/>
  <c r="W115" i="9"/>
  <c r="W116" i="9"/>
  <c r="W117" i="9"/>
  <c r="W118" i="9"/>
  <c r="W119" i="9"/>
  <c r="W120" i="9"/>
  <c r="W121" i="9"/>
  <c r="W122" i="9"/>
  <c r="W123" i="9"/>
  <c r="W124" i="9"/>
  <c r="W125" i="9"/>
  <c r="W126" i="9"/>
  <c r="W127" i="9"/>
  <c r="W128" i="9"/>
  <c r="W129" i="9"/>
  <c r="W130" i="9"/>
  <c r="W131" i="9"/>
  <c r="W132" i="9"/>
  <c r="W133" i="9"/>
  <c r="W134" i="9"/>
  <c r="W135" i="9"/>
  <c r="W136" i="9"/>
  <c r="W137" i="9"/>
  <c r="W138" i="9"/>
  <c r="W139" i="9"/>
  <c r="W140" i="9"/>
  <c r="W141" i="9"/>
  <c r="W142" i="9"/>
  <c r="W143" i="9"/>
  <c r="W144" i="9"/>
  <c r="W145" i="9"/>
  <c r="W146" i="9"/>
  <c r="W147" i="9"/>
  <c r="W148" i="9"/>
  <c r="W149" i="9"/>
  <c r="W150" i="9"/>
  <c r="W151" i="9"/>
  <c r="W152" i="9"/>
  <c r="W153" i="9"/>
  <c r="W154" i="9"/>
  <c r="W155" i="9"/>
  <c r="W156" i="9"/>
  <c r="W157" i="9"/>
  <c r="W158" i="9"/>
  <c r="W159" i="9"/>
  <c r="W160" i="9"/>
  <c r="W161" i="9"/>
  <c r="W162" i="9"/>
  <c r="W163" i="9"/>
  <c r="W164" i="9"/>
  <c r="W165" i="9"/>
  <c r="W166" i="9"/>
  <c r="W167" i="9"/>
  <c r="W168" i="9"/>
  <c r="W169" i="9"/>
  <c r="W170" i="9"/>
  <c r="W171" i="9"/>
  <c r="W172" i="9"/>
  <c r="W173" i="9"/>
  <c r="W174" i="9"/>
  <c r="W175" i="9"/>
  <c r="W176" i="9"/>
  <c r="W177" i="9"/>
  <c r="W178" i="9"/>
  <c r="W179" i="9"/>
  <c r="W180" i="9"/>
  <c r="W181" i="9"/>
  <c r="W182" i="9"/>
  <c r="W183" i="9"/>
  <c r="W184" i="9"/>
  <c r="W185" i="9"/>
  <c r="W186" i="9"/>
  <c r="W187" i="9"/>
  <c r="W188" i="9"/>
  <c r="W189" i="9"/>
  <c r="W190" i="9"/>
  <c r="W191" i="9"/>
  <c r="W192" i="9"/>
  <c r="W193" i="9"/>
  <c r="W194" i="9"/>
  <c r="W195" i="9"/>
  <c r="W196" i="9"/>
  <c r="W197" i="9"/>
  <c r="W198" i="9"/>
  <c r="W199" i="9"/>
  <c r="W200" i="9"/>
  <c r="W201" i="9"/>
  <c r="W202" i="9"/>
  <c r="T3"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S146" i="9"/>
  <c r="S147" i="9"/>
  <c r="S148" i="9"/>
  <c r="S149" i="9"/>
  <c r="S150" i="9"/>
  <c r="S151" i="9"/>
  <c r="S152" i="9"/>
  <c r="S153" i="9"/>
  <c r="S154" i="9"/>
  <c r="S155" i="9"/>
  <c r="S156" i="9"/>
  <c r="S157" i="9"/>
  <c r="S158" i="9"/>
  <c r="S159" i="9"/>
  <c r="S160" i="9"/>
  <c r="S161" i="9"/>
  <c r="S162" i="9"/>
  <c r="S163" i="9"/>
  <c r="S164" i="9"/>
  <c r="S165" i="9"/>
  <c r="S166" i="9"/>
  <c r="S167" i="9"/>
  <c r="S168" i="9"/>
  <c r="S169" i="9"/>
  <c r="S170" i="9"/>
  <c r="S171" i="9"/>
  <c r="S172" i="9"/>
  <c r="S173" i="9"/>
  <c r="S174" i="9"/>
  <c r="S175" i="9"/>
  <c r="S176" i="9"/>
  <c r="S177" i="9"/>
  <c r="S178" i="9"/>
  <c r="S179" i="9"/>
  <c r="S180" i="9"/>
  <c r="S181" i="9"/>
  <c r="S182" i="9"/>
  <c r="S183" i="9"/>
  <c r="S184" i="9"/>
  <c r="S185" i="9"/>
  <c r="S186" i="9"/>
  <c r="S187" i="9"/>
  <c r="S188" i="9"/>
  <c r="S189" i="9"/>
  <c r="S190" i="9"/>
  <c r="S191" i="9"/>
  <c r="S192" i="9"/>
  <c r="S193" i="9"/>
  <c r="S194" i="9"/>
  <c r="S195" i="9"/>
  <c r="S196" i="9"/>
  <c r="S197" i="9"/>
  <c r="S198" i="9"/>
  <c r="S199" i="9"/>
  <c r="S200" i="9"/>
  <c r="S201" i="9"/>
  <c r="S202" i="9"/>
  <c r="P3"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L3" i="9"/>
  <c r="K103" i="9"/>
  <c r="K104" i="9"/>
  <c r="K105" i="9"/>
  <c r="K106" i="9"/>
  <c r="K107" i="9"/>
  <c r="K108" i="9"/>
  <c r="K109" i="9"/>
  <c r="K110" i="9"/>
  <c r="K111" i="9"/>
  <c r="K112" i="9"/>
  <c r="K113" i="9"/>
  <c r="K114" i="9"/>
  <c r="K115" i="9"/>
  <c r="K116" i="9"/>
  <c r="K117" i="9"/>
  <c r="K118" i="9"/>
  <c r="K119" i="9"/>
  <c r="K120" i="9"/>
  <c r="K121" i="9"/>
  <c r="K122" i="9"/>
  <c r="K123" i="9"/>
  <c r="K124" i="9"/>
  <c r="K125" i="9"/>
  <c r="K126" i="9"/>
  <c r="K127" i="9"/>
  <c r="K128" i="9"/>
  <c r="K129" i="9"/>
  <c r="K130" i="9"/>
  <c r="K131" i="9"/>
  <c r="K132" i="9"/>
  <c r="K133" i="9"/>
  <c r="K134" i="9"/>
  <c r="K135" i="9"/>
  <c r="K136" i="9"/>
  <c r="K137" i="9"/>
  <c r="K138" i="9"/>
  <c r="K139" i="9"/>
  <c r="K140" i="9"/>
  <c r="K141" i="9"/>
  <c r="K142" i="9"/>
  <c r="K143" i="9"/>
  <c r="K144" i="9"/>
  <c r="K145" i="9"/>
  <c r="K146" i="9"/>
  <c r="K147" i="9"/>
  <c r="K148" i="9"/>
  <c r="K149" i="9"/>
  <c r="K150" i="9"/>
  <c r="K151" i="9"/>
  <c r="K152" i="9"/>
  <c r="K153" i="9"/>
  <c r="K154" i="9"/>
  <c r="K155" i="9"/>
  <c r="K156" i="9"/>
  <c r="K157" i="9"/>
  <c r="K158" i="9"/>
  <c r="K159" i="9"/>
  <c r="K160" i="9"/>
  <c r="K161" i="9"/>
  <c r="K162" i="9"/>
  <c r="K163" i="9"/>
  <c r="K164" i="9"/>
  <c r="K165" i="9"/>
  <c r="K166" i="9"/>
  <c r="K167" i="9"/>
  <c r="K168" i="9"/>
  <c r="K169" i="9"/>
  <c r="K170" i="9"/>
  <c r="K171" i="9"/>
  <c r="K172" i="9"/>
  <c r="K173" i="9"/>
  <c r="K174" i="9"/>
  <c r="K175" i="9"/>
  <c r="K176" i="9"/>
  <c r="K177" i="9"/>
  <c r="K178" i="9"/>
  <c r="K179" i="9"/>
  <c r="K180" i="9"/>
  <c r="K181" i="9"/>
  <c r="K182" i="9"/>
  <c r="K183" i="9"/>
  <c r="K184" i="9"/>
  <c r="K185" i="9"/>
  <c r="K186" i="9"/>
  <c r="K187" i="9"/>
  <c r="K188" i="9"/>
  <c r="K189" i="9"/>
  <c r="K190" i="9"/>
  <c r="K191" i="9"/>
  <c r="K192" i="9"/>
  <c r="K193" i="9"/>
  <c r="K194" i="9"/>
  <c r="K195" i="9"/>
  <c r="K196" i="9"/>
  <c r="K197" i="9"/>
  <c r="K198" i="9"/>
  <c r="K199" i="9"/>
  <c r="K200" i="9"/>
  <c r="K201" i="9"/>
  <c r="K202" i="9"/>
  <c r="K102" i="9"/>
  <c r="O3" i="9"/>
  <c r="AZ3" i="9"/>
  <c r="AV3" i="9"/>
  <c r="AR3" i="9"/>
  <c r="AN3" i="9"/>
  <c r="AJ3" i="9"/>
  <c r="M6" i="11"/>
  <c r="M7" i="11"/>
  <c r="M8" i="11"/>
  <c r="M9" i="11"/>
  <c r="M10" i="11"/>
  <c r="M11" i="11"/>
  <c r="M12" i="11"/>
  <c r="M13" i="11"/>
  <c r="M14" i="11"/>
  <c r="M15" i="11"/>
  <c r="M16" i="11"/>
  <c r="M17" i="11"/>
  <c r="M18" i="11"/>
  <c r="M19" i="11"/>
  <c r="M20" i="11"/>
  <c r="M21" i="11"/>
  <c r="M5" i="11"/>
  <c r="L105" i="17"/>
  <c r="L104" i="17"/>
  <c r="L103" i="17"/>
  <c r="L102" i="17"/>
  <c r="AM3" i="13"/>
  <c r="S29" i="16"/>
  <c r="S28" i="16"/>
  <c r="O29" i="16"/>
  <c r="O28" i="16"/>
  <c r="K29" i="16"/>
  <c r="K28" i="16"/>
  <c r="G29" i="16"/>
  <c r="G28" i="16"/>
  <c r="C29" i="16"/>
  <c r="C28" i="16"/>
  <c r="C39" i="16"/>
  <c r="S39" i="16"/>
  <c r="R39" i="16"/>
  <c r="S38" i="16"/>
  <c r="R38" i="16"/>
  <c r="N39" i="16"/>
  <c r="N38" i="16"/>
  <c r="O38" i="16" s="1"/>
  <c r="J39" i="16"/>
  <c r="J38" i="16"/>
  <c r="F39" i="16"/>
  <c r="F38" i="16"/>
  <c r="B39" i="16"/>
  <c r="B38" i="16"/>
  <c r="R29" i="16"/>
  <c r="R28" i="16"/>
  <c r="N29" i="16"/>
  <c r="N28" i="16"/>
  <c r="J29" i="16"/>
  <c r="J28" i="16"/>
  <c r="F29" i="16"/>
  <c r="F28" i="16"/>
  <c r="B28" i="16"/>
  <c r="B29" i="16"/>
  <c r="S19" i="16"/>
  <c r="R19" i="16"/>
  <c r="S18" i="16"/>
  <c r="R18" i="16"/>
  <c r="N19" i="16"/>
  <c r="N18" i="16"/>
  <c r="O18" i="16" s="1"/>
  <c r="J19" i="16"/>
  <c r="J18" i="16"/>
  <c r="F19" i="16"/>
  <c r="F18" i="16"/>
  <c r="B19" i="16"/>
  <c r="B18" i="16"/>
  <c r="AA79" i="7"/>
  <c r="S9" i="16"/>
  <c r="O8" i="16"/>
  <c r="R9" i="16"/>
  <c r="R8" i="16"/>
  <c r="N9" i="16"/>
  <c r="N8" i="16"/>
  <c r="J9" i="16"/>
  <c r="J8" i="16"/>
  <c r="K9" i="16" s="1"/>
  <c r="F9" i="16"/>
  <c r="F8" i="16"/>
  <c r="B9" i="16"/>
  <c r="C9" i="16" s="1"/>
  <c r="B8" i="16"/>
  <c r="P109" i="15"/>
  <c r="O113" i="15"/>
  <c r="Q113" i="15" s="1"/>
  <c r="R113" i="15" s="1"/>
  <c r="O112" i="15"/>
  <c r="Q112" i="15" s="1"/>
  <c r="R112" i="15" s="1"/>
  <c r="O111" i="15"/>
  <c r="Q111" i="15" s="1"/>
  <c r="R111" i="15" s="1"/>
  <c r="O110" i="15"/>
  <c r="Q110" i="15" s="1"/>
  <c r="R110" i="15" s="1"/>
  <c r="O109" i="15"/>
  <c r="P101" i="15"/>
  <c r="O105" i="15"/>
  <c r="Q105" i="15" s="1"/>
  <c r="R105" i="15" s="1"/>
  <c r="O104" i="15"/>
  <c r="Q104" i="15" s="1"/>
  <c r="R104" i="15" s="1"/>
  <c r="O103" i="15"/>
  <c r="Q103" i="15" s="1"/>
  <c r="R103" i="15" s="1"/>
  <c r="O102" i="15"/>
  <c r="Q102" i="15" s="1"/>
  <c r="R102" i="15" s="1"/>
  <c r="O101" i="15"/>
  <c r="Q101" i="15" s="1"/>
  <c r="R101" i="15" s="1"/>
  <c r="P93" i="15"/>
  <c r="O97" i="15"/>
  <c r="Q97" i="15" s="1"/>
  <c r="R97" i="15" s="1"/>
  <c r="O96" i="15"/>
  <c r="Q96" i="15" s="1"/>
  <c r="R96" i="15" s="1"/>
  <c r="O95" i="15"/>
  <c r="Q95" i="15" s="1"/>
  <c r="R95" i="15" s="1"/>
  <c r="O94" i="15"/>
  <c r="Q94" i="15" s="1"/>
  <c r="R94" i="15" s="1"/>
  <c r="O93" i="15"/>
  <c r="P85" i="15"/>
  <c r="O89" i="15"/>
  <c r="Q89" i="15" s="1"/>
  <c r="R89" i="15" s="1"/>
  <c r="O88" i="15"/>
  <c r="Q88" i="15" s="1"/>
  <c r="R88" i="15" s="1"/>
  <c r="O87" i="15"/>
  <c r="Q87" i="15" s="1"/>
  <c r="R87" i="15" s="1"/>
  <c r="O86" i="15"/>
  <c r="O85" i="15"/>
  <c r="P77" i="15"/>
  <c r="O81" i="15"/>
  <c r="Q81" i="15" s="1"/>
  <c r="R81" i="15" s="1"/>
  <c r="O80" i="15"/>
  <c r="Q80" i="15" s="1"/>
  <c r="R80" i="15" s="1"/>
  <c r="O79" i="15"/>
  <c r="Q79" i="15" s="1"/>
  <c r="R79" i="15" s="1"/>
  <c r="O78" i="15"/>
  <c r="O77" i="15"/>
  <c r="P69" i="15"/>
  <c r="O73" i="15"/>
  <c r="Q73" i="15" s="1"/>
  <c r="R73" i="15" s="1"/>
  <c r="O72" i="15"/>
  <c r="Q72" i="15" s="1"/>
  <c r="R72" i="15" s="1"/>
  <c r="O71" i="15"/>
  <c r="Q71" i="15" s="1"/>
  <c r="R71" i="15" s="1"/>
  <c r="O70" i="15"/>
  <c r="O69" i="15"/>
  <c r="P61" i="15"/>
  <c r="O65" i="15"/>
  <c r="Q65" i="15" s="1"/>
  <c r="R65" i="15" s="1"/>
  <c r="O64" i="15"/>
  <c r="Q64" i="15" s="1"/>
  <c r="R64" i="15" s="1"/>
  <c r="O63" i="15"/>
  <c r="Q63" i="15" s="1"/>
  <c r="R63" i="15" s="1"/>
  <c r="O62" i="15"/>
  <c r="O61" i="15"/>
  <c r="P53" i="15"/>
  <c r="O57" i="15"/>
  <c r="Q57" i="15" s="1"/>
  <c r="R57" i="15" s="1"/>
  <c r="O56" i="15"/>
  <c r="Q56" i="15" s="1"/>
  <c r="R56" i="15" s="1"/>
  <c r="O55" i="15"/>
  <c r="Q55" i="15" s="1"/>
  <c r="R55" i="15" s="1"/>
  <c r="O54" i="15"/>
  <c r="O53" i="15"/>
  <c r="P45" i="15"/>
  <c r="O49" i="15"/>
  <c r="Q49" i="15" s="1"/>
  <c r="R49" i="15" s="1"/>
  <c r="O48" i="15"/>
  <c r="Q48" i="15" s="1"/>
  <c r="R48" i="15" s="1"/>
  <c r="O47" i="15"/>
  <c r="Q47" i="15" s="1"/>
  <c r="R47" i="15" s="1"/>
  <c r="O46" i="15"/>
  <c r="O45" i="15"/>
  <c r="P37" i="15"/>
  <c r="O41" i="15"/>
  <c r="Q41" i="15" s="1"/>
  <c r="R41" i="15" s="1"/>
  <c r="O40" i="15"/>
  <c r="Q40" i="15" s="1"/>
  <c r="R40" i="15" s="1"/>
  <c r="O39" i="15"/>
  <c r="Q39" i="15" s="1"/>
  <c r="R39" i="15" s="1"/>
  <c r="O38" i="15"/>
  <c r="O37" i="15"/>
  <c r="P29" i="15"/>
  <c r="O33" i="15"/>
  <c r="Q33" i="15" s="1"/>
  <c r="R33" i="15" s="1"/>
  <c r="O32" i="15"/>
  <c r="Q32" i="15" s="1"/>
  <c r="R32" i="15" s="1"/>
  <c r="O31" i="15"/>
  <c r="Q31" i="15" s="1"/>
  <c r="R31" i="15" s="1"/>
  <c r="O30" i="15"/>
  <c r="O29" i="15"/>
  <c r="P21" i="15"/>
  <c r="O25" i="15"/>
  <c r="Q25" i="15" s="1"/>
  <c r="R25" i="15" s="1"/>
  <c r="O24" i="15"/>
  <c r="Q24" i="15" s="1"/>
  <c r="R24" i="15" s="1"/>
  <c r="O23" i="15"/>
  <c r="Q23" i="15" s="1"/>
  <c r="R23" i="15" s="1"/>
  <c r="O22" i="15"/>
  <c r="O21" i="15"/>
  <c r="O16" i="15"/>
  <c r="Q16" i="15" s="1"/>
  <c r="R16" i="15" s="1"/>
  <c r="O15" i="15"/>
  <c r="Q15" i="15" s="1"/>
  <c r="R15" i="15" s="1"/>
  <c r="O14" i="15"/>
  <c r="P13" i="15"/>
  <c r="O17" i="15"/>
  <c r="Q17" i="15" s="1"/>
  <c r="R17" i="15" s="1"/>
  <c r="O13" i="15"/>
  <c r="P5" i="15"/>
  <c r="O8" i="15"/>
  <c r="O9" i="15"/>
  <c r="O7" i="15"/>
  <c r="Q7" i="15" s="1"/>
  <c r="R7" i="15" s="1"/>
  <c r="O6" i="15"/>
  <c r="O5" i="15"/>
  <c r="Q5" i="15" l="1"/>
  <c r="R5" i="15" s="1"/>
  <c r="I13" i="15"/>
  <c r="J13" i="15" s="1"/>
  <c r="Q85" i="15"/>
  <c r="R85" i="15" s="1"/>
  <c r="R38" i="18"/>
  <c r="B38" i="18"/>
  <c r="B39" i="18"/>
  <c r="S38" i="18"/>
  <c r="S39" i="18"/>
  <c r="N38" i="18"/>
  <c r="J39" i="18"/>
  <c r="J38" i="18"/>
  <c r="G39" i="18"/>
  <c r="G38" i="18"/>
  <c r="S29" i="18"/>
  <c r="S28" i="18"/>
  <c r="J28" i="18"/>
  <c r="J29" i="18"/>
  <c r="R29" i="18"/>
  <c r="N29" i="18"/>
  <c r="K28" i="18"/>
  <c r="K29" i="18"/>
  <c r="G29" i="18"/>
  <c r="G28" i="18"/>
  <c r="F28" i="18"/>
  <c r="F29" i="18"/>
  <c r="O18" i="18"/>
  <c r="O19" i="18"/>
  <c r="N19" i="18"/>
  <c r="K19" i="18"/>
  <c r="K18" i="18"/>
  <c r="F18" i="18"/>
  <c r="F19" i="18"/>
  <c r="S18" i="18"/>
  <c r="S19" i="18"/>
  <c r="R19" i="18"/>
  <c r="R18" i="18"/>
  <c r="B19" i="18"/>
  <c r="B9" i="18"/>
  <c r="R8" i="18"/>
  <c r="N8" i="18"/>
  <c r="F9" i="18"/>
  <c r="F8" i="18"/>
  <c r="S9" i="18"/>
  <c r="J8" i="18"/>
  <c r="J9" i="18"/>
  <c r="B8" i="18"/>
  <c r="I109" i="15"/>
  <c r="J109" i="15" s="1"/>
  <c r="I101" i="15"/>
  <c r="J101" i="15" s="1"/>
  <c r="I93" i="15"/>
  <c r="J93" i="15" s="1"/>
  <c r="I85" i="15"/>
  <c r="J85" i="15" s="1"/>
  <c r="I53" i="15"/>
  <c r="J53" i="15" s="1"/>
  <c r="I37" i="15"/>
  <c r="J37" i="15" s="1"/>
  <c r="I21" i="15"/>
  <c r="J21" i="15" s="1"/>
  <c r="I5" i="15"/>
  <c r="J5" i="15" s="1"/>
  <c r="CS5" i="10"/>
  <c r="CS3" i="10"/>
  <c r="CS4" i="10"/>
  <c r="CS7" i="10"/>
  <c r="CL5" i="10"/>
  <c r="CL7" i="10"/>
  <c r="CL3" i="10"/>
  <c r="CL4" i="10"/>
  <c r="CE7" i="10"/>
  <c r="CE4" i="10"/>
  <c r="CE3" i="10"/>
  <c r="CE5" i="10"/>
  <c r="BX7" i="10"/>
  <c r="BX3" i="10"/>
  <c r="BX4" i="10"/>
  <c r="BX5" i="10"/>
  <c r="BQ3" i="10"/>
  <c r="BQ5" i="10"/>
  <c r="BQ4" i="10"/>
  <c r="BQ7" i="10"/>
  <c r="BJ7" i="10"/>
  <c r="BJ3" i="10"/>
  <c r="BJ4" i="10"/>
  <c r="BJ5" i="10"/>
  <c r="BC3" i="10"/>
  <c r="BC4" i="10"/>
  <c r="BC5" i="10"/>
  <c r="BC7" i="10"/>
  <c r="AV7" i="10"/>
  <c r="AV4" i="10"/>
  <c r="AV3" i="10"/>
  <c r="AV5" i="10"/>
  <c r="AO3" i="10"/>
  <c r="AO4" i="10"/>
  <c r="AO5" i="10"/>
  <c r="AO7" i="10"/>
  <c r="AH5" i="10"/>
  <c r="AH7" i="10"/>
  <c r="AH3" i="10"/>
  <c r="AH4" i="10"/>
  <c r="AA3" i="10"/>
  <c r="AA4" i="10"/>
  <c r="AA5" i="10"/>
  <c r="AA7" i="10"/>
  <c r="C24" i="5"/>
  <c r="C25" i="5" s="1"/>
  <c r="F24" i="5"/>
  <c r="F25" i="5" s="1"/>
  <c r="G24" i="5"/>
  <c r="G25" i="5" s="1"/>
  <c r="D25" i="5"/>
  <c r="E25" i="5"/>
  <c r="K39" i="16"/>
  <c r="O39" i="16"/>
  <c r="K38" i="16"/>
  <c r="G38" i="16"/>
  <c r="G39" i="16"/>
  <c r="C38" i="16"/>
  <c r="K19" i="16"/>
  <c r="G19" i="16"/>
  <c r="G18" i="16"/>
  <c r="O19" i="16"/>
  <c r="K18" i="16"/>
  <c r="C19" i="16"/>
  <c r="C18" i="16"/>
  <c r="S8" i="16"/>
  <c r="K8" i="16"/>
  <c r="G9" i="16"/>
  <c r="G8" i="16"/>
  <c r="O9" i="16"/>
  <c r="C8" i="16"/>
  <c r="Q109" i="15"/>
  <c r="R109" i="15" s="1"/>
  <c r="Q93" i="15"/>
  <c r="R93" i="15" s="1"/>
  <c r="Q86" i="15"/>
  <c r="R86" i="15" s="1"/>
  <c r="Q78" i="15"/>
  <c r="R78" i="15" s="1"/>
  <c r="Q77" i="15"/>
  <c r="R77" i="15" s="1"/>
  <c r="Q70" i="15"/>
  <c r="R70" i="15" s="1"/>
  <c r="Q69" i="15"/>
  <c r="R69" i="15" s="1"/>
  <c r="Q62" i="15"/>
  <c r="R62" i="15" s="1"/>
  <c r="Q61" i="15"/>
  <c r="R61" i="15" s="1"/>
  <c r="Q54" i="15"/>
  <c r="R54" i="15" s="1"/>
  <c r="Q53" i="15"/>
  <c r="R53" i="15" s="1"/>
  <c r="Q46" i="15"/>
  <c r="R46" i="15" s="1"/>
  <c r="Q45" i="15"/>
  <c r="R45" i="15" s="1"/>
  <c r="Q38" i="15"/>
  <c r="R38" i="15" s="1"/>
  <c r="Q37" i="15"/>
  <c r="R37" i="15" s="1"/>
  <c r="Q30" i="15"/>
  <c r="R30" i="15" s="1"/>
  <c r="Q29" i="15"/>
  <c r="R29" i="15" s="1"/>
  <c r="Q22" i="15"/>
  <c r="R22" i="15" s="1"/>
  <c r="Q21" i="15"/>
  <c r="R21" i="15" s="1"/>
  <c r="Q13" i="15"/>
  <c r="R13" i="15" s="1"/>
  <c r="Q14" i="15"/>
  <c r="R14" i="15" s="1"/>
  <c r="Q9" i="15"/>
  <c r="R9" i="15" s="1"/>
  <c r="Q6" i="15"/>
  <c r="R6" i="15" s="1"/>
  <c r="Q8" i="15"/>
  <c r="R8" i="15" s="1"/>
  <c r="K39" i="18" l="1"/>
  <c r="K38" i="18"/>
  <c r="C38" i="18"/>
  <c r="C39" i="18"/>
  <c r="G19" i="18"/>
  <c r="G18" i="18"/>
  <c r="C18" i="18"/>
  <c r="C19" i="18"/>
  <c r="K9" i="18"/>
  <c r="K8" i="18"/>
  <c r="G9" i="18"/>
  <c r="G8" i="18"/>
  <c r="C9" i="18"/>
  <c r="C8" i="18"/>
  <c r="BQ6" i="13"/>
  <c r="BQ5" i="13"/>
  <c r="BQ4" i="13"/>
  <c r="BQ3" i="13"/>
  <c r="BL5" i="13"/>
  <c r="BL4" i="13"/>
  <c r="BL3" i="13"/>
  <c r="BL6" i="13"/>
  <c r="BG7" i="13"/>
  <c r="BG6" i="13"/>
  <c r="BG4" i="13"/>
  <c r="BG3" i="13"/>
  <c r="BB6" i="13"/>
  <c r="BB5" i="13"/>
  <c r="BB4" i="13"/>
  <c r="BB3" i="13"/>
  <c r="AW6" i="13"/>
  <c r="AW5" i="13"/>
  <c r="AW4" i="13"/>
  <c r="AW3" i="13"/>
  <c r="AR6" i="13"/>
  <c r="AR5" i="13"/>
  <c r="AR4" i="13"/>
  <c r="AR3" i="13"/>
  <c r="AM6" i="13"/>
  <c r="AM5" i="13"/>
  <c r="AM4" i="13"/>
  <c r="AH6" i="13"/>
  <c r="AH5" i="13"/>
  <c r="AH4" i="13"/>
  <c r="AH3" i="13"/>
  <c r="AC6" i="13"/>
  <c r="AC5" i="13"/>
  <c r="AC4" i="13"/>
  <c r="AC3" i="13"/>
  <c r="X6" i="13"/>
  <c r="X5" i="13"/>
  <c r="X4" i="13"/>
  <c r="X3" i="13"/>
  <c r="S6" i="13"/>
  <c r="S5" i="13"/>
  <c r="S4" i="13"/>
  <c r="S3" i="13"/>
  <c r="N6" i="13"/>
  <c r="N5" i="13"/>
  <c r="N4" i="13"/>
  <c r="N3" i="13"/>
  <c r="I6" i="13" l="1"/>
  <c r="I5" i="13"/>
  <c r="I4" i="13"/>
  <c r="I3" i="13"/>
  <c r="D5" i="13"/>
  <c r="D4" i="13"/>
  <c r="D3" i="13"/>
  <c r="D6" i="13"/>
  <c r="AB3" i="12"/>
  <c r="AA4" i="12"/>
  <c r="AA5" i="12"/>
  <c r="AA6" i="12"/>
  <c r="AA7" i="12"/>
  <c r="AA8" i="12"/>
  <c r="AA9" i="12"/>
  <c r="AA10" i="12"/>
  <c r="AA11" i="12"/>
  <c r="AA12" i="12"/>
  <c r="AA13" i="12"/>
  <c r="AA14" i="12"/>
  <c r="AA15" i="12"/>
  <c r="AA16" i="12"/>
  <c r="AA17" i="12"/>
  <c r="AA18" i="12"/>
  <c r="AA19" i="12"/>
  <c r="AA20" i="12"/>
  <c r="AA21" i="12"/>
  <c r="AA22" i="12"/>
  <c r="AA23" i="12"/>
  <c r="AA24" i="12"/>
  <c r="AA25" i="12"/>
  <c r="AA26" i="12"/>
  <c r="AA27" i="12"/>
  <c r="AA28" i="12"/>
  <c r="AA29" i="12"/>
  <c r="AA30" i="12"/>
  <c r="AA31" i="12"/>
  <c r="AA32" i="12"/>
  <c r="AA33" i="12"/>
  <c r="AA34" i="12"/>
  <c r="AA35" i="12"/>
  <c r="AA36" i="12"/>
  <c r="AA37" i="12"/>
  <c r="AA38" i="12"/>
  <c r="AA39" i="12"/>
  <c r="AA40" i="12"/>
  <c r="AA41" i="12"/>
  <c r="AA42" i="12"/>
  <c r="AA43" i="12"/>
  <c r="AA44" i="12"/>
  <c r="AA45" i="12"/>
  <c r="AA46" i="12"/>
  <c r="AA47" i="12"/>
  <c r="AA48" i="12"/>
  <c r="AA49" i="12"/>
  <c r="AA50" i="12"/>
  <c r="AA51" i="12"/>
  <c r="AA52" i="12"/>
  <c r="AA53" i="12"/>
  <c r="AA54" i="12"/>
  <c r="AA55" i="12"/>
  <c r="AA56" i="12"/>
  <c r="AA57" i="12"/>
  <c r="AA58" i="12"/>
  <c r="AA59" i="12"/>
  <c r="AA60" i="12"/>
  <c r="AA61" i="12"/>
  <c r="AA62" i="12"/>
  <c r="AA63" i="12"/>
  <c r="AA64" i="12"/>
  <c r="AA65" i="12"/>
  <c r="AA66" i="12"/>
  <c r="AA67" i="12"/>
  <c r="AA68" i="12"/>
  <c r="AA69" i="12"/>
  <c r="AA70" i="12"/>
  <c r="AA71" i="12"/>
  <c r="AA72" i="12"/>
  <c r="AA73" i="12"/>
  <c r="AA74" i="12"/>
  <c r="AA75" i="12"/>
  <c r="AA3" i="12"/>
  <c r="X3" i="12"/>
  <c r="W4" i="12"/>
  <c r="W5" i="12"/>
  <c r="W6" i="12"/>
  <c r="W7" i="12"/>
  <c r="W8" i="12"/>
  <c r="W9" i="12"/>
  <c r="W10" i="12"/>
  <c r="W11" i="12"/>
  <c r="W12" i="12"/>
  <c r="W13" i="12"/>
  <c r="W14" i="12"/>
  <c r="W15" i="12"/>
  <c r="W16" i="12"/>
  <c r="W17" i="12"/>
  <c r="W18" i="12"/>
  <c r="W19" i="12"/>
  <c r="W20" i="12"/>
  <c r="W21" i="12"/>
  <c r="W22" i="12"/>
  <c r="W23" i="12"/>
  <c r="W24" i="12"/>
  <c r="W25" i="12"/>
  <c r="W26" i="12"/>
  <c r="W27" i="12"/>
  <c r="W28" i="12"/>
  <c r="W29" i="12"/>
  <c r="W30" i="12"/>
  <c r="W31" i="12"/>
  <c r="W32" i="12"/>
  <c r="W33" i="12"/>
  <c r="W34" i="12"/>
  <c r="W35" i="12"/>
  <c r="W36" i="12"/>
  <c r="W37" i="12"/>
  <c r="W38" i="12"/>
  <c r="W39" i="12"/>
  <c r="W40" i="12"/>
  <c r="W41" i="12"/>
  <c r="W42" i="12"/>
  <c r="W43" i="12"/>
  <c r="W44" i="12"/>
  <c r="W45" i="12"/>
  <c r="W46" i="12"/>
  <c r="W47" i="12"/>
  <c r="W48" i="12"/>
  <c r="W49" i="12"/>
  <c r="W50" i="12"/>
  <c r="W51" i="12"/>
  <c r="W52" i="12"/>
  <c r="W53" i="12"/>
  <c r="W54" i="12"/>
  <c r="W55" i="12"/>
  <c r="W56" i="12"/>
  <c r="W57" i="12"/>
  <c r="W58" i="12"/>
  <c r="W59" i="12"/>
  <c r="W60" i="12"/>
  <c r="W61" i="12"/>
  <c r="W62" i="12"/>
  <c r="W63" i="12"/>
  <c r="W64" i="12"/>
  <c r="W65" i="12"/>
  <c r="W66" i="12"/>
  <c r="W67" i="12"/>
  <c r="W68" i="12"/>
  <c r="W69" i="12"/>
  <c r="W70" i="12"/>
  <c r="W71" i="12"/>
  <c r="W72" i="12"/>
  <c r="W73" i="12"/>
  <c r="W74" i="12"/>
  <c r="W75" i="12"/>
  <c r="W3" i="12"/>
  <c r="T3" i="12"/>
  <c r="S4" i="12"/>
  <c r="S5" i="12"/>
  <c r="S6" i="12"/>
  <c r="S7" i="12"/>
  <c r="S8" i="12"/>
  <c r="S9" i="12"/>
  <c r="S10" i="12"/>
  <c r="S11" i="12"/>
  <c r="S12" i="12"/>
  <c r="S13" i="12"/>
  <c r="S14" i="12"/>
  <c r="S15" i="12"/>
  <c r="S16" i="12"/>
  <c r="S17" i="12"/>
  <c r="S18" i="12"/>
  <c r="S19" i="12"/>
  <c r="S20" i="12"/>
  <c r="S21" i="12"/>
  <c r="S22" i="12"/>
  <c r="S23" i="12"/>
  <c r="S24" i="12"/>
  <c r="S25" i="12"/>
  <c r="S26" i="12"/>
  <c r="S27" i="12"/>
  <c r="S28" i="12"/>
  <c r="S29" i="12"/>
  <c r="S30" i="12"/>
  <c r="S31" i="12"/>
  <c r="S32" i="12"/>
  <c r="S33" i="12"/>
  <c r="S34" i="12"/>
  <c r="S35" i="12"/>
  <c r="S36" i="12"/>
  <c r="S37" i="12"/>
  <c r="S38" i="12"/>
  <c r="S39" i="12"/>
  <c r="S40" i="12"/>
  <c r="S41" i="12"/>
  <c r="S42" i="12"/>
  <c r="S43" i="12"/>
  <c r="S44" i="12"/>
  <c r="S45" i="12"/>
  <c r="S46" i="12"/>
  <c r="S47" i="12"/>
  <c r="S48" i="12"/>
  <c r="S49" i="12"/>
  <c r="S50" i="12"/>
  <c r="S51" i="12"/>
  <c r="S52" i="12"/>
  <c r="S53" i="12"/>
  <c r="S54" i="12"/>
  <c r="S55" i="12"/>
  <c r="S56" i="12"/>
  <c r="S57" i="12"/>
  <c r="S58" i="12"/>
  <c r="S59" i="12"/>
  <c r="S60" i="12"/>
  <c r="S61" i="12"/>
  <c r="S62" i="12"/>
  <c r="S63" i="12"/>
  <c r="S64" i="12"/>
  <c r="S65" i="12"/>
  <c r="S66" i="12"/>
  <c r="S67" i="12"/>
  <c r="S68" i="12"/>
  <c r="S69" i="12"/>
  <c r="S70" i="12"/>
  <c r="S71" i="12"/>
  <c r="S72" i="12"/>
  <c r="S73" i="12"/>
  <c r="S74" i="12"/>
  <c r="S75" i="12"/>
  <c r="S3" i="12"/>
  <c r="P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3" i="12"/>
  <c r="L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3" i="12"/>
  <c r="AZ3" i="12"/>
  <c r="AV3" i="12"/>
  <c r="AR3" i="12"/>
  <c r="AN3" i="12"/>
  <c r="AJ3" i="12"/>
  <c r="S7" i="10"/>
  <c r="S6" i="10"/>
  <c r="S5" i="10"/>
  <c r="S4" i="10"/>
  <c r="S3" i="10"/>
  <c r="L7" i="10"/>
  <c r="L6" i="10"/>
  <c r="L5" i="10"/>
  <c r="L4" i="10"/>
  <c r="L3" i="10"/>
  <c r="E7" i="10"/>
  <c r="E6" i="10"/>
  <c r="E5" i="10"/>
  <c r="E4" i="10"/>
  <c r="E3" i="10"/>
  <c r="F3" i="10" l="1"/>
  <c r="F5" i="10"/>
  <c r="F4" i="10"/>
  <c r="F7" i="10"/>
  <c r="T3" i="10"/>
  <c r="T5" i="10"/>
  <c r="T4" i="10"/>
  <c r="T7" i="10"/>
  <c r="M3" i="10"/>
  <c r="M4" i="10"/>
  <c r="M5" i="10"/>
  <c r="M7" i="10"/>
  <c r="K4" i="9" l="1"/>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K74" i="9"/>
  <c r="K75" i="9"/>
  <c r="K76" i="9"/>
  <c r="K77" i="9"/>
  <c r="K78" i="9"/>
  <c r="K79" i="9"/>
  <c r="K80" i="9"/>
  <c r="K81" i="9"/>
  <c r="K82" i="9"/>
  <c r="K83" i="9"/>
  <c r="K84" i="9"/>
  <c r="K85" i="9"/>
  <c r="K86" i="9"/>
  <c r="K87" i="9"/>
  <c r="K88" i="9"/>
  <c r="K89" i="9"/>
  <c r="K90" i="9"/>
  <c r="K91" i="9"/>
  <c r="K92" i="9"/>
  <c r="K93" i="9"/>
  <c r="K94" i="9"/>
  <c r="K95" i="9"/>
  <c r="K96" i="9"/>
  <c r="K97" i="9"/>
  <c r="K98" i="9"/>
  <c r="K99" i="9"/>
  <c r="K100" i="9"/>
  <c r="K101" i="9"/>
  <c r="K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3" i="9"/>
  <c r="W4" i="9"/>
  <c r="W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3" i="9"/>
  <c r="AA4" i="9"/>
  <c r="AA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3" i="9"/>
  <c r="AA145" i="7" l="1"/>
  <c r="AA144" i="7"/>
  <c r="AA143" i="7"/>
  <c r="AA142" i="7"/>
  <c r="AA141" i="7"/>
  <c r="AA140" i="7"/>
  <c r="AA139" i="7"/>
  <c r="AA138" i="7"/>
  <c r="AA137" i="7"/>
  <c r="AA136" i="7"/>
  <c r="AA135" i="7"/>
  <c r="AA134" i="7"/>
  <c r="AA133" i="7"/>
  <c r="AA132" i="7"/>
  <c r="AA131" i="7"/>
  <c r="AA130" i="7"/>
  <c r="AA98" i="7"/>
  <c r="AA113" i="7"/>
  <c r="AA112" i="7"/>
  <c r="AA111" i="7"/>
  <c r="AA110" i="7"/>
  <c r="AA109" i="7"/>
  <c r="AA108" i="7"/>
  <c r="AA107" i="7"/>
  <c r="AA106" i="7"/>
  <c r="AA105" i="7"/>
  <c r="AA104" i="7"/>
  <c r="AA103" i="7"/>
  <c r="AA102" i="7"/>
  <c r="AA101" i="7"/>
  <c r="AA100" i="7"/>
  <c r="AA99" i="7"/>
  <c r="AA43" i="7"/>
  <c r="T3" i="6"/>
  <c r="T4" i="6"/>
  <c r="AA67" i="7"/>
  <c r="AA66" i="7"/>
  <c r="AA81" i="7"/>
  <c r="AA80" i="7"/>
  <c r="AA78" i="7"/>
  <c r="AA77" i="7"/>
  <c r="AA76" i="7"/>
  <c r="AA75" i="7"/>
  <c r="AA74" i="7"/>
  <c r="AA73" i="7"/>
  <c r="AA72" i="7"/>
  <c r="AA71" i="7"/>
  <c r="AA70" i="7"/>
  <c r="AA69" i="7"/>
  <c r="AA68" i="7"/>
  <c r="AA34" i="7"/>
  <c r="R59" i="7"/>
  <c r="T2" i="6"/>
  <c r="AA49" i="7"/>
  <c r="AA48" i="7"/>
  <c r="AA47" i="7"/>
  <c r="AA46" i="7"/>
  <c r="AA45" i="7"/>
  <c r="AA44" i="7"/>
  <c r="AA42" i="7"/>
  <c r="AA41" i="7"/>
  <c r="AA40" i="7"/>
  <c r="AA39" i="7"/>
  <c r="AA38" i="7"/>
  <c r="AA37" i="7"/>
  <c r="AA36" i="7"/>
  <c r="AA35" i="7"/>
  <c r="AA4" i="7"/>
  <c r="AA3" i="7"/>
  <c r="AA5" i="7"/>
  <c r="AA6" i="7"/>
  <c r="AA7" i="7"/>
  <c r="AA8" i="7"/>
  <c r="AA9" i="7"/>
  <c r="AA10" i="7"/>
  <c r="AA11" i="7"/>
  <c r="AA12" i="7"/>
  <c r="AA13" i="7"/>
  <c r="AA14" i="7"/>
  <c r="AA15" i="7"/>
  <c r="AA16" i="7"/>
  <c r="AA17" i="7"/>
  <c r="AA2" i="7"/>
  <c r="S3" i="7"/>
  <c r="S4" i="7"/>
  <c r="W4" i="7" s="1"/>
  <c r="S7" i="7"/>
  <c r="U7" i="7" s="1"/>
  <c r="S12" i="7"/>
  <c r="S18" i="7"/>
  <c r="W18" i="7" s="1"/>
  <c r="S19" i="7"/>
  <c r="S21" i="7"/>
  <c r="U21" i="7" s="1"/>
  <c r="S22" i="7"/>
  <c r="U22" i="7" s="1"/>
  <c r="S24" i="7"/>
  <c r="W24" i="7" s="1"/>
  <c r="S26" i="7"/>
  <c r="W26" i="7" s="1"/>
  <c r="S27" i="7"/>
  <c r="W27" i="7" s="1"/>
  <c r="S28" i="7"/>
  <c r="U28" i="7" s="1"/>
  <c r="S29" i="7"/>
  <c r="U29" i="7" s="1"/>
  <c r="S30" i="7"/>
  <c r="S34" i="7"/>
  <c r="W34" i="7" s="1"/>
  <c r="S39" i="7"/>
  <c r="W39" i="7" s="1"/>
  <c r="S41" i="7"/>
  <c r="W41" i="7" s="1"/>
  <c r="S44" i="7"/>
  <c r="S46" i="7"/>
  <c r="S47" i="7"/>
  <c r="S51" i="7"/>
  <c r="S52" i="7"/>
  <c r="U52" i="7" s="1"/>
  <c r="S55" i="7"/>
  <c r="S58" i="7"/>
  <c r="W58" i="7" s="1"/>
  <c r="S60" i="7"/>
  <c r="S62" i="7"/>
  <c r="S63" i="7"/>
  <c r="W63" i="7" s="1"/>
  <c r="S64" i="7"/>
  <c r="W64" i="7" s="1"/>
  <c r="S72" i="7"/>
  <c r="W72" i="7" s="1"/>
  <c r="S74" i="7"/>
  <c r="W74" i="7" s="1"/>
  <c r="S76" i="7"/>
  <c r="U76" i="7" s="1"/>
  <c r="S78" i="7"/>
  <c r="S79" i="7"/>
  <c r="W79" i="7" s="1"/>
  <c r="S80" i="7"/>
  <c r="U80" i="7" s="1"/>
  <c r="S83" i="7"/>
  <c r="W83" i="7" s="1"/>
  <c r="S86" i="7"/>
  <c r="U86" i="7" s="1"/>
  <c r="S90" i="7"/>
  <c r="W90" i="7" s="1"/>
  <c r="S91" i="7"/>
  <c r="W91" i="7" s="1"/>
  <c r="S92" i="7"/>
  <c r="U92" i="7" s="1"/>
  <c r="S94" i="7"/>
  <c r="S95" i="7"/>
  <c r="W95" i="7" s="1"/>
  <c r="S96" i="7"/>
  <c r="W96" i="7" s="1"/>
  <c r="S107" i="7"/>
  <c r="W107" i="7" s="1"/>
  <c r="S108" i="7"/>
  <c r="S110" i="7"/>
  <c r="S112" i="7"/>
  <c r="U112" i="7" s="1"/>
  <c r="S118" i="7"/>
  <c r="S124" i="7"/>
  <c r="U124" i="7" s="1"/>
  <c r="S126" i="7"/>
  <c r="S131" i="7"/>
  <c r="W131" i="7" s="1"/>
  <c r="S133" i="7"/>
  <c r="U133" i="7" s="1"/>
  <c r="S134" i="7"/>
  <c r="W134" i="7" s="1"/>
  <c r="S135" i="7"/>
  <c r="W135" i="7" s="1"/>
  <c r="S136" i="7"/>
  <c r="U136" i="7" s="1"/>
  <c r="S140" i="7"/>
  <c r="U140" i="7" s="1"/>
  <c r="S142" i="7"/>
  <c r="S144" i="7"/>
  <c r="S145" i="7"/>
  <c r="S146" i="7"/>
  <c r="W146" i="7" s="1"/>
  <c r="S148" i="7"/>
  <c r="U148" i="7" s="1"/>
  <c r="S149" i="7"/>
  <c r="U149" i="7" s="1"/>
  <c r="S152" i="7"/>
  <c r="U152" i="7" s="1"/>
  <c r="S156" i="7"/>
  <c r="U156" i="7" s="1"/>
  <c r="S158" i="7"/>
  <c r="U144" i="7"/>
  <c r="U145" i="7"/>
  <c r="R3" i="7"/>
  <c r="R4" i="7"/>
  <c r="R5" i="7"/>
  <c r="S5" i="7" s="1"/>
  <c r="U5" i="7" s="1"/>
  <c r="R6" i="7"/>
  <c r="S6" i="7" s="1"/>
  <c r="U6" i="7" s="1"/>
  <c r="R7" i="7"/>
  <c r="R8" i="7"/>
  <c r="S8" i="7" s="1"/>
  <c r="U8" i="7" s="1"/>
  <c r="R9" i="7"/>
  <c r="S9" i="7" s="1"/>
  <c r="W9" i="7" s="1"/>
  <c r="R10" i="7"/>
  <c r="S10" i="7" s="1"/>
  <c r="U10" i="7" s="1"/>
  <c r="R11" i="7"/>
  <c r="S11" i="7" s="1"/>
  <c r="W11" i="7" s="1"/>
  <c r="R12" i="7"/>
  <c r="R13" i="7"/>
  <c r="S13" i="7" s="1"/>
  <c r="U13" i="7" s="1"/>
  <c r="R14" i="7"/>
  <c r="S14" i="7" s="1"/>
  <c r="U14" i="7" s="1"/>
  <c r="R15" i="7"/>
  <c r="S15" i="7" s="1"/>
  <c r="U15" i="7" s="1"/>
  <c r="R16" i="7"/>
  <c r="S16" i="7" s="1"/>
  <c r="U16" i="7" s="1"/>
  <c r="R17" i="7"/>
  <c r="S17" i="7" s="1"/>
  <c r="W17" i="7" s="1"/>
  <c r="R18" i="7"/>
  <c r="R19" i="7"/>
  <c r="R20" i="7"/>
  <c r="S20" i="7" s="1"/>
  <c r="U20" i="7" s="1"/>
  <c r="R21" i="7"/>
  <c r="R22" i="7"/>
  <c r="R23" i="7"/>
  <c r="S23" i="7" s="1"/>
  <c r="W23" i="7" s="1"/>
  <c r="R24" i="7"/>
  <c r="R25" i="7"/>
  <c r="S25" i="7" s="1"/>
  <c r="W25" i="7" s="1"/>
  <c r="R26" i="7"/>
  <c r="R27" i="7"/>
  <c r="R28" i="7"/>
  <c r="R29" i="7"/>
  <c r="R30" i="7"/>
  <c r="R31" i="7"/>
  <c r="S31" i="7" s="1"/>
  <c r="W31" i="7" s="1"/>
  <c r="R32" i="7"/>
  <c r="S32" i="7" s="1"/>
  <c r="W32" i="7" s="1"/>
  <c r="R33" i="7"/>
  <c r="S33" i="7" s="1"/>
  <c r="W33" i="7" s="1"/>
  <c r="R34" i="7"/>
  <c r="R35" i="7"/>
  <c r="S35" i="7" s="1"/>
  <c r="W35" i="7" s="1"/>
  <c r="R36" i="7"/>
  <c r="S36" i="7" s="1"/>
  <c r="U36" i="7" s="1"/>
  <c r="R37" i="7"/>
  <c r="S37" i="7" s="1"/>
  <c r="U37" i="7" s="1"/>
  <c r="R38" i="7"/>
  <c r="S38" i="7" s="1"/>
  <c r="U38" i="7" s="1"/>
  <c r="R39" i="7"/>
  <c r="R40" i="7"/>
  <c r="S40" i="7" s="1"/>
  <c r="W40" i="7" s="1"/>
  <c r="R41" i="7"/>
  <c r="R42" i="7"/>
  <c r="S42" i="7" s="1"/>
  <c r="W42" i="7" s="1"/>
  <c r="R43" i="7"/>
  <c r="S43" i="7" s="1"/>
  <c r="W43" i="7" s="1"/>
  <c r="R44" i="7"/>
  <c r="R45" i="7"/>
  <c r="S45" i="7" s="1"/>
  <c r="U45" i="7" s="1"/>
  <c r="R46" i="7"/>
  <c r="R47" i="7"/>
  <c r="R48" i="7"/>
  <c r="S48" i="7" s="1"/>
  <c r="W48" i="7" s="1"/>
  <c r="R49" i="7"/>
  <c r="S49" i="7" s="1"/>
  <c r="W49" i="7" s="1"/>
  <c r="R50" i="7"/>
  <c r="S50" i="7" s="1"/>
  <c r="W50" i="7" s="1"/>
  <c r="R51" i="7"/>
  <c r="R52" i="7"/>
  <c r="R53" i="7"/>
  <c r="S53" i="7" s="1"/>
  <c r="U53" i="7" s="1"/>
  <c r="R54" i="7"/>
  <c r="S54" i="7" s="1"/>
  <c r="U54" i="7" s="1"/>
  <c r="R55" i="7"/>
  <c r="R56" i="7"/>
  <c r="S56" i="7" s="1"/>
  <c r="U56" i="7" s="1"/>
  <c r="R57" i="7"/>
  <c r="S57" i="7" s="1"/>
  <c r="W57" i="7" s="1"/>
  <c r="R58" i="7"/>
  <c r="S59" i="7"/>
  <c r="W59" i="7" s="1"/>
  <c r="R60" i="7"/>
  <c r="R61" i="7"/>
  <c r="S61" i="7" s="1"/>
  <c r="W61" i="7" s="1"/>
  <c r="R62" i="7"/>
  <c r="R63" i="7"/>
  <c r="R64" i="7"/>
  <c r="R65" i="7"/>
  <c r="S65" i="7" s="1"/>
  <c r="W65" i="7" s="1"/>
  <c r="R66" i="7"/>
  <c r="S66" i="7" s="1"/>
  <c r="W66" i="7" s="1"/>
  <c r="R67" i="7"/>
  <c r="S67" i="7" s="1"/>
  <c r="W67" i="7" s="1"/>
  <c r="R68" i="7"/>
  <c r="S68" i="7" s="1"/>
  <c r="U68" i="7" s="1"/>
  <c r="R69" i="7"/>
  <c r="S69" i="7" s="1"/>
  <c r="W69" i="7" s="1"/>
  <c r="R70" i="7"/>
  <c r="S70" i="7" s="1"/>
  <c r="W70" i="7" s="1"/>
  <c r="R71" i="7"/>
  <c r="S71" i="7" s="1"/>
  <c r="W71" i="7" s="1"/>
  <c r="R72" i="7"/>
  <c r="R73" i="7"/>
  <c r="S73" i="7" s="1"/>
  <c r="W73" i="7" s="1"/>
  <c r="R74" i="7"/>
  <c r="R75" i="7"/>
  <c r="S75" i="7" s="1"/>
  <c r="W75" i="7" s="1"/>
  <c r="R76" i="7"/>
  <c r="R77" i="7"/>
  <c r="S77" i="7" s="1"/>
  <c r="U77" i="7" s="1"/>
  <c r="R78" i="7"/>
  <c r="R79" i="7"/>
  <c r="R80" i="7"/>
  <c r="R81" i="7"/>
  <c r="S81" i="7" s="1"/>
  <c r="W81" i="7" s="1"/>
  <c r="R82" i="7"/>
  <c r="S82" i="7" s="1"/>
  <c r="W82" i="7" s="1"/>
  <c r="R83" i="7"/>
  <c r="R84" i="7"/>
  <c r="S84" i="7" s="1"/>
  <c r="U84" i="7" s="1"/>
  <c r="R85" i="7"/>
  <c r="S85" i="7" s="1"/>
  <c r="U85" i="7" s="1"/>
  <c r="R86" i="7"/>
  <c r="R87" i="7"/>
  <c r="S87" i="7" s="1"/>
  <c r="W87" i="7" s="1"/>
  <c r="R88" i="7"/>
  <c r="S88" i="7" s="1"/>
  <c r="U88" i="7" s="1"/>
  <c r="R89" i="7"/>
  <c r="S89" i="7" s="1"/>
  <c r="W89" i="7" s="1"/>
  <c r="R90" i="7"/>
  <c r="R91" i="7"/>
  <c r="R92" i="7"/>
  <c r="R93" i="7"/>
  <c r="S93" i="7" s="1"/>
  <c r="W93" i="7" s="1"/>
  <c r="R94" i="7"/>
  <c r="R95" i="7"/>
  <c r="R96" i="7"/>
  <c r="R97" i="7"/>
  <c r="S97" i="7" s="1"/>
  <c r="W97" i="7" s="1"/>
  <c r="R98" i="7"/>
  <c r="S98" i="7" s="1"/>
  <c r="W98" i="7" s="1"/>
  <c r="R99" i="7"/>
  <c r="S99" i="7" s="1"/>
  <c r="W99" i="7" s="1"/>
  <c r="R100" i="7"/>
  <c r="S100" i="7" s="1"/>
  <c r="U100" i="7" s="1"/>
  <c r="R101" i="7"/>
  <c r="S101" i="7" s="1"/>
  <c r="W101" i="7" s="1"/>
  <c r="R102" i="7"/>
  <c r="S102" i="7" s="1"/>
  <c r="W102" i="7" s="1"/>
  <c r="R103" i="7"/>
  <c r="S103" i="7" s="1"/>
  <c r="W103" i="7" s="1"/>
  <c r="R104" i="7"/>
  <c r="S104" i="7" s="1"/>
  <c r="W104" i="7" s="1"/>
  <c r="R105" i="7"/>
  <c r="S105" i="7" s="1"/>
  <c r="W105" i="7" s="1"/>
  <c r="R106" i="7"/>
  <c r="S106" i="7" s="1"/>
  <c r="W106" i="7" s="1"/>
  <c r="R107" i="7"/>
  <c r="R108" i="7"/>
  <c r="R109" i="7"/>
  <c r="S109" i="7" s="1"/>
  <c r="W109" i="7" s="1"/>
  <c r="R110" i="7"/>
  <c r="R111" i="7"/>
  <c r="S111" i="7" s="1"/>
  <c r="W111" i="7" s="1"/>
  <c r="R112" i="7"/>
  <c r="R113" i="7"/>
  <c r="S113" i="7" s="1"/>
  <c r="W113" i="7" s="1"/>
  <c r="R114" i="7"/>
  <c r="S114" i="7" s="1"/>
  <c r="W114" i="7" s="1"/>
  <c r="R115" i="7"/>
  <c r="S115" i="7" s="1"/>
  <c r="W115" i="7" s="1"/>
  <c r="R116" i="7"/>
  <c r="S116" i="7" s="1"/>
  <c r="U116" i="7" s="1"/>
  <c r="R117" i="7"/>
  <c r="S117" i="7" s="1"/>
  <c r="U117" i="7" s="1"/>
  <c r="R118" i="7"/>
  <c r="R119" i="7"/>
  <c r="S119" i="7" s="1"/>
  <c r="W119" i="7" s="1"/>
  <c r="R120" i="7"/>
  <c r="S120" i="7" s="1"/>
  <c r="W120" i="7" s="1"/>
  <c r="R121" i="7"/>
  <c r="S121" i="7" s="1"/>
  <c r="W121" i="7" s="1"/>
  <c r="R122" i="7"/>
  <c r="S122" i="7" s="1"/>
  <c r="W122" i="7" s="1"/>
  <c r="R123" i="7"/>
  <c r="S123" i="7" s="1"/>
  <c r="W123" i="7" s="1"/>
  <c r="R124" i="7"/>
  <c r="R125" i="7"/>
  <c r="S125" i="7" s="1"/>
  <c r="U125" i="7" s="1"/>
  <c r="R126" i="7"/>
  <c r="R127" i="7"/>
  <c r="S127" i="7" s="1"/>
  <c r="W127" i="7" s="1"/>
  <c r="R128" i="7"/>
  <c r="S128" i="7" s="1"/>
  <c r="U128" i="7" s="1"/>
  <c r="R129" i="7"/>
  <c r="S129" i="7" s="1"/>
  <c r="W129" i="7" s="1"/>
  <c r="R130" i="7"/>
  <c r="S130" i="7" s="1"/>
  <c r="W130" i="7" s="1"/>
  <c r="R131" i="7"/>
  <c r="R132" i="7"/>
  <c r="S132" i="7" s="1"/>
  <c r="U132" i="7" s="1"/>
  <c r="R133" i="7"/>
  <c r="R134" i="7"/>
  <c r="R135" i="7"/>
  <c r="R136" i="7"/>
  <c r="R137" i="7"/>
  <c r="S137" i="7" s="1"/>
  <c r="W137" i="7" s="1"/>
  <c r="R138" i="7"/>
  <c r="S138" i="7" s="1"/>
  <c r="W138" i="7" s="1"/>
  <c r="R139" i="7"/>
  <c r="S139" i="7" s="1"/>
  <c r="W139" i="7" s="1"/>
  <c r="R140" i="7"/>
  <c r="R141" i="7"/>
  <c r="S141" i="7" s="1"/>
  <c r="U141" i="7" s="1"/>
  <c r="R142" i="7"/>
  <c r="R143" i="7"/>
  <c r="S143" i="7" s="1"/>
  <c r="W143" i="7" s="1"/>
  <c r="R144" i="7"/>
  <c r="R145" i="7"/>
  <c r="R146" i="7"/>
  <c r="R147" i="7"/>
  <c r="S147" i="7" s="1"/>
  <c r="W147" i="7" s="1"/>
  <c r="R148" i="7"/>
  <c r="R149" i="7"/>
  <c r="R150" i="7"/>
  <c r="S150" i="7" s="1"/>
  <c r="W150" i="7" s="1"/>
  <c r="R151" i="7"/>
  <c r="S151" i="7" s="1"/>
  <c r="W151" i="7" s="1"/>
  <c r="R152" i="7"/>
  <c r="R153" i="7"/>
  <c r="S153" i="7" s="1"/>
  <c r="W153" i="7" s="1"/>
  <c r="R154" i="7"/>
  <c r="S154" i="7" s="1"/>
  <c r="W154" i="7" s="1"/>
  <c r="R155" i="7"/>
  <c r="S155" i="7" s="1"/>
  <c r="W155" i="7" s="1"/>
  <c r="R156" i="7"/>
  <c r="R157" i="7"/>
  <c r="S157" i="7" s="1"/>
  <c r="U157" i="7" s="1"/>
  <c r="R158" i="7"/>
  <c r="R159" i="7"/>
  <c r="S159" i="7" s="1"/>
  <c r="W159" i="7" s="1"/>
  <c r="R160" i="7"/>
  <c r="S160" i="7" s="1"/>
  <c r="W160" i="7" s="1"/>
  <c r="R161" i="7"/>
  <c r="S161" i="7" s="1"/>
  <c r="W161" i="7" s="1"/>
  <c r="R2" i="7"/>
  <c r="S2" i="7" s="1"/>
  <c r="U2" i="7" s="1"/>
  <c r="W3" i="7"/>
  <c r="W12" i="7"/>
  <c r="CY10" i="4"/>
  <c r="CY2" i="4"/>
  <c r="EP4" i="3"/>
  <c r="EP5" i="3"/>
  <c r="EQ5" i="3" s="1"/>
  <c r="EP6" i="3"/>
  <c r="EP7" i="3"/>
  <c r="EP8" i="3"/>
  <c r="EP9" i="3"/>
  <c r="EP10" i="3"/>
  <c r="EP11" i="3"/>
  <c r="EQ11" i="3" s="1"/>
  <c r="EP12" i="3"/>
  <c r="EP13" i="3"/>
  <c r="EQ13" i="3" s="1"/>
  <c r="EP14" i="3"/>
  <c r="EP15" i="3"/>
  <c r="EQ15" i="3" s="1"/>
  <c r="EP16" i="3"/>
  <c r="EP17" i="3"/>
  <c r="EP18" i="3"/>
  <c r="EP3" i="3"/>
  <c r="EQ3" i="3" s="1"/>
  <c r="EN3" i="3"/>
  <c r="EN4" i="3"/>
  <c r="EN5" i="3"/>
  <c r="EN6" i="3"/>
  <c r="EN7" i="3"/>
  <c r="EN8" i="3"/>
  <c r="EN9" i="3"/>
  <c r="EN10" i="3"/>
  <c r="EN11" i="3"/>
  <c r="EN12" i="3"/>
  <c r="EN13" i="3"/>
  <c r="EN14" i="3"/>
  <c r="EN15" i="3"/>
  <c r="EN16" i="3"/>
  <c r="EN17" i="3"/>
  <c r="EN18" i="3"/>
  <c r="EQ12" i="3"/>
  <c r="EM4" i="3"/>
  <c r="CW17" i="4"/>
  <c r="CW16" i="4"/>
  <c r="CY16" i="4" s="1"/>
  <c r="CW15" i="4"/>
  <c r="CY15" i="4" s="1"/>
  <c r="CY14" i="4"/>
  <c r="CW14" i="4"/>
  <c r="CW13" i="4"/>
  <c r="CY13" i="4" s="1"/>
  <c r="CW12" i="4"/>
  <c r="CY12" i="4" s="1"/>
  <c r="CW11" i="4"/>
  <c r="CY11" i="4" s="1"/>
  <c r="CW10" i="4"/>
  <c r="CW9" i="4"/>
  <c r="CY9" i="4" s="1"/>
  <c r="CW8" i="4"/>
  <c r="CY8" i="4" s="1"/>
  <c r="CW7" i="4"/>
  <c r="CY7" i="4" s="1"/>
  <c r="CY6" i="4"/>
  <c r="CW6" i="4"/>
  <c r="CW5" i="4"/>
  <c r="CW4" i="4"/>
  <c r="CY4" i="4" s="1"/>
  <c r="CW3" i="4"/>
  <c r="CY3" i="4" s="1"/>
  <c r="CW2" i="4"/>
  <c r="EQ18" i="3"/>
  <c r="EQ17" i="3"/>
  <c r="EQ16" i="3"/>
  <c r="EQ14" i="3"/>
  <c r="EQ10" i="3"/>
  <c r="EQ9" i="3"/>
  <c r="EQ8" i="3"/>
  <c r="EQ7" i="3"/>
  <c r="EQ6" i="3"/>
  <c r="EQ4" i="3"/>
  <c r="CQ12" i="4"/>
  <c r="CQ4" i="4"/>
  <c r="CO17" i="4"/>
  <c r="CQ17" i="4" s="1"/>
  <c r="CQ16" i="4"/>
  <c r="CO16" i="4"/>
  <c r="CO15" i="4"/>
  <c r="CQ14" i="4"/>
  <c r="CO14" i="4"/>
  <c r="CO13" i="4"/>
  <c r="CQ13" i="4" s="1"/>
  <c r="CO12" i="4"/>
  <c r="CO11" i="4"/>
  <c r="CQ10" i="4"/>
  <c r="CO10" i="4"/>
  <c r="CO9" i="4"/>
  <c r="CQ9" i="4" s="1"/>
  <c r="CQ8" i="4"/>
  <c r="CO8" i="4"/>
  <c r="CO7" i="4"/>
  <c r="CQ7" i="4" s="1"/>
  <c r="CQ6" i="4"/>
  <c r="CO6" i="4"/>
  <c r="CO5" i="4"/>
  <c r="CQ5" i="4" s="1"/>
  <c r="CO4" i="4"/>
  <c r="CO3" i="4"/>
  <c r="CQ2" i="4"/>
  <c r="CO2" i="4"/>
  <c r="EH4" i="3"/>
  <c r="EI4" i="3" s="1"/>
  <c r="EH5" i="3"/>
  <c r="EI5" i="3" s="1"/>
  <c r="EH6" i="3"/>
  <c r="EH7" i="3"/>
  <c r="EH8" i="3"/>
  <c r="EH9" i="3"/>
  <c r="EH10" i="3"/>
  <c r="EI10" i="3" s="1"/>
  <c r="EH11" i="3"/>
  <c r="EI11" i="3" s="1"/>
  <c r="EH12" i="3"/>
  <c r="EI12" i="3" s="1"/>
  <c r="EH13" i="3"/>
  <c r="EI13" i="3" s="1"/>
  <c r="EH14" i="3"/>
  <c r="EH15" i="3"/>
  <c r="EI15" i="3" s="1"/>
  <c r="EH16" i="3"/>
  <c r="EH17" i="3"/>
  <c r="EH18" i="3"/>
  <c r="EI18" i="3" s="1"/>
  <c r="EH3" i="3"/>
  <c r="EI3" i="3" s="1"/>
  <c r="EI17" i="3"/>
  <c r="EI16" i="3"/>
  <c r="EI14" i="3"/>
  <c r="EI9" i="3"/>
  <c r="EI8" i="3"/>
  <c r="EI7" i="3"/>
  <c r="EI6" i="3"/>
  <c r="D3" i="5"/>
  <c r="EA4" i="3"/>
  <c r="EA5" i="3"/>
  <c r="EA6" i="3"/>
  <c r="EA7" i="3"/>
  <c r="EA8" i="3"/>
  <c r="EA9" i="3"/>
  <c r="EA10" i="3"/>
  <c r="EA11" i="3"/>
  <c r="EA12" i="3"/>
  <c r="EA13" i="3"/>
  <c r="EA14" i="3"/>
  <c r="EA15" i="3"/>
  <c r="EA16" i="3"/>
  <c r="EA17" i="3"/>
  <c r="EA18" i="3"/>
  <c r="EA3" i="3"/>
  <c r="W158" i="7"/>
  <c r="W145" i="7"/>
  <c r="W142" i="7"/>
  <c r="W126" i="7"/>
  <c r="W118" i="7"/>
  <c r="W110" i="7"/>
  <c r="U108" i="7"/>
  <c r="U94" i="7"/>
  <c r="W78" i="7"/>
  <c r="U62" i="7"/>
  <c r="U60" i="7"/>
  <c r="W55" i="7"/>
  <c r="W51" i="7"/>
  <c r="W47" i="7"/>
  <c r="U46" i="7"/>
  <c r="U44" i="7"/>
  <c r="U30" i="7"/>
  <c r="W19" i="7"/>
  <c r="F161" i="7"/>
  <c r="J161" i="7" s="1"/>
  <c r="F160" i="7"/>
  <c r="J160" i="7" s="1"/>
  <c r="F159" i="7"/>
  <c r="J159" i="7" s="1"/>
  <c r="F158" i="7"/>
  <c r="J158" i="7" s="1"/>
  <c r="F157" i="7"/>
  <c r="J157" i="7" s="1"/>
  <c r="F156" i="7"/>
  <c r="H156" i="7" s="1"/>
  <c r="F155" i="7"/>
  <c r="H155" i="7" s="1"/>
  <c r="F154" i="7"/>
  <c r="H154" i="7" s="1"/>
  <c r="F153" i="7"/>
  <c r="J153" i="7" s="1"/>
  <c r="F152" i="7"/>
  <c r="H152" i="7" s="1"/>
  <c r="F151" i="7"/>
  <c r="J151" i="7" s="1"/>
  <c r="F150" i="7"/>
  <c r="J150" i="7" s="1"/>
  <c r="F149" i="7"/>
  <c r="J149" i="7" s="1"/>
  <c r="F148" i="7"/>
  <c r="H148" i="7" s="1"/>
  <c r="F147" i="7"/>
  <c r="H147" i="7" s="1"/>
  <c r="F146" i="7"/>
  <c r="J146" i="7" s="1"/>
  <c r="F145" i="7"/>
  <c r="J145" i="7" s="1"/>
  <c r="F144" i="7"/>
  <c r="H144" i="7" s="1"/>
  <c r="F143" i="7"/>
  <c r="J143" i="7" s="1"/>
  <c r="F142" i="7"/>
  <c r="J142" i="7" s="1"/>
  <c r="F141" i="7"/>
  <c r="J141" i="7" s="1"/>
  <c r="F140" i="7"/>
  <c r="H140" i="7" s="1"/>
  <c r="F139" i="7"/>
  <c r="H139" i="7" s="1"/>
  <c r="F138" i="7"/>
  <c r="J138" i="7" s="1"/>
  <c r="F137" i="7"/>
  <c r="J137" i="7" s="1"/>
  <c r="F136" i="7"/>
  <c r="J136" i="7" s="1"/>
  <c r="F135" i="7"/>
  <c r="J135" i="7" s="1"/>
  <c r="F134" i="7"/>
  <c r="J134" i="7" s="1"/>
  <c r="F133" i="7"/>
  <c r="J133" i="7" s="1"/>
  <c r="F132" i="7"/>
  <c r="H132" i="7" s="1"/>
  <c r="F131" i="7"/>
  <c r="H131" i="7" s="1"/>
  <c r="F130" i="7"/>
  <c r="H130" i="7" s="1"/>
  <c r="F129" i="7"/>
  <c r="J129" i="7" s="1"/>
  <c r="F128" i="7"/>
  <c r="J128" i="7" s="1"/>
  <c r="F127" i="7"/>
  <c r="J127" i="7" s="1"/>
  <c r="F126" i="7"/>
  <c r="J126" i="7" s="1"/>
  <c r="F125" i="7"/>
  <c r="J125" i="7" s="1"/>
  <c r="F124" i="7"/>
  <c r="H124" i="7" s="1"/>
  <c r="F123" i="7"/>
  <c r="H123" i="7" s="1"/>
  <c r="F122" i="7"/>
  <c r="H122" i="7" s="1"/>
  <c r="F121" i="7"/>
  <c r="J121" i="7" s="1"/>
  <c r="F120" i="7"/>
  <c r="J120" i="7" s="1"/>
  <c r="F119" i="7"/>
  <c r="J119" i="7" s="1"/>
  <c r="F118" i="7"/>
  <c r="J118" i="7" s="1"/>
  <c r="F117" i="7"/>
  <c r="J117" i="7" s="1"/>
  <c r="F116" i="7"/>
  <c r="J116" i="7" s="1"/>
  <c r="F115" i="7"/>
  <c r="H115" i="7" s="1"/>
  <c r="F114" i="7"/>
  <c r="J114" i="7" s="1"/>
  <c r="F113" i="7"/>
  <c r="J113" i="7" s="1"/>
  <c r="F112" i="7"/>
  <c r="H112" i="7" s="1"/>
  <c r="F111" i="7"/>
  <c r="J111" i="7" s="1"/>
  <c r="F110" i="7"/>
  <c r="J110" i="7" s="1"/>
  <c r="F109" i="7"/>
  <c r="J109" i="7" s="1"/>
  <c r="F108" i="7"/>
  <c r="J108" i="7" s="1"/>
  <c r="F107" i="7"/>
  <c r="H107" i="7" s="1"/>
  <c r="F106" i="7"/>
  <c r="H106" i="7" s="1"/>
  <c r="F105" i="7"/>
  <c r="J105" i="7" s="1"/>
  <c r="F104" i="7"/>
  <c r="H104" i="7" s="1"/>
  <c r="F103" i="7"/>
  <c r="J103" i="7" s="1"/>
  <c r="F102" i="7"/>
  <c r="J102" i="7" s="1"/>
  <c r="F101" i="7"/>
  <c r="J101" i="7" s="1"/>
  <c r="F100" i="7"/>
  <c r="H100" i="7" s="1"/>
  <c r="F99" i="7"/>
  <c r="H99" i="7" s="1"/>
  <c r="F98" i="7"/>
  <c r="H98" i="7" s="1"/>
  <c r="F97" i="7"/>
  <c r="J97" i="7" s="1"/>
  <c r="F96" i="7"/>
  <c r="J96" i="7" s="1"/>
  <c r="F95" i="7"/>
  <c r="J95" i="7" s="1"/>
  <c r="F94" i="7"/>
  <c r="J94" i="7" s="1"/>
  <c r="F93" i="7"/>
  <c r="J93" i="7" s="1"/>
  <c r="F92" i="7"/>
  <c r="J92" i="7" s="1"/>
  <c r="F91" i="7"/>
  <c r="H91" i="7" s="1"/>
  <c r="F90" i="7"/>
  <c r="H90" i="7" s="1"/>
  <c r="F89" i="7"/>
  <c r="J89" i="7" s="1"/>
  <c r="F88" i="7"/>
  <c r="H88" i="7" s="1"/>
  <c r="F87" i="7"/>
  <c r="J87" i="7" s="1"/>
  <c r="F86" i="7"/>
  <c r="J86" i="7" s="1"/>
  <c r="F85" i="7"/>
  <c r="J85" i="7" s="1"/>
  <c r="F84" i="7"/>
  <c r="H84" i="7" s="1"/>
  <c r="F83" i="7"/>
  <c r="H83" i="7" s="1"/>
  <c r="F82" i="7"/>
  <c r="H82" i="7" s="1"/>
  <c r="F81" i="7"/>
  <c r="J81" i="7" s="1"/>
  <c r="F80" i="7"/>
  <c r="H80" i="7" s="1"/>
  <c r="F79" i="7"/>
  <c r="J79" i="7" s="1"/>
  <c r="F78" i="7"/>
  <c r="J78" i="7" s="1"/>
  <c r="F77" i="7"/>
  <c r="J77" i="7" s="1"/>
  <c r="F76" i="7"/>
  <c r="J76" i="7" s="1"/>
  <c r="F75" i="7"/>
  <c r="H75" i="7" s="1"/>
  <c r="F74" i="7"/>
  <c r="J74" i="7" s="1"/>
  <c r="F73" i="7"/>
  <c r="J73" i="7" s="1"/>
  <c r="F72" i="7"/>
  <c r="H72" i="7" s="1"/>
  <c r="F71" i="7"/>
  <c r="J71" i="7" s="1"/>
  <c r="F70" i="7"/>
  <c r="J70" i="7" s="1"/>
  <c r="F69" i="7"/>
  <c r="J69" i="7" s="1"/>
  <c r="F68" i="7"/>
  <c r="H68" i="7" s="1"/>
  <c r="F67" i="7"/>
  <c r="H67" i="7" s="1"/>
  <c r="F66" i="7"/>
  <c r="H66" i="7" s="1"/>
  <c r="F65" i="7"/>
  <c r="J65" i="7" s="1"/>
  <c r="F64" i="7"/>
  <c r="H64" i="7" s="1"/>
  <c r="F63" i="7"/>
  <c r="J63" i="7" s="1"/>
  <c r="F62" i="7"/>
  <c r="J62" i="7" s="1"/>
  <c r="F61" i="7"/>
  <c r="J61" i="7" s="1"/>
  <c r="F60" i="7"/>
  <c r="J60" i="7" s="1"/>
  <c r="F59" i="7"/>
  <c r="H59" i="7" s="1"/>
  <c r="F58" i="7"/>
  <c r="H58" i="7" s="1"/>
  <c r="F57" i="7"/>
  <c r="J57" i="7" s="1"/>
  <c r="F56" i="7"/>
  <c r="H56" i="7" s="1"/>
  <c r="F55" i="7"/>
  <c r="J55" i="7" s="1"/>
  <c r="F54" i="7"/>
  <c r="J54" i="7" s="1"/>
  <c r="F53" i="7"/>
  <c r="J53" i="7" s="1"/>
  <c r="F52" i="7"/>
  <c r="J52" i="7" s="1"/>
  <c r="F51" i="7"/>
  <c r="H51" i="7" s="1"/>
  <c r="F50" i="7"/>
  <c r="H50" i="7" s="1"/>
  <c r="F49" i="7"/>
  <c r="J49" i="7" s="1"/>
  <c r="F48" i="7"/>
  <c r="H48" i="7" s="1"/>
  <c r="F47" i="7"/>
  <c r="J47" i="7" s="1"/>
  <c r="F46" i="7"/>
  <c r="J46" i="7" s="1"/>
  <c r="F45" i="7"/>
  <c r="J45" i="7" s="1"/>
  <c r="F44" i="7"/>
  <c r="J44" i="7" s="1"/>
  <c r="F43" i="7"/>
  <c r="H43" i="7" s="1"/>
  <c r="F42" i="7"/>
  <c r="J42" i="7" s="1"/>
  <c r="F41" i="7"/>
  <c r="J41" i="7" s="1"/>
  <c r="F40" i="7"/>
  <c r="H40" i="7" s="1"/>
  <c r="F39" i="7"/>
  <c r="J39" i="7" s="1"/>
  <c r="F38" i="7"/>
  <c r="J38" i="7" s="1"/>
  <c r="F37" i="7"/>
  <c r="J37" i="7" s="1"/>
  <c r="F36" i="7"/>
  <c r="J36" i="7" s="1"/>
  <c r="F35" i="7"/>
  <c r="H35" i="7" s="1"/>
  <c r="F34" i="7"/>
  <c r="H34" i="7" s="1"/>
  <c r="F33" i="7"/>
  <c r="H33" i="7" s="1"/>
  <c r="F32" i="7"/>
  <c r="H32" i="7" s="1"/>
  <c r="F31" i="7"/>
  <c r="J31" i="7" s="1"/>
  <c r="F30" i="7"/>
  <c r="J30" i="7" s="1"/>
  <c r="F29" i="7"/>
  <c r="J29" i="7" s="1"/>
  <c r="F28" i="7"/>
  <c r="J28" i="7" s="1"/>
  <c r="F27" i="7"/>
  <c r="H27" i="7" s="1"/>
  <c r="F26" i="7"/>
  <c r="H26" i="7" s="1"/>
  <c r="F25" i="7"/>
  <c r="H25" i="7" s="1"/>
  <c r="F24" i="7"/>
  <c r="J24" i="7" s="1"/>
  <c r="F23" i="7"/>
  <c r="H23" i="7" s="1"/>
  <c r="F22" i="7"/>
  <c r="J22" i="7" s="1"/>
  <c r="F21" i="7"/>
  <c r="J21" i="7" s="1"/>
  <c r="F20" i="7"/>
  <c r="J20" i="7" s="1"/>
  <c r="F19" i="7"/>
  <c r="H19" i="7" s="1"/>
  <c r="F18" i="7"/>
  <c r="H18" i="7" s="1"/>
  <c r="F17" i="7"/>
  <c r="H17" i="7" s="1"/>
  <c r="F16" i="7"/>
  <c r="J16" i="7" s="1"/>
  <c r="F15" i="7"/>
  <c r="J15" i="7" s="1"/>
  <c r="F14" i="7"/>
  <c r="J14" i="7" s="1"/>
  <c r="F13" i="7"/>
  <c r="J13" i="7" s="1"/>
  <c r="F12" i="7"/>
  <c r="J12" i="7" s="1"/>
  <c r="F11" i="7"/>
  <c r="F10" i="7"/>
  <c r="H10" i="7" s="1"/>
  <c r="F9" i="7"/>
  <c r="H9" i="7" s="1"/>
  <c r="F8" i="7"/>
  <c r="J8" i="7" s="1"/>
  <c r="F7" i="7"/>
  <c r="J7" i="7" s="1"/>
  <c r="F6" i="7"/>
  <c r="J6" i="7" s="1"/>
  <c r="F5" i="7"/>
  <c r="J5" i="7" s="1"/>
  <c r="F4" i="7"/>
  <c r="H4" i="7" s="1"/>
  <c r="F3" i="7"/>
  <c r="H3" i="7" s="1"/>
  <c r="F2" i="7"/>
  <c r="O19" i="6"/>
  <c r="P19" i="6" s="1"/>
  <c r="Q19" i="6" s="1"/>
  <c r="D19" i="6"/>
  <c r="O18" i="6"/>
  <c r="D18" i="6"/>
  <c r="E18" i="6" s="1"/>
  <c r="F18" i="6" s="1"/>
  <c r="O17" i="6"/>
  <c r="D17" i="6"/>
  <c r="P16" i="6"/>
  <c r="Q16" i="6" s="1"/>
  <c r="O16" i="6"/>
  <c r="D16" i="6"/>
  <c r="E16" i="6" s="1"/>
  <c r="F16" i="6" s="1"/>
  <c r="O15" i="6"/>
  <c r="P15" i="6" s="1"/>
  <c r="Q15" i="6" s="1"/>
  <c r="D15" i="6"/>
  <c r="O14" i="6"/>
  <c r="D14" i="6"/>
  <c r="E14" i="6" s="1"/>
  <c r="F14" i="6" s="1"/>
  <c r="O13" i="6"/>
  <c r="D13" i="6"/>
  <c r="O12" i="6"/>
  <c r="D12" i="6"/>
  <c r="E12" i="6" s="1"/>
  <c r="F12" i="6" s="1"/>
  <c r="O11" i="6"/>
  <c r="P11" i="6" s="1"/>
  <c r="Q11" i="6" s="1"/>
  <c r="D11" i="6"/>
  <c r="O10" i="6"/>
  <c r="D10" i="6"/>
  <c r="E10" i="6" s="1"/>
  <c r="F10" i="6" s="1"/>
  <c r="O9" i="6"/>
  <c r="D9" i="6"/>
  <c r="E9" i="6" s="1"/>
  <c r="O8" i="6"/>
  <c r="P8" i="6" s="1"/>
  <c r="Q8" i="6" s="1"/>
  <c r="D8" i="6"/>
  <c r="E8" i="6" s="1"/>
  <c r="F8" i="6" s="1"/>
  <c r="O7" i="6"/>
  <c r="P7" i="6" s="1"/>
  <c r="Q7" i="6" s="1"/>
  <c r="D7" i="6"/>
  <c r="E7" i="6" s="1"/>
  <c r="F7" i="6" s="1"/>
  <c r="O6" i="6"/>
  <c r="P6" i="6" s="1"/>
  <c r="Q6" i="6" s="1"/>
  <c r="D6" i="6"/>
  <c r="E6" i="6" s="1"/>
  <c r="F6" i="6" s="1"/>
  <c r="O5" i="6"/>
  <c r="P5" i="6" s="1"/>
  <c r="Q5" i="6" s="1"/>
  <c r="D5" i="6"/>
  <c r="E5" i="6" s="1"/>
  <c r="F5" i="6" s="1"/>
  <c r="P4" i="6"/>
  <c r="Q4" i="6" s="1"/>
  <c r="O4" i="6"/>
  <c r="D4" i="6"/>
  <c r="E4" i="6" s="1"/>
  <c r="F4" i="6" s="1"/>
  <c r="O3" i="6"/>
  <c r="P3" i="6" s="1"/>
  <c r="Q3" i="6" s="1"/>
  <c r="D3" i="6"/>
  <c r="E3" i="6" s="1"/>
  <c r="F3" i="6" s="1"/>
  <c r="O2" i="6"/>
  <c r="P2" i="6" s="1"/>
  <c r="Q2" i="6" s="1"/>
  <c r="D2" i="6"/>
  <c r="E2" i="6" s="1"/>
  <c r="F2" i="6" s="1"/>
  <c r="I2" i="6" s="1"/>
  <c r="U14" i="5"/>
  <c r="T14" i="5"/>
  <c r="S14" i="5"/>
  <c r="R14" i="5"/>
  <c r="R15" i="5" s="1"/>
  <c r="Q14" i="5"/>
  <c r="Q15" i="5" s="1"/>
  <c r="P14" i="5"/>
  <c r="P15" i="5" s="1"/>
  <c r="G14" i="5"/>
  <c r="G15" i="5" s="1"/>
  <c r="F14" i="5"/>
  <c r="E14" i="5"/>
  <c r="D14" i="5"/>
  <c r="C14" i="5"/>
  <c r="C15" i="5" s="1"/>
  <c r="B14" i="5"/>
  <c r="B15" i="5" s="1"/>
  <c r="T6" i="5"/>
  <c r="F6" i="5"/>
  <c r="T5" i="5"/>
  <c r="F5" i="5"/>
  <c r="T4" i="5"/>
  <c r="F4" i="5"/>
  <c r="T3" i="5"/>
  <c r="R3" i="5"/>
  <c r="O3" i="5" s="1"/>
  <c r="F3" i="5"/>
  <c r="A3" i="5"/>
  <c r="B3" i="5"/>
  <c r="T2" i="5"/>
  <c r="U2" i="5" s="1"/>
  <c r="V2" i="5" s="1"/>
  <c r="P2" i="5"/>
  <c r="O2" i="5"/>
  <c r="F2" i="5"/>
  <c r="G2" i="5" s="1"/>
  <c r="H2" i="5" s="1"/>
  <c r="B2" i="5"/>
  <c r="A2" i="5"/>
  <c r="W152" i="7" l="1"/>
  <c r="H135" i="7"/>
  <c r="U109" i="7"/>
  <c r="U63" i="7"/>
  <c r="H36" i="7"/>
  <c r="W128" i="7"/>
  <c r="W133" i="7"/>
  <c r="U97" i="7"/>
  <c r="W141" i="7"/>
  <c r="W13" i="7"/>
  <c r="W62" i="7"/>
  <c r="W56" i="7"/>
  <c r="U9" i="7"/>
  <c r="W84" i="7"/>
  <c r="U103" i="7"/>
  <c r="U121" i="7"/>
  <c r="U93" i="7"/>
  <c r="U137" i="7"/>
  <c r="W85" i="7"/>
  <c r="U110" i="7"/>
  <c r="U24" i="7"/>
  <c r="W94" i="7"/>
  <c r="W112" i="7"/>
  <c r="U119" i="7"/>
  <c r="U17" i="7"/>
  <c r="U71" i="7"/>
  <c r="W68" i="7"/>
  <c r="U72" i="7"/>
  <c r="W88" i="7"/>
  <c r="U113" i="7"/>
  <c r="U142" i="7"/>
  <c r="W157" i="7"/>
  <c r="U32" i="7"/>
  <c r="U158" i="7"/>
  <c r="W100" i="7"/>
  <c r="U143" i="7"/>
  <c r="U111" i="7"/>
  <c r="U120" i="7"/>
  <c r="W125" i="7"/>
  <c r="W149" i="7"/>
  <c r="U153" i="7"/>
  <c r="U69" i="7"/>
  <c r="U48" i="7"/>
  <c r="U65" i="7"/>
  <c r="U70" i="7"/>
  <c r="U96" i="7"/>
  <c r="W108" i="7"/>
  <c r="U129" i="7"/>
  <c r="W144" i="7"/>
  <c r="U159" i="7"/>
  <c r="U4" i="7"/>
  <c r="U73" i="7"/>
  <c r="U40" i="7"/>
  <c r="W86" i="7"/>
  <c r="U134" i="7"/>
  <c r="U87" i="7"/>
  <c r="W117" i="7"/>
  <c r="U126" i="7"/>
  <c r="U135" i="7"/>
  <c r="U150" i="7"/>
  <c r="U118" i="7"/>
  <c r="U127" i="7"/>
  <c r="W136" i="7"/>
  <c r="U151" i="7"/>
  <c r="W22" i="7"/>
  <c r="W30" i="7"/>
  <c r="W38" i="7"/>
  <c r="W46" i="7"/>
  <c r="W54" i="7"/>
  <c r="W77" i="7"/>
  <c r="W80" i="7"/>
  <c r="U23" i="7"/>
  <c r="U31" i="7"/>
  <c r="U39" i="7"/>
  <c r="U47" i="7"/>
  <c r="U55" i="7"/>
  <c r="U78" i="7"/>
  <c r="U81" i="7"/>
  <c r="U101" i="7"/>
  <c r="U104" i="7"/>
  <c r="W116" i="7"/>
  <c r="W124" i="7"/>
  <c r="W132" i="7"/>
  <c r="W140" i="7"/>
  <c r="W148" i="7"/>
  <c r="W156" i="7"/>
  <c r="W20" i="7"/>
  <c r="W28" i="7"/>
  <c r="W36" i="7"/>
  <c r="W44" i="7"/>
  <c r="W52" i="7"/>
  <c r="W60" i="7"/>
  <c r="U89" i="7"/>
  <c r="U160" i="7"/>
  <c r="W21" i="7"/>
  <c r="W29" i="7"/>
  <c r="W37" i="7"/>
  <c r="W45" i="7"/>
  <c r="W53" i="7"/>
  <c r="U61" i="7"/>
  <c r="U64" i="7"/>
  <c r="W76" i="7"/>
  <c r="U79" i="7"/>
  <c r="U102" i="7"/>
  <c r="U105" i="7"/>
  <c r="U161" i="7"/>
  <c r="U25" i="7"/>
  <c r="U33" i="7"/>
  <c r="U41" i="7"/>
  <c r="U49" i="7"/>
  <c r="U57" i="7"/>
  <c r="W92" i="7"/>
  <c r="U95" i="7"/>
  <c r="U12" i="7"/>
  <c r="W8" i="7"/>
  <c r="U3" i="7"/>
  <c r="W16" i="7"/>
  <c r="U11" i="7"/>
  <c r="W14" i="7"/>
  <c r="W6" i="7"/>
  <c r="W5" i="7"/>
  <c r="W10" i="7"/>
  <c r="W2" i="7"/>
  <c r="W15" i="7"/>
  <c r="W7" i="7"/>
  <c r="CY17" i="4"/>
  <c r="CY5" i="4"/>
  <c r="J156" i="7"/>
  <c r="J148" i="7"/>
  <c r="J155" i="7"/>
  <c r="H151" i="7"/>
  <c r="J152" i="7"/>
  <c r="J147" i="7"/>
  <c r="J144" i="7"/>
  <c r="J132" i="7"/>
  <c r="H143" i="7"/>
  <c r="J139" i="7"/>
  <c r="H136" i="7"/>
  <c r="J140" i="7"/>
  <c r="J131" i="7"/>
  <c r="J124" i="7"/>
  <c r="H116" i="7"/>
  <c r="J115" i="7"/>
  <c r="H120" i="7"/>
  <c r="H128" i="7"/>
  <c r="H108" i="7"/>
  <c r="J104" i="7"/>
  <c r="J112" i="7"/>
  <c r="J100" i="7"/>
  <c r="J107" i="7"/>
  <c r="H92" i="7"/>
  <c r="J88" i="7"/>
  <c r="J84" i="7"/>
  <c r="H96" i="7"/>
  <c r="J80" i="7"/>
  <c r="J72" i="7"/>
  <c r="J68" i="7"/>
  <c r="H52" i="7"/>
  <c r="J64" i="7"/>
  <c r="H60" i="7"/>
  <c r="J56" i="7"/>
  <c r="J40" i="7"/>
  <c r="J48" i="7"/>
  <c r="H44" i="7"/>
  <c r="J32" i="7"/>
  <c r="J25" i="7"/>
  <c r="H22" i="7"/>
  <c r="H2" i="7"/>
  <c r="H11" i="7"/>
  <c r="H7" i="7"/>
  <c r="J9" i="7"/>
  <c r="H6" i="7"/>
  <c r="J3" i="7"/>
  <c r="P3" i="5"/>
  <c r="R4" i="5"/>
  <c r="U4" i="5" s="1"/>
  <c r="V4" i="5" s="1"/>
  <c r="CQ3" i="4"/>
  <c r="CQ15" i="4"/>
  <c r="CQ11" i="4"/>
  <c r="U18" i="7"/>
  <c r="U26" i="7"/>
  <c r="U34" i="7"/>
  <c r="U42" i="7"/>
  <c r="U50" i="7"/>
  <c r="U58" i="7"/>
  <c r="U66" i="7"/>
  <c r="U74" i="7"/>
  <c r="U82" i="7"/>
  <c r="U90" i="7"/>
  <c r="U98" i="7"/>
  <c r="U106" i="7"/>
  <c r="U114" i="7"/>
  <c r="U122" i="7"/>
  <c r="U130" i="7"/>
  <c r="U138" i="7"/>
  <c r="U146" i="7"/>
  <c r="U154" i="7"/>
  <c r="U19" i="7"/>
  <c r="U27" i="7"/>
  <c r="U35" i="7"/>
  <c r="U43" i="7"/>
  <c r="U51" i="7"/>
  <c r="U59" i="7"/>
  <c r="U67" i="7"/>
  <c r="U75" i="7"/>
  <c r="U83" i="7"/>
  <c r="U91" i="7"/>
  <c r="U99" i="7"/>
  <c r="U107" i="7"/>
  <c r="U115" i="7"/>
  <c r="U123" i="7"/>
  <c r="U131" i="7"/>
  <c r="U139" i="7"/>
  <c r="U147" i="7"/>
  <c r="U155" i="7"/>
  <c r="J11" i="7"/>
  <c r="J33" i="7"/>
  <c r="H134" i="7"/>
  <c r="J4" i="7"/>
  <c r="H8" i="7"/>
  <c r="H12" i="7"/>
  <c r="J23" i="7"/>
  <c r="J27" i="7"/>
  <c r="H31" i="7"/>
  <c r="H38" i="7"/>
  <c r="H54" i="7"/>
  <c r="H94" i="7"/>
  <c r="H118" i="7"/>
  <c r="H150" i="7"/>
  <c r="H16" i="7"/>
  <c r="H20" i="7"/>
  <c r="J35" i="7"/>
  <c r="H39" i="7"/>
  <c r="J43" i="7"/>
  <c r="H47" i="7"/>
  <c r="J51" i="7"/>
  <c r="H55" i="7"/>
  <c r="J59" i="7"/>
  <c r="H63" i="7"/>
  <c r="J67" i="7"/>
  <c r="H71" i="7"/>
  <c r="J75" i="7"/>
  <c r="H79" i="7"/>
  <c r="J83" i="7"/>
  <c r="H87" i="7"/>
  <c r="J91" i="7"/>
  <c r="H95" i="7"/>
  <c r="J99" i="7"/>
  <c r="H103" i="7"/>
  <c r="H111" i="7"/>
  <c r="H119" i="7"/>
  <c r="J123" i="7"/>
  <c r="H127" i="7"/>
  <c r="H159" i="7"/>
  <c r="H15" i="7"/>
  <c r="H30" i="7"/>
  <c r="H46" i="7"/>
  <c r="H70" i="7"/>
  <c r="H86" i="7"/>
  <c r="H102" i="7"/>
  <c r="H158" i="7"/>
  <c r="H24" i="7"/>
  <c r="H28" i="7"/>
  <c r="J19" i="7"/>
  <c r="H62" i="7"/>
  <c r="H76" i="7"/>
  <c r="H78" i="7"/>
  <c r="H110" i="7"/>
  <c r="H126" i="7"/>
  <c r="H142" i="7"/>
  <c r="H14" i="7"/>
  <c r="J17" i="7"/>
  <c r="H42" i="7"/>
  <c r="H74" i="7"/>
  <c r="H114" i="7"/>
  <c r="H138" i="7"/>
  <c r="H146" i="7"/>
  <c r="J2" i="7"/>
  <c r="H5" i="7"/>
  <c r="J10" i="7"/>
  <c r="H13" i="7"/>
  <c r="J18" i="7"/>
  <c r="H21" i="7"/>
  <c r="J26" i="7"/>
  <c r="H29" i="7"/>
  <c r="J34" i="7"/>
  <c r="H37" i="7"/>
  <c r="H45" i="7"/>
  <c r="J50" i="7"/>
  <c r="H53" i="7"/>
  <c r="J58" i="7"/>
  <c r="H61" i="7"/>
  <c r="J66" i="7"/>
  <c r="H69" i="7"/>
  <c r="H77" i="7"/>
  <c r="J82" i="7"/>
  <c r="H85" i="7"/>
  <c r="J90" i="7"/>
  <c r="H93" i="7"/>
  <c r="J98" i="7"/>
  <c r="H101" i="7"/>
  <c r="J106" i="7"/>
  <c r="H109" i="7"/>
  <c r="H117" i="7"/>
  <c r="J122" i="7"/>
  <c r="H125" i="7"/>
  <c r="J130" i="7"/>
  <c r="H133" i="7"/>
  <c r="H141" i="7"/>
  <c r="H149" i="7"/>
  <c r="J154" i="7"/>
  <c r="H157" i="7"/>
  <c r="H160" i="7"/>
  <c r="H41" i="7"/>
  <c r="H49" i="7"/>
  <c r="H57" i="7"/>
  <c r="H65" i="7"/>
  <c r="H73" i="7"/>
  <c r="H81" i="7"/>
  <c r="H89" i="7"/>
  <c r="H97" i="7"/>
  <c r="H105" i="7"/>
  <c r="H113" i="7"/>
  <c r="H121" i="7"/>
  <c r="H129" i="7"/>
  <c r="H137" i="7"/>
  <c r="H145" i="7"/>
  <c r="H153" i="7"/>
  <c r="H161" i="7"/>
  <c r="Q12" i="6"/>
  <c r="P12" i="6"/>
  <c r="F9" i="6"/>
  <c r="E17" i="6"/>
  <c r="F17" i="6" s="1"/>
  <c r="E13" i="6"/>
  <c r="F13" i="6" s="1"/>
  <c r="Q18" i="6"/>
  <c r="I3" i="6"/>
  <c r="P10" i="6"/>
  <c r="Q10" i="6" s="1"/>
  <c r="P14" i="6"/>
  <c r="Q14" i="6" s="1"/>
  <c r="T5" i="6" s="1"/>
  <c r="P18" i="6"/>
  <c r="P9" i="6"/>
  <c r="Q9" i="6" s="1"/>
  <c r="P13" i="6"/>
  <c r="Q13" i="6" s="1"/>
  <c r="P17" i="6"/>
  <c r="Q17" i="6" s="1"/>
  <c r="E11" i="6"/>
  <c r="F11" i="6" s="1"/>
  <c r="E15" i="6"/>
  <c r="F15" i="6" s="1"/>
  <c r="I5" i="6" s="1"/>
  <c r="E19" i="6"/>
  <c r="F19" i="6" s="1"/>
  <c r="D15" i="5"/>
  <c r="D16" i="5" s="1"/>
  <c r="S15" i="5"/>
  <c r="S16" i="5" s="1"/>
  <c r="G16" i="5"/>
  <c r="E15" i="5"/>
  <c r="E16" i="5" s="1"/>
  <c r="T15" i="5"/>
  <c r="T16" i="5" s="1"/>
  <c r="G3" i="5"/>
  <c r="H3" i="5" s="1"/>
  <c r="F15" i="5"/>
  <c r="F16" i="5" s="1"/>
  <c r="U15" i="5"/>
  <c r="U16" i="5" s="1"/>
  <c r="P16" i="5"/>
  <c r="U3" i="5"/>
  <c r="V3" i="5" s="1"/>
  <c r="B16" i="5"/>
  <c r="Q16" i="5"/>
  <c r="C16" i="5"/>
  <c r="R16" i="5"/>
  <c r="T6" i="6" l="1"/>
  <c r="R5" i="5"/>
  <c r="P4" i="5"/>
  <c r="O4" i="5"/>
  <c r="I6" i="6"/>
  <c r="I4" i="6"/>
  <c r="G4" i="5"/>
  <c r="H4" i="5" s="1"/>
  <c r="B4" i="5"/>
  <c r="A4" i="5"/>
  <c r="U5" i="5" l="1"/>
  <c r="V5" i="5" s="1"/>
  <c r="R6" i="5"/>
  <c r="P5" i="5"/>
  <c r="O5" i="5"/>
  <c r="A5" i="5"/>
  <c r="B5" i="5"/>
  <c r="G5" i="5"/>
  <c r="H5" i="5" s="1"/>
  <c r="O6" i="5" l="1"/>
  <c r="U6" i="5"/>
  <c r="V6" i="5" s="1"/>
  <c r="P6" i="5"/>
  <c r="G6" i="5"/>
  <c r="H6" i="5" s="1"/>
  <c r="A6" i="5"/>
  <c r="B6" i="5"/>
  <c r="CG17" i="4" l="1"/>
  <c r="CI17" i="4" s="1"/>
  <c r="CG16" i="4"/>
  <c r="CI16" i="4" s="1"/>
  <c r="CG15" i="4"/>
  <c r="CI15" i="4" s="1"/>
  <c r="CG14" i="4"/>
  <c r="CI14" i="4" s="1"/>
  <c r="CG13" i="4"/>
  <c r="CI13" i="4" s="1"/>
  <c r="CG12" i="4"/>
  <c r="CI12" i="4" s="1"/>
  <c r="CG11" i="4"/>
  <c r="CI11" i="4" s="1"/>
  <c r="CG10" i="4"/>
  <c r="CI10" i="4" s="1"/>
  <c r="CG9" i="4"/>
  <c r="CI9" i="4" s="1"/>
  <c r="CI8" i="4"/>
  <c r="CG8" i="4"/>
  <c r="CG7" i="4"/>
  <c r="CI7" i="4" s="1"/>
  <c r="CG6" i="4"/>
  <c r="CI6" i="4" s="1"/>
  <c r="CG5" i="4"/>
  <c r="CI5" i="4" s="1"/>
  <c r="CG4" i="4"/>
  <c r="CI4" i="4" s="1"/>
  <c r="CG3" i="4"/>
  <c r="CI3" i="4" s="1"/>
  <c r="CG2" i="4"/>
  <c r="CI2" i="4" s="1"/>
  <c r="EB18" i="3"/>
  <c r="EB17" i="3"/>
  <c r="EB16" i="3"/>
  <c r="EB15" i="3"/>
  <c r="EB14" i="3"/>
  <c r="EB13" i="3"/>
  <c r="EB12" i="3"/>
  <c r="EB11" i="3"/>
  <c r="EB10" i="3"/>
  <c r="EB9" i="3"/>
  <c r="EB8" i="3"/>
  <c r="EB7" i="3"/>
  <c r="EB6" i="3"/>
  <c r="EB5" i="3"/>
  <c r="EB4" i="3"/>
  <c r="EB3" i="3"/>
  <c r="CA5" i="4"/>
  <c r="CA13" i="4"/>
  <c r="BX17" i="4"/>
  <c r="BZ17" i="4" s="1"/>
  <c r="CA17" i="4" s="1"/>
  <c r="BX16" i="4"/>
  <c r="BZ16" i="4" s="1"/>
  <c r="CA16" i="4" s="1"/>
  <c r="BX15" i="4"/>
  <c r="BZ15" i="4" s="1"/>
  <c r="CA15" i="4" s="1"/>
  <c r="BX14" i="4"/>
  <c r="BZ14" i="4" s="1"/>
  <c r="CA14" i="4" s="1"/>
  <c r="BX13" i="4"/>
  <c r="BZ13" i="4" s="1"/>
  <c r="BX12" i="4"/>
  <c r="BZ12" i="4" s="1"/>
  <c r="CA12" i="4" s="1"/>
  <c r="BX11" i="4"/>
  <c r="BZ11" i="4" s="1"/>
  <c r="CA11" i="4" s="1"/>
  <c r="BX10" i="4"/>
  <c r="BX9" i="4"/>
  <c r="BZ9" i="4" s="1"/>
  <c r="CA9" i="4" s="1"/>
  <c r="BX8" i="4"/>
  <c r="BZ8" i="4" s="1"/>
  <c r="CA8" i="4" s="1"/>
  <c r="BX7" i="4"/>
  <c r="BZ7" i="4" s="1"/>
  <c r="CA7" i="4" s="1"/>
  <c r="BX6" i="4"/>
  <c r="BZ6" i="4" s="1"/>
  <c r="CA6" i="4" s="1"/>
  <c r="BX5" i="4"/>
  <c r="BZ5" i="4" s="1"/>
  <c r="BX4" i="4"/>
  <c r="BZ4" i="4" s="1"/>
  <c r="CA4" i="4" s="1"/>
  <c r="BX3" i="4"/>
  <c r="BZ3" i="4" s="1"/>
  <c r="CA3" i="4" s="1"/>
  <c r="BX2" i="4"/>
  <c r="DT4" i="3"/>
  <c r="DT5" i="3"/>
  <c r="DU5" i="3" s="1"/>
  <c r="DT6" i="3"/>
  <c r="DT7" i="3"/>
  <c r="DU7" i="3" s="1"/>
  <c r="DT8" i="3"/>
  <c r="DU8" i="3" s="1"/>
  <c r="DT9" i="3"/>
  <c r="DT10" i="3"/>
  <c r="DU10" i="3" s="1"/>
  <c r="DT11" i="3"/>
  <c r="DU11" i="3" s="1"/>
  <c r="DT12" i="3"/>
  <c r="DT13" i="3"/>
  <c r="DU13" i="3" s="1"/>
  <c r="DT14" i="3"/>
  <c r="DT15" i="3"/>
  <c r="DU15" i="3" s="1"/>
  <c r="DT16" i="3"/>
  <c r="DU16" i="3" s="1"/>
  <c r="DT17" i="3"/>
  <c r="DT18" i="3"/>
  <c r="DU18" i="3" s="1"/>
  <c r="DT3" i="3"/>
  <c r="DU3" i="3" s="1"/>
  <c r="DU17" i="3"/>
  <c r="DU14" i="3"/>
  <c r="DU12" i="3"/>
  <c r="DU9" i="3"/>
  <c r="DU6" i="3"/>
  <c r="DU4" i="3"/>
  <c r="BP17" i="4"/>
  <c r="BR17" i="4" s="1"/>
  <c r="BP16" i="4"/>
  <c r="BR16" i="4" s="1"/>
  <c r="BP15" i="4"/>
  <c r="BR15" i="4" s="1"/>
  <c r="BP14" i="4"/>
  <c r="BR14" i="4" s="1"/>
  <c r="BP13" i="4"/>
  <c r="BR13" i="4" s="1"/>
  <c r="BR12" i="4"/>
  <c r="BP12" i="4"/>
  <c r="BP11" i="4"/>
  <c r="BR11" i="4" s="1"/>
  <c r="BP10" i="4"/>
  <c r="BR10" i="4" s="1"/>
  <c r="BP9" i="4"/>
  <c r="BR9" i="4" s="1"/>
  <c r="BP8" i="4"/>
  <c r="BR8" i="4" s="1"/>
  <c r="BP7" i="4"/>
  <c r="BR7" i="4" s="1"/>
  <c r="BP6" i="4"/>
  <c r="BR6" i="4" s="1"/>
  <c r="BP5" i="4"/>
  <c r="BR5" i="4" s="1"/>
  <c r="BP4" i="4"/>
  <c r="BR4" i="4" s="1"/>
  <c r="BP3" i="4"/>
  <c r="BP2" i="4"/>
  <c r="BR2" i="4" s="1"/>
  <c r="DM4" i="3"/>
  <c r="DM5" i="3"/>
  <c r="DM6" i="3"/>
  <c r="DN6" i="3" s="1"/>
  <c r="DM7" i="3"/>
  <c r="DN7" i="3" s="1"/>
  <c r="DM8" i="3"/>
  <c r="DM9" i="3"/>
  <c r="DN9" i="3" s="1"/>
  <c r="DM10" i="3"/>
  <c r="DN10" i="3" s="1"/>
  <c r="DM11" i="3"/>
  <c r="DM12" i="3"/>
  <c r="DM13" i="3"/>
  <c r="DM14" i="3"/>
  <c r="DM15" i="3"/>
  <c r="DN15" i="3" s="1"/>
  <c r="DM16" i="3"/>
  <c r="DM17" i="3"/>
  <c r="DN17" i="3" s="1"/>
  <c r="DM18" i="3"/>
  <c r="DN18" i="3" s="1"/>
  <c r="DM3" i="3"/>
  <c r="DN3" i="3" s="1"/>
  <c r="DN16" i="3"/>
  <c r="DN14" i="3"/>
  <c r="DN13" i="3"/>
  <c r="DN12" i="3"/>
  <c r="DN11" i="3"/>
  <c r="DN8" i="3"/>
  <c r="DN5" i="3"/>
  <c r="DN4" i="3"/>
  <c r="BJ4" i="4"/>
  <c r="BH17" i="4"/>
  <c r="BH16" i="4"/>
  <c r="BJ16" i="4" s="1"/>
  <c r="BH15" i="4"/>
  <c r="BJ15" i="4" s="1"/>
  <c r="BH14" i="4"/>
  <c r="BJ14" i="4" s="1"/>
  <c r="BH13" i="4"/>
  <c r="BH12" i="4"/>
  <c r="BJ12" i="4" s="1"/>
  <c r="BH11" i="4"/>
  <c r="BJ11" i="4" s="1"/>
  <c r="BH10" i="4"/>
  <c r="BJ10" i="4" s="1"/>
  <c r="BH9" i="4"/>
  <c r="BH8" i="4"/>
  <c r="BJ8" i="4" s="1"/>
  <c r="BH7" i="4"/>
  <c r="BJ7" i="4" s="1"/>
  <c r="BH6" i="4"/>
  <c r="BJ6" i="4" s="1"/>
  <c r="BH5" i="4"/>
  <c r="BH4" i="4"/>
  <c r="BH3" i="4"/>
  <c r="BJ3" i="4" s="1"/>
  <c r="BH2" i="4"/>
  <c r="BJ2" i="4" s="1"/>
  <c r="DF4" i="3"/>
  <c r="DF5" i="3"/>
  <c r="DF6" i="3"/>
  <c r="DG6" i="3" s="1"/>
  <c r="DF7" i="3"/>
  <c r="DF8" i="3"/>
  <c r="DF9" i="3"/>
  <c r="DG9" i="3" s="1"/>
  <c r="DF10" i="3"/>
  <c r="DG10" i="3" s="1"/>
  <c r="DF11" i="3"/>
  <c r="DG11" i="3" s="1"/>
  <c r="DF12" i="3"/>
  <c r="DG12" i="3" s="1"/>
  <c r="DF13" i="3"/>
  <c r="DF14" i="3"/>
  <c r="DF15" i="3"/>
  <c r="DG15" i="3" s="1"/>
  <c r="DF16" i="3"/>
  <c r="DG16" i="3" s="1"/>
  <c r="DF17" i="3"/>
  <c r="DG17" i="3" s="1"/>
  <c r="DF18" i="3"/>
  <c r="DG18" i="3" s="1"/>
  <c r="DF3" i="3"/>
  <c r="DG3" i="3" s="1"/>
  <c r="DG14" i="3"/>
  <c r="DG13" i="3"/>
  <c r="DG8" i="3"/>
  <c r="DG7" i="3"/>
  <c r="DG5" i="3"/>
  <c r="DG4" i="3"/>
  <c r="BB11" i="4"/>
  <c r="AZ17" i="4"/>
  <c r="BB17" i="4" s="1"/>
  <c r="AZ16" i="4"/>
  <c r="BB16" i="4" s="1"/>
  <c r="AZ15" i="4"/>
  <c r="BB15" i="4" s="1"/>
  <c r="AZ14" i="4"/>
  <c r="BB14" i="4" s="1"/>
  <c r="AZ13" i="4"/>
  <c r="BB13" i="4" s="1"/>
  <c r="AZ12" i="4"/>
  <c r="BB12" i="4" s="1"/>
  <c r="AZ11" i="4"/>
  <c r="AZ10" i="4"/>
  <c r="AZ9" i="4"/>
  <c r="BB9" i="4" s="1"/>
  <c r="AZ8" i="4"/>
  <c r="BB8" i="4" s="1"/>
  <c r="AZ7" i="4"/>
  <c r="BB7" i="4" s="1"/>
  <c r="AZ6" i="4"/>
  <c r="BB6" i="4" s="1"/>
  <c r="AZ5" i="4"/>
  <c r="BB5" i="4" s="1"/>
  <c r="AZ4" i="4"/>
  <c r="BB4" i="4" s="1"/>
  <c r="AZ3" i="4"/>
  <c r="BB3" i="4" s="1"/>
  <c r="AZ2" i="4"/>
  <c r="CY4" i="3"/>
  <c r="CY5" i="3"/>
  <c r="CZ5" i="3" s="1"/>
  <c r="CY6" i="3"/>
  <c r="CY7" i="3"/>
  <c r="CY8" i="3"/>
  <c r="CZ8" i="3" s="1"/>
  <c r="CY9" i="3"/>
  <c r="CY10" i="3"/>
  <c r="CZ10" i="3" s="1"/>
  <c r="CY11" i="3"/>
  <c r="CZ11" i="3" s="1"/>
  <c r="CY12" i="3"/>
  <c r="CZ12" i="3" s="1"/>
  <c r="CY13" i="3"/>
  <c r="CY14" i="3"/>
  <c r="CZ14" i="3" s="1"/>
  <c r="CY15" i="3"/>
  <c r="CY16" i="3"/>
  <c r="CY17" i="3"/>
  <c r="CZ17" i="3" s="1"/>
  <c r="CY18" i="3"/>
  <c r="CZ18" i="3" s="1"/>
  <c r="CY3" i="3"/>
  <c r="CZ3" i="3" s="1"/>
  <c r="CZ16" i="3"/>
  <c r="CZ15" i="3"/>
  <c r="CZ13" i="3"/>
  <c r="CZ9" i="3"/>
  <c r="CZ7" i="3"/>
  <c r="CZ6" i="3"/>
  <c r="CZ4" i="3"/>
  <c r="AR17" i="4"/>
  <c r="AT17" i="4" s="1"/>
  <c r="AR16" i="4"/>
  <c r="AT16" i="4" s="1"/>
  <c r="AR15" i="4"/>
  <c r="AT15" i="4" s="1"/>
  <c r="AR14" i="4"/>
  <c r="AT14" i="4" s="1"/>
  <c r="AR13" i="4"/>
  <c r="AT13" i="4" s="1"/>
  <c r="AR12" i="4"/>
  <c r="AT12" i="4" s="1"/>
  <c r="AR11" i="4"/>
  <c r="AR10" i="4"/>
  <c r="AT10" i="4" s="1"/>
  <c r="AR9" i="4"/>
  <c r="AT9" i="4" s="1"/>
  <c r="AR8" i="4"/>
  <c r="AT8" i="4" s="1"/>
  <c r="AR7" i="4"/>
  <c r="AT7" i="4" s="1"/>
  <c r="AR6" i="4"/>
  <c r="AT6" i="4" s="1"/>
  <c r="AR5" i="4"/>
  <c r="AT5" i="4" s="1"/>
  <c r="AR4" i="4"/>
  <c r="AT4" i="4" s="1"/>
  <c r="AR3" i="4"/>
  <c r="AR2" i="4"/>
  <c r="AT2" i="4" s="1"/>
  <c r="CR4" i="3"/>
  <c r="CR5" i="3"/>
  <c r="CR6" i="3"/>
  <c r="CR7" i="3"/>
  <c r="CR8" i="3"/>
  <c r="CR9" i="3"/>
  <c r="CS9" i="3" s="1"/>
  <c r="CR10" i="3"/>
  <c r="CS10" i="3" s="1"/>
  <c r="CR11" i="3"/>
  <c r="CS11" i="3" s="1"/>
  <c r="CR12" i="3"/>
  <c r="CS12" i="3" s="1"/>
  <c r="CR13" i="3"/>
  <c r="CR14" i="3"/>
  <c r="CS14" i="3" s="1"/>
  <c r="CR15" i="3"/>
  <c r="CR16" i="3"/>
  <c r="CR17" i="3"/>
  <c r="CS17" i="3" s="1"/>
  <c r="CR18" i="3"/>
  <c r="CS18" i="3" s="1"/>
  <c r="CR3" i="3"/>
  <c r="CS3" i="3" s="1"/>
  <c r="CS16" i="3"/>
  <c r="CS15" i="3"/>
  <c r="CS13" i="3"/>
  <c r="CS8" i="3"/>
  <c r="CS7" i="3"/>
  <c r="CS6" i="3"/>
  <c r="CS5" i="3"/>
  <c r="CS4" i="3"/>
  <c r="AJ17" i="4"/>
  <c r="AL17" i="4" s="1"/>
  <c r="AJ16" i="4"/>
  <c r="AL16" i="4" s="1"/>
  <c r="AJ15" i="4"/>
  <c r="AL15" i="4" s="1"/>
  <c r="AJ14" i="4"/>
  <c r="AL14" i="4" s="1"/>
  <c r="AJ13" i="4"/>
  <c r="AL12" i="4"/>
  <c r="AJ12" i="4"/>
  <c r="AJ11" i="4"/>
  <c r="AL11" i="4" s="1"/>
  <c r="AJ10" i="4"/>
  <c r="AL10" i="4" s="1"/>
  <c r="AJ9" i="4"/>
  <c r="AJ8" i="4"/>
  <c r="AL8" i="4" s="1"/>
  <c r="AJ7" i="4"/>
  <c r="AL7" i="4" s="1"/>
  <c r="AJ6" i="4"/>
  <c r="AL6" i="4" s="1"/>
  <c r="AJ5" i="4"/>
  <c r="AL5" i="4" s="1"/>
  <c r="AJ4" i="4"/>
  <c r="AL4" i="4" s="1"/>
  <c r="AL3" i="4"/>
  <c r="AJ3" i="4"/>
  <c r="AJ2" i="4"/>
  <c r="CK4" i="3"/>
  <c r="CL4" i="3" s="1"/>
  <c r="CK5" i="3"/>
  <c r="CL5" i="3" s="1"/>
  <c r="CK6" i="3"/>
  <c r="CK7" i="3"/>
  <c r="CK8" i="3"/>
  <c r="CL8" i="3" s="1"/>
  <c r="CK9" i="3"/>
  <c r="CK10" i="3"/>
  <c r="CL10" i="3" s="1"/>
  <c r="CK11" i="3"/>
  <c r="CK12" i="3"/>
  <c r="CL12" i="3" s="1"/>
  <c r="CK13" i="3"/>
  <c r="CL13" i="3" s="1"/>
  <c r="CK14" i="3"/>
  <c r="CL14" i="3" s="1"/>
  <c r="CK15" i="3"/>
  <c r="CK16" i="3"/>
  <c r="CL16" i="3" s="1"/>
  <c r="CK17" i="3"/>
  <c r="CL17" i="3" s="1"/>
  <c r="CK18" i="3"/>
  <c r="CL18" i="3" s="1"/>
  <c r="CK3" i="3"/>
  <c r="CL3" i="3" s="1"/>
  <c r="CL15" i="3"/>
  <c r="CL11" i="3"/>
  <c r="CL9" i="3"/>
  <c r="CL7" i="3"/>
  <c r="CL6" i="3"/>
  <c r="CD4" i="3"/>
  <c r="CE4" i="3" s="1"/>
  <c r="CD5" i="3"/>
  <c r="CE5" i="3" s="1"/>
  <c r="CD6" i="3"/>
  <c r="CD7" i="3"/>
  <c r="CD8" i="3"/>
  <c r="CD9" i="3"/>
  <c r="CE9" i="3" s="1"/>
  <c r="CD10" i="3"/>
  <c r="CD11" i="3"/>
  <c r="CD12" i="3"/>
  <c r="CE12" i="3" s="1"/>
  <c r="CD13" i="3"/>
  <c r="CE13" i="3" s="1"/>
  <c r="CD14" i="3"/>
  <c r="CD15" i="3"/>
  <c r="CD16" i="3"/>
  <c r="CE16" i="3" s="1"/>
  <c r="CD17" i="3"/>
  <c r="CE17" i="3" s="1"/>
  <c r="CD18" i="3"/>
  <c r="CE18" i="3" s="1"/>
  <c r="CD3" i="3"/>
  <c r="CE3" i="3" s="1"/>
  <c r="CE15" i="3"/>
  <c r="CE14" i="3"/>
  <c r="CE11" i="3"/>
  <c r="CE10" i="3"/>
  <c r="CE8" i="3"/>
  <c r="CE7" i="3"/>
  <c r="CE6" i="3"/>
  <c r="AB17" i="4"/>
  <c r="AD17" i="4" s="1"/>
  <c r="AB16" i="4"/>
  <c r="AD16" i="4" s="1"/>
  <c r="AB15" i="4"/>
  <c r="AD15" i="4" s="1"/>
  <c r="AB14" i="4"/>
  <c r="AD14" i="4" s="1"/>
  <c r="AB13" i="4"/>
  <c r="AD13" i="4" s="1"/>
  <c r="AB12" i="4"/>
  <c r="AD12" i="4" s="1"/>
  <c r="AB11" i="4"/>
  <c r="AD11" i="4" s="1"/>
  <c r="AB10" i="4"/>
  <c r="AB9" i="4"/>
  <c r="AD9" i="4" s="1"/>
  <c r="AB8" i="4"/>
  <c r="AD8" i="4" s="1"/>
  <c r="AB7" i="4"/>
  <c r="AD7" i="4" s="1"/>
  <c r="AB6" i="4"/>
  <c r="AD6" i="4" s="1"/>
  <c r="AB5" i="4"/>
  <c r="AD5" i="4" s="1"/>
  <c r="AB4" i="4"/>
  <c r="AD4" i="4" s="1"/>
  <c r="AB3" i="4"/>
  <c r="AB2" i="4"/>
  <c r="BW4" i="3"/>
  <c r="BW5" i="3"/>
  <c r="BW6" i="3"/>
  <c r="BX6" i="3" s="1"/>
  <c r="BW7" i="3"/>
  <c r="BX7" i="3" s="1"/>
  <c r="BW8" i="3"/>
  <c r="BX8" i="3" s="1"/>
  <c r="BW9" i="3"/>
  <c r="BX9" i="3" s="1"/>
  <c r="BW10" i="3"/>
  <c r="BX10" i="3" s="1"/>
  <c r="BW11" i="3"/>
  <c r="BW12" i="3"/>
  <c r="BW13" i="3"/>
  <c r="BW14" i="3"/>
  <c r="BX14" i="3" s="1"/>
  <c r="BW15" i="3"/>
  <c r="BX15" i="3" s="1"/>
  <c r="BW16" i="3"/>
  <c r="BX16" i="3" s="1"/>
  <c r="BW17" i="3"/>
  <c r="BX17" i="3" s="1"/>
  <c r="BW18" i="3"/>
  <c r="BX18" i="3" s="1"/>
  <c r="BW3" i="3"/>
  <c r="BX13" i="3"/>
  <c r="BX12" i="3"/>
  <c r="BX11" i="3"/>
  <c r="BX5" i="3"/>
  <c r="BX4" i="3"/>
  <c r="BX3" i="3"/>
  <c r="S17" i="4"/>
  <c r="U17" i="4" s="1"/>
  <c r="S16" i="4"/>
  <c r="U16" i="4" s="1"/>
  <c r="S15" i="4"/>
  <c r="U15" i="4" s="1"/>
  <c r="S14" i="4"/>
  <c r="U14" i="4" s="1"/>
  <c r="S13" i="4"/>
  <c r="U13" i="4" s="1"/>
  <c r="S12" i="4"/>
  <c r="U12" i="4" s="1"/>
  <c r="S11" i="4"/>
  <c r="U11" i="4" s="1"/>
  <c r="S10" i="4"/>
  <c r="U10" i="4" s="1"/>
  <c r="S9" i="4"/>
  <c r="U9" i="4" s="1"/>
  <c r="S8" i="4"/>
  <c r="U8" i="4" s="1"/>
  <c r="S7" i="4"/>
  <c r="U7" i="4" s="1"/>
  <c r="S6" i="4"/>
  <c r="U6" i="4" s="1"/>
  <c r="S5" i="4"/>
  <c r="U5" i="4" s="1"/>
  <c r="S4" i="4"/>
  <c r="U4" i="4" s="1"/>
  <c r="S3" i="4"/>
  <c r="U3" i="4" s="1"/>
  <c r="S2" i="4"/>
  <c r="U2" i="4" s="1"/>
  <c r="BP18" i="3"/>
  <c r="BQ18" i="3" s="1"/>
  <c r="BP17" i="3"/>
  <c r="BQ17" i="3" s="1"/>
  <c r="BQ16" i="3"/>
  <c r="BP16" i="3"/>
  <c r="BP15" i="3"/>
  <c r="BQ15" i="3" s="1"/>
  <c r="BP14" i="3"/>
  <c r="BQ14" i="3" s="1"/>
  <c r="BP13" i="3"/>
  <c r="BQ13" i="3" s="1"/>
  <c r="BQ12" i="3"/>
  <c r="BP12" i="3"/>
  <c r="BP11" i="3"/>
  <c r="BQ11" i="3" s="1"/>
  <c r="BQ10" i="3"/>
  <c r="BP10" i="3"/>
  <c r="BP9" i="3"/>
  <c r="BQ9" i="3" s="1"/>
  <c r="BP8" i="3"/>
  <c r="BQ8" i="3" s="1"/>
  <c r="BP7" i="3"/>
  <c r="BQ7" i="3" s="1"/>
  <c r="BP6" i="3"/>
  <c r="BQ6" i="3" s="1"/>
  <c r="BP5" i="3"/>
  <c r="BQ5" i="3" s="1"/>
  <c r="BP4" i="3"/>
  <c r="BQ4" i="3" s="1"/>
  <c r="BP3" i="3"/>
  <c r="BQ3" i="3" s="1"/>
  <c r="K17" i="4"/>
  <c r="M17" i="4" s="1"/>
  <c r="K16" i="4"/>
  <c r="K15" i="4"/>
  <c r="M15" i="4" s="1"/>
  <c r="K14" i="4"/>
  <c r="M14" i="4" s="1"/>
  <c r="K13" i="4"/>
  <c r="M13" i="4" s="1"/>
  <c r="K12" i="4"/>
  <c r="K11" i="4"/>
  <c r="M11" i="4" s="1"/>
  <c r="K10" i="4"/>
  <c r="M10" i="4" s="1"/>
  <c r="K9" i="4"/>
  <c r="M9" i="4" s="1"/>
  <c r="K8" i="4"/>
  <c r="K7" i="4"/>
  <c r="M7" i="4" s="1"/>
  <c r="K6" i="4"/>
  <c r="M6" i="4" s="1"/>
  <c r="K5" i="4"/>
  <c r="M5" i="4" s="1"/>
  <c r="K4" i="4"/>
  <c r="K3" i="4"/>
  <c r="M3" i="4" s="1"/>
  <c r="K2" i="4"/>
  <c r="M2" i="4" s="1"/>
  <c r="BI4" i="3"/>
  <c r="BI5" i="3"/>
  <c r="BI6" i="3"/>
  <c r="BJ6" i="3" s="1"/>
  <c r="BI7" i="3"/>
  <c r="BI8" i="3"/>
  <c r="BJ8" i="3" s="1"/>
  <c r="BI9" i="3"/>
  <c r="BI10" i="3"/>
  <c r="BJ10" i="3" s="1"/>
  <c r="BI11" i="3"/>
  <c r="BJ11" i="3" s="1"/>
  <c r="BI12" i="3"/>
  <c r="BJ12" i="3" s="1"/>
  <c r="BI13" i="3"/>
  <c r="BJ13" i="3" s="1"/>
  <c r="BI14" i="3"/>
  <c r="BI15" i="3"/>
  <c r="BI16" i="3"/>
  <c r="BJ16" i="3" s="1"/>
  <c r="BI17" i="3"/>
  <c r="BI18" i="3"/>
  <c r="BJ18" i="3" s="1"/>
  <c r="BI3" i="3"/>
  <c r="BJ3" i="3" s="1"/>
  <c r="BJ17" i="3"/>
  <c r="BJ15" i="3"/>
  <c r="BJ14" i="3"/>
  <c r="BJ9" i="3"/>
  <c r="BJ7" i="3"/>
  <c r="BJ5" i="3"/>
  <c r="BJ4" i="3"/>
  <c r="BB4" i="3"/>
  <c r="BB5" i="3"/>
  <c r="BC5" i="3" s="1"/>
  <c r="BB6" i="3"/>
  <c r="BB7" i="3"/>
  <c r="BB8" i="3"/>
  <c r="BC8" i="3" s="1"/>
  <c r="BB9" i="3"/>
  <c r="BB10" i="3"/>
  <c r="BC10" i="3" s="1"/>
  <c r="BB11" i="3"/>
  <c r="BC11" i="3" s="1"/>
  <c r="BB12" i="3"/>
  <c r="BB13" i="3"/>
  <c r="BC13" i="3" s="1"/>
  <c r="BB14" i="3"/>
  <c r="BB15" i="3"/>
  <c r="BB16" i="3"/>
  <c r="BC16" i="3" s="1"/>
  <c r="BB17" i="3"/>
  <c r="BB18" i="3"/>
  <c r="BC18" i="3" s="1"/>
  <c r="BB3" i="3"/>
  <c r="BC3" i="3" s="1"/>
  <c r="BC17" i="3"/>
  <c r="BC15" i="3"/>
  <c r="BC14" i="3"/>
  <c r="BC12" i="3"/>
  <c r="BC9" i="3"/>
  <c r="BC7" i="3"/>
  <c r="BC6" i="3"/>
  <c r="BC4" i="3"/>
  <c r="C3" i="4"/>
  <c r="E3" i="4" s="1"/>
  <c r="C4" i="4"/>
  <c r="E4" i="4" s="1"/>
  <c r="C5" i="4"/>
  <c r="E5" i="4" s="1"/>
  <c r="C6" i="4"/>
  <c r="E6" i="4" s="1"/>
  <c r="C7" i="4"/>
  <c r="E7" i="4" s="1"/>
  <c r="C8" i="4"/>
  <c r="E8" i="4" s="1"/>
  <c r="C9" i="4"/>
  <c r="E9" i="4" s="1"/>
  <c r="C10" i="4"/>
  <c r="E10" i="4" s="1"/>
  <c r="C11" i="4"/>
  <c r="E11" i="4" s="1"/>
  <c r="C12" i="4"/>
  <c r="E12" i="4" s="1"/>
  <c r="C13" i="4"/>
  <c r="E13" i="4" s="1"/>
  <c r="C14" i="4"/>
  <c r="E14" i="4" s="1"/>
  <c r="C15" i="4"/>
  <c r="E15" i="4" s="1"/>
  <c r="C16" i="4"/>
  <c r="E16" i="4" s="1"/>
  <c r="C17" i="4"/>
  <c r="E17" i="4" s="1"/>
  <c r="C2" i="4"/>
  <c r="E2" i="4" s="1"/>
  <c r="BZ2" i="4" l="1"/>
  <c r="CA2" i="4" s="1"/>
  <c r="BZ10" i="4"/>
  <c r="CA10" i="4" s="1"/>
  <c r="BR3" i="4"/>
  <c r="BJ17" i="4"/>
  <c r="BJ13" i="4"/>
  <c r="BJ9" i="4"/>
  <c r="BJ5" i="4"/>
  <c r="BB10" i="4"/>
  <c r="BB2" i="4"/>
  <c r="AT3" i="4"/>
  <c r="AT11" i="4"/>
  <c r="AL2" i="4"/>
  <c r="AL13" i="4"/>
  <c r="AL9" i="4"/>
  <c r="AD2" i="4"/>
  <c r="AD3" i="4"/>
  <c r="AD10" i="4"/>
  <c r="M8" i="4"/>
  <c r="M4" i="4"/>
  <c r="M16" i="4"/>
  <c r="M12" i="4"/>
  <c r="AU4" i="3"/>
  <c r="AV4" i="3" s="1"/>
  <c r="AU5" i="3"/>
  <c r="AU6" i="3"/>
  <c r="AU7" i="3"/>
  <c r="AU8" i="3"/>
  <c r="AV8" i="3" s="1"/>
  <c r="AU9" i="3"/>
  <c r="AU10" i="3"/>
  <c r="AV10" i="3" s="1"/>
  <c r="AU11" i="3"/>
  <c r="AV11" i="3" s="1"/>
  <c r="AU12" i="3"/>
  <c r="AU13" i="3"/>
  <c r="AV13" i="3" s="1"/>
  <c r="AU14" i="3"/>
  <c r="AV14" i="3" s="1"/>
  <c r="AU15" i="3"/>
  <c r="AV15" i="3" s="1"/>
  <c r="AU16" i="3"/>
  <c r="AU17" i="3"/>
  <c r="AU18" i="3"/>
  <c r="AV18" i="3" s="1"/>
  <c r="AU3" i="3"/>
  <c r="AV3" i="3" s="1"/>
  <c r="AV17" i="3"/>
  <c r="AV16" i="3"/>
  <c r="AV12" i="3"/>
  <c r="AV9" i="3"/>
  <c r="AV7" i="3"/>
  <c r="AV6" i="3"/>
  <c r="AV5" i="3"/>
  <c r="AO3" i="3"/>
  <c r="AO4" i="3"/>
  <c r="AO7" i="3"/>
  <c r="AO8" i="3"/>
  <c r="AO9" i="3"/>
  <c r="AO11" i="3"/>
  <c r="AO12" i="3"/>
  <c r="AO15" i="3"/>
  <c r="AO16" i="3"/>
  <c r="AO17" i="3"/>
  <c r="AN4" i="3"/>
  <c r="AN5" i="3"/>
  <c r="AO5" i="3" s="1"/>
  <c r="AN6" i="3"/>
  <c r="AO6" i="3" s="1"/>
  <c r="AN7" i="3"/>
  <c r="AN8" i="3"/>
  <c r="AN9" i="3"/>
  <c r="AN10" i="3"/>
  <c r="AO10" i="3" s="1"/>
  <c r="AN11" i="3"/>
  <c r="AN12" i="3"/>
  <c r="AN13" i="3"/>
  <c r="AO13" i="3" s="1"/>
  <c r="AN14" i="3"/>
  <c r="AO14" i="3" s="1"/>
  <c r="AN15" i="3"/>
  <c r="AN16" i="3"/>
  <c r="AN17" i="3"/>
  <c r="AN18" i="3"/>
  <c r="AO18" i="3" s="1"/>
  <c r="AN3" i="3"/>
  <c r="S4" i="3"/>
  <c r="S5" i="3"/>
  <c r="S6" i="3"/>
  <c r="S7" i="3"/>
  <c r="S8" i="3"/>
  <c r="S9" i="3"/>
  <c r="S10" i="3"/>
  <c r="S11" i="3"/>
  <c r="S12" i="3"/>
  <c r="S13" i="3"/>
  <c r="S14" i="3"/>
  <c r="S15" i="3"/>
  <c r="S16" i="3"/>
  <c r="S17" i="3"/>
  <c r="S18" i="3"/>
  <c r="S3" i="3"/>
  <c r="L4" i="3"/>
  <c r="L5" i="3"/>
  <c r="L6" i="3"/>
  <c r="L7" i="3"/>
  <c r="L8" i="3"/>
  <c r="L9" i="3"/>
  <c r="L10" i="3"/>
  <c r="L11" i="3"/>
  <c r="L12" i="3"/>
  <c r="L13" i="3"/>
  <c r="L14" i="3"/>
  <c r="L15" i="3"/>
  <c r="L16" i="3"/>
  <c r="L17" i="3"/>
  <c r="L18" i="3"/>
  <c r="L3" i="3"/>
  <c r="K4" i="3"/>
  <c r="K5" i="3"/>
  <c r="K6" i="3"/>
  <c r="K7" i="3"/>
  <c r="K8" i="3"/>
  <c r="K9" i="3"/>
  <c r="K10" i="3"/>
  <c r="K11" i="3"/>
  <c r="K12" i="3"/>
  <c r="K13" i="3"/>
  <c r="K14" i="3"/>
  <c r="K15" i="3"/>
  <c r="K16" i="3"/>
  <c r="K17" i="3"/>
  <c r="K18" i="3"/>
  <c r="K3" i="3"/>
  <c r="M10" i="3" l="1"/>
  <c r="M13" i="3"/>
  <c r="M5" i="3"/>
  <c r="M12" i="3"/>
  <c r="M4" i="3"/>
  <c r="M16" i="3"/>
  <c r="M7" i="3"/>
  <c r="M8" i="3"/>
  <c r="M15" i="3"/>
  <c r="M11" i="3"/>
  <c r="T15" i="3"/>
  <c r="M17" i="3"/>
  <c r="T4" i="3"/>
  <c r="T12" i="3"/>
  <c r="T16" i="3"/>
  <c r="M3" i="3"/>
  <c r="T7" i="3"/>
  <c r="M9" i="3"/>
  <c r="T5" i="3"/>
  <c r="T13" i="3"/>
  <c r="M18" i="3"/>
  <c r="T11" i="3"/>
  <c r="M6" i="3"/>
  <c r="T17" i="3"/>
  <c r="T3" i="3"/>
  <c r="M14" i="3"/>
  <c r="T9" i="3"/>
  <c r="T10" i="3"/>
  <c r="T6" i="3"/>
  <c r="T14" i="3"/>
  <c r="T18" i="3"/>
  <c r="T8" i="3"/>
</calcChain>
</file>

<file path=xl/sharedStrings.xml><?xml version="1.0" encoding="utf-8"?>
<sst xmlns="http://schemas.openxmlformats.org/spreadsheetml/2006/main" count="2088" uniqueCount="289">
  <si>
    <t>Bench 1</t>
  </si>
  <si>
    <t>Bench 2</t>
  </si>
  <si>
    <t>Bench 3</t>
  </si>
  <si>
    <t>Bench 4</t>
  </si>
  <si>
    <t>Q1</t>
  </si>
  <si>
    <t>Q2</t>
  </si>
  <si>
    <t>Q3</t>
  </si>
  <si>
    <t>Q4</t>
  </si>
  <si>
    <t>Pots number</t>
  </si>
  <si>
    <t>Genotype</t>
  </si>
  <si>
    <t>Pot number</t>
  </si>
  <si>
    <t>PI070229</t>
  </si>
  <si>
    <t>PI423802</t>
  </si>
  <si>
    <t>PI603465C</t>
  </si>
  <si>
    <r>
      <t>PI</t>
    </r>
    <r>
      <rPr>
        <sz val="11"/>
        <color rgb="FF000000"/>
        <rFont val="Aptos Narrow"/>
        <family val="2"/>
        <scheme val="minor"/>
      </rPr>
      <t>398617</t>
    </r>
  </si>
  <si>
    <t>Tare</t>
  </si>
  <si>
    <t>Pot + lid + rocks (g)</t>
  </si>
  <si>
    <t>Date</t>
  </si>
  <si>
    <t>First weight</t>
  </si>
  <si>
    <t>CV5</t>
  </si>
  <si>
    <t>CV6</t>
  </si>
  <si>
    <t>CV7</t>
  </si>
  <si>
    <t>CV8</t>
  </si>
  <si>
    <t>100% pot cap</t>
  </si>
  <si>
    <t>Soil+water (g)</t>
  </si>
  <si>
    <t>Current soil + water</t>
  </si>
  <si>
    <t>% pot cap</t>
  </si>
  <si>
    <t>Weight Day 10/08 (g)</t>
  </si>
  <si>
    <t>Hour: 08:55</t>
  </si>
  <si>
    <t>Weight Day 10/14 (g)</t>
  </si>
  <si>
    <t>Phenology</t>
  </si>
  <si>
    <t>Weight Day 10/15 (g)</t>
  </si>
  <si>
    <t>V2</t>
  </si>
  <si>
    <t>V1</t>
  </si>
  <si>
    <t>VC</t>
  </si>
  <si>
    <t>V3</t>
  </si>
  <si>
    <t>Weight Day 10/18 (g)</t>
  </si>
  <si>
    <t>Hour: 09:56</t>
  </si>
  <si>
    <t>Weight Day 10/22 (g)</t>
  </si>
  <si>
    <t>V4</t>
  </si>
  <si>
    <t>Hour: 14:40</t>
  </si>
  <si>
    <t>70% pot cap</t>
  </si>
  <si>
    <t>Up to 70% (ml)</t>
  </si>
  <si>
    <t>Irrigation date</t>
  </si>
  <si>
    <t>Time</t>
  </si>
  <si>
    <t>Start</t>
  </si>
  <si>
    <t>Finish</t>
  </si>
  <si>
    <t>Weight Day 10/24 (g)</t>
  </si>
  <si>
    <t>Hour: 08:43</t>
  </si>
  <si>
    <t>Weight Day 10/25 (g)</t>
  </si>
  <si>
    <t xml:space="preserve">Hour: </t>
  </si>
  <si>
    <t>V5</t>
  </si>
  <si>
    <t>ml added</t>
  </si>
  <si>
    <t>Weight Day 10/27 (g)</t>
  </si>
  <si>
    <t>Weight Day 10/28 (g)</t>
  </si>
  <si>
    <t>Hour: 08:35</t>
  </si>
  <si>
    <t>Weight Day 10/29 (g)</t>
  </si>
  <si>
    <t>Hour: 14:09</t>
  </si>
  <si>
    <t>V6</t>
  </si>
  <si>
    <t>Weight Day 10/30 (g)</t>
  </si>
  <si>
    <t>Hour: 08:40</t>
  </si>
  <si>
    <t>Weight Day 10/31 (g)</t>
  </si>
  <si>
    <t>Hour: 09:12</t>
  </si>
  <si>
    <t>R1</t>
  </si>
  <si>
    <t>Weight Day 11/01 (g)</t>
  </si>
  <si>
    <t>V7</t>
  </si>
  <si>
    <t>R2</t>
  </si>
  <si>
    <t>Weight Day 11/02 (g)</t>
  </si>
  <si>
    <t>Weight Day 11/04 (g)</t>
  </si>
  <si>
    <t>Weight Day 11/05 (g)</t>
  </si>
  <si>
    <t>V8</t>
  </si>
  <si>
    <t>Water added</t>
  </si>
  <si>
    <t>Weight Day 11/06 (g)</t>
  </si>
  <si>
    <t>Range</t>
  </si>
  <si>
    <t>Treatment</t>
  </si>
  <si>
    <t>RH</t>
  </si>
  <si>
    <t>Temperature</t>
  </si>
  <si>
    <t>Vpsat</t>
  </si>
  <si>
    <t>Vpactual</t>
  </si>
  <si>
    <t>VPD</t>
  </si>
  <si>
    <t>T1</t>
  </si>
  <si>
    <t>T2</t>
  </si>
  <si>
    <t>T3</t>
  </si>
  <si>
    <t>T4</t>
  </si>
  <si>
    <t>T5</t>
  </si>
  <si>
    <t xml:space="preserve"> </t>
  </si>
  <si>
    <t>Variable</t>
  </si>
  <si>
    <t>Conditions prior to R1</t>
  </si>
  <si>
    <t>RH, %</t>
  </si>
  <si>
    <t>Temperature, °C</t>
  </si>
  <si>
    <t>VPsat, kPa</t>
  </si>
  <si>
    <t>VPactual, kPa</t>
  </si>
  <si>
    <t xml:space="preserve">VPD, kPa </t>
  </si>
  <si>
    <t>Legend</t>
  </si>
  <si>
    <t>Average</t>
  </si>
  <si>
    <t xml:space="preserve">DAY 1 - </t>
  </si>
  <si>
    <t>T</t>
  </si>
  <si>
    <t>Pots</t>
  </si>
  <si>
    <t>Total weight (tare) g</t>
  </si>
  <si>
    <t xml:space="preserve">Weight Day 1 (g)  </t>
  </si>
  <si>
    <t>Soil+water (g) 100%</t>
  </si>
  <si>
    <t>Soil+water (g) 70%</t>
  </si>
  <si>
    <t>Start T1</t>
  </si>
  <si>
    <t>Finished T1</t>
  </si>
  <si>
    <t>Started T2</t>
  </si>
  <si>
    <t>Finished T2</t>
  </si>
  <si>
    <t>Started T3</t>
  </si>
  <si>
    <t>Finished T3</t>
  </si>
  <si>
    <t>Started T4</t>
  </si>
  <si>
    <t>Finished T4</t>
  </si>
  <si>
    <t>Started T5</t>
  </si>
  <si>
    <t>Finished T5</t>
  </si>
  <si>
    <t xml:space="preserve">Weight Day 2 (g)  </t>
  </si>
  <si>
    <t>Weight Day 11/07 (g)</t>
  </si>
  <si>
    <t>Weight Day 11/08 (g)</t>
  </si>
  <si>
    <t>VPD treatments Day 2 - Beggining  - 11/08</t>
  </si>
  <si>
    <t>VPD treatments Day 1 - Beggining - 11/07</t>
  </si>
  <si>
    <t>DAY 2 - 11/08</t>
  </si>
  <si>
    <t>Corrected weight</t>
  </si>
  <si>
    <t>R3</t>
  </si>
  <si>
    <t>V9</t>
  </si>
  <si>
    <t>Pot</t>
  </si>
  <si>
    <t>Transpiration rate</t>
  </si>
  <si>
    <t>Day 2</t>
  </si>
  <si>
    <t>Relative humidity</t>
  </si>
  <si>
    <t>T6</t>
  </si>
  <si>
    <t>T°C</t>
  </si>
  <si>
    <t>Beggining weight (g)</t>
  </si>
  <si>
    <t>Final weight (g)</t>
  </si>
  <si>
    <t>Transpiration (ml)</t>
  </si>
  <si>
    <t>Relative Transpiration</t>
  </si>
  <si>
    <t>POT 17</t>
  </si>
  <si>
    <t>POT 18</t>
  </si>
  <si>
    <t>POT 19</t>
  </si>
  <si>
    <t>First day 11/07</t>
  </si>
  <si>
    <t>Soybean dry mass - growth chamber</t>
  </si>
  <si>
    <t>Leaf</t>
  </si>
  <si>
    <t>Stem</t>
  </si>
  <si>
    <t>Reproductive</t>
  </si>
  <si>
    <t>Plant number</t>
  </si>
  <si>
    <t>Weight</t>
  </si>
  <si>
    <t>Weight (g)</t>
  </si>
  <si>
    <t>POT 20</t>
  </si>
  <si>
    <t>POT 21</t>
  </si>
  <si>
    <t>POT 22</t>
  </si>
  <si>
    <t>POT 23</t>
  </si>
  <si>
    <t>POT 24</t>
  </si>
  <si>
    <t>POT 25</t>
  </si>
  <si>
    <t>POT 26</t>
  </si>
  <si>
    <t>POT 28</t>
  </si>
  <si>
    <t>POT 30</t>
  </si>
  <si>
    <t>POT 31</t>
  </si>
  <si>
    <t>POT 32</t>
  </si>
  <si>
    <t>Leaf area</t>
  </si>
  <si>
    <t>Leaf area (cm2)</t>
  </si>
  <si>
    <t>Transpiration (mg)</t>
  </si>
  <si>
    <t>Leaf area (m2)</t>
  </si>
  <si>
    <t>T/A (mg/m2/35min)</t>
  </si>
  <si>
    <t>T/A (mg/m2/s)</t>
  </si>
  <si>
    <t>Pot 17 - D1</t>
  </si>
  <si>
    <t>Pot 17 - D2</t>
  </si>
  <si>
    <t>Pot 18 - D2</t>
  </si>
  <si>
    <t>Pot 19 - D2</t>
  </si>
  <si>
    <t>Pot 20 - D2</t>
  </si>
  <si>
    <t>Pot 21 - D2</t>
  </si>
  <si>
    <t>Pot 22 - D2</t>
  </si>
  <si>
    <t>Pot 23 - D2</t>
  </si>
  <si>
    <t>Pot 24 - D2</t>
  </si>
  <si>
    <t>Pot 25 - D2</t>
  </si>
  <si>
    <t>Pot 26 - D2</t>
  </si>
  <si>
    <t>Pot 28 - D2</t>
  </si>
  <si>
    <t>Pot 30 - D2</t>
  </si>
  <si>
    <t>Pot 31 - D2</t>
  </si>
  <si>
    <t>Pot 32 - D2</t>
  </si>
  <si>
    <t>Relative transpiration</t>
  </si>
  <si>
    <t>Standard deviation</t>
  </si>
  <si>
    <t>PI398617 - T1</t>
  </si>
  <si>
    <t>PI398617 - T2</t>
  </si>
  <si>
    <t>PI398617 - T3</t>
  </si>
  <si>
    <t>PI398617 - T4</t>
  </si>
  <si>
    <t>PI398617 - T5</t>
  </si>
  <si>
    <t>PI070229 - T1</t>
  </si>
  <si>
    <t>PI070229 - T2</t>
  </si>
  <si>
    <t>PI070229 - T3</t>
  </si>
  <si>
    <t>PI070229 - T4</t>
  </si>
  <si>
    <t>PI070229 - T5</t>
  </si>
  <si>
    <t>PI423802 - T1</t>
  </si>
  <si>
    <t>PI423802 - T2</t>
  </si>
  <si>
    <t>PI423802 - T3</t>
  </si>
  <si>
    <t>PI423802 - T4</t>
  </si>
  <si>
    <t>PI423802 - T5</t>
  </si>
  <si>
    <t>PI603465C - T1</t>
  </si>
  <si>
    <t>PI603465C - T2</t>
  </si>
  <si>
    <t>PI603465C - T3</t>
  </si>
  <si>
    <t>PI603465C - T4</t>
  </si>
  <si>
    <t>PI603465C - T5</t>
  </si>
  <si>
    <t>RT</t>
  </si>
  <si>
    <t>SD</t>
  </si>
  <si>
    <t xml:space="preserve">PI398617 </t>
  </si>
  <si>
    <t xml:space="preserve">PI070229 </t>
  </si>
  <si>
    <t xml:space="preserve">PI423802 </t>
  </si>
  <si>
    <t xml:space="preserve">PI603465C </t>
  </si>
  <si>
    <t>Quadrant</t>
  </si>
  <si>
    <t>Expected_WUE</t>
  </si>
  <si>
    <t>Replication</t>
  </si>
  <si>
    <t>Day</t>
  </si>
  <si>
    <t>RelTranspiration</t>
  </si>
  <si>
    <t>Transpiration_ml</t>
  </si>
  <si>
    <t>TranspLeafArea</t>
  </si>
  <si>
    <t>DryMatter_leaf</t>
  </si>
  <si>
    <t>DryMatter_stem</t>
  </si>
  <si>
    <t>DryMatter_total</t>
  </si>
  <si>
    <t>LeafArea_squarecm</t>
  </si>
  <si>
    <t>DryMatter_rep</t>
  </si>
  <si>
    <t>Plastic, High WUE</t>
  </si>
  <si>
    <t>Nonplastic, Low WUE</t>
  </si>
  <si>
    <t>Nonplastic, High WUE</t>
  </si>
  <si>
    <t>Plastic, Low WUE</t>
  </si>
  <si>
    <t>Second day 11/07</t>
  </si>
  <si>
    <t>Total</t>
  </si>
  <si>
    <t>Beggining</t>
  </si>
  <si>
    <t>Ending</t>
  </si>
  <si>
    <t>Duration</t>
  </si>
  <si>
    <t>Treatments</t>
  </si>
  <si>
    <t>GC time used</t>
  </si>
  <si>
    <r>
      <t>T/A (mg/m2/</t>
    </r>
    <r>
      <rPr>
        <b/>
        <sz val="11"/>
        <color theme="1"/>
        <rFont val="Aptos Narrow"/>
        <family val="2"/>
        <scheme val="minor"/>
      </rPr>
      <t>X min)</t>
    </r>
  </si>
  <si>
    <t>Pot 18 - D1</t>
  </si>
  <si>
    <t>Pot 19 - D1</t>
  </si>
  <si>
    <t>Pot 20 - D1</t>
  </si>
  <si>
    <t>Pot 21 - D1</t>
  </si>
  <si>
    <t>Pot 22 - D1</t>
  </si>
  <si>
    <t>Pot 23 - D1</t>
  </si>
  <si>
    <t>Pot 24 - D1</t>
  </si>
  <si>
    <t>Pot 25 - D1</t>
  </si>
  <si>
    <t>Pot 26 - D1</t>
  </si>
  <si>
    <t>Pot 28 - D1</t>
  </si>
  <si>
    <t>Pot 30 - D1</t>
  </si>
  <si>
    <t>Pot 31 - D1</t>
  </si>
  <si>
    <t>Pot 32 - D1</t>
  </si>
  <si>
    <t>Methodology</t>
  </si>
  <si>
    <t>Number of treatments</t>
  </si>
  <si>
    <t>VPD targets</t>
  </si>
  <si>
    <t xml:space="preserve">Check on Evaluation targets </t>
  </si>
  <si>
    <t>Treatment duration</t>
  </si>
  <si>
    <t>Weight method</t>
  </si>
  <si>
    <t>Notes:</t>
  </si>
  <si>
    <t>Day 1 - 11/07</t>
  </si>
  <si>
    <t>The duration of each treatment is 35 minutes + the time between the end and the start of the next one.</t>
  </si>
  <si>
    <t>Treatments order</t>
  </si>
  <si>
    <t>Lowest VPD to  higher VPD.</t>
  </si>
  <si>
    <t>Time used to stabilize GC</t>
  </si>
  <si>
    <t>Day 2 - 11/08</t>
  </si>
  <si>
    <t xml:space="preserve">GC data available </t>
  </si>
  <si>
    <t>35 minutes</t>
  </si>
  <si>
    <t>Afternoon before evaluation day</t>
  </si>
  <si>
    <t>Set the GC to the first treatment set up for humidity (80%).</t>
  </si>
  <si>
    <t>Evaluation day</t>
  </si>
  <si>
    <t>All the pots were weighted up to 70% pot capacity 1 hour before to the beggining of the VPD treatments. The temperature was also set up to 32ºC before the treatments began.</t>
  </si>
  <si>
    <t>GC conditions prior to the evaluation day</t>
  </si>
  <si>
    <t>Temperature: 28ºC; lights from 6am to 10pm with intensity of 600μmol m–2 s–1; RH: 60%.</t>
  </si>
  <si>
    <t>Irrigation target until the evaluation day</t>
  </si>
  <si>
    <t>50 - 70% pot capacity</t>
  </si>
  <si>
    <t>Data analysis &gt; 2nd time GC &gt; Part 3 &gt; GC data</t>
  </si>
  <si>
    <t xml:space="preserve">Determining treatment duration </t>
  </si>
  <si>
    <t xml:space="preserve">30 minutes </t>
  </si>
  <si>
    <t>There were not pots 27 and 29 (for both evaluation days) because the seeds did not germinate.</t>
  </si>
  <si>
    <t>Treatements time</t>
  </si>
  <si>
    <t>Regular time used</t>
  </si>
  <si>
    <t>Day 1</t>
  </si>
  <si>
    <t>End of the first evaluation day</t>
  </si>
  <si>
    <t>End of the second evaluation day</t>
  </si>
  <si>
    <t>Measurement of the foliar area.</t>
  </si>
  <si>
    <t>Foliar area</t>
  </si>
  <si>
    <t>The plants were partitioned, considering leaves, stem and reproductive parts. The foliar area was measured in the device located in the GC room.</t>
  </si>
  <si>
    <t>Dry weights</t>
  </si>
  <si>
    <t>After determining the foliar area, the bags were placed in the dryer and after a week the dry weights were determined.</t>
  </si>
  <si>
    <r>
      <t>T/A (mg/m2/</t>
    </r>
    <r>
      <rPr>
        <b/>
        <sz val="11"/>
        <color theme="1"/>
        <rFont val="Aptos Narrow"/>
        <family val="2"/>
        <scheme val="minor"/>
      </rPr>
      <t>X min)</t>
    </r>
    <r>
      <rPr>
        <sz val="11"/>
        <color theme="1"/>
        <rFont val="Aptos Narrow"/>
        <family val="2"/>
        <scheme val="minor"/>
      </rPr>
      <t xml:space="preserve"> -&gt;</t>
    </r>
    <r>
      <rPr>
        <b/>
        <sz val="11"/>
        <color theme="1"/>
        <rFont val="Aptos Narrow"/>
        <family val="2"/>
        <scheme val="minor"/>
      </rPr>
      <t xml:space="preserve"> X because the duration of each treatment is variable</t>
    </r>
  </si>
  <si>
    <t>50 - 70% pot capacity.</t>
  </si>
  <si>
    <t>Important</t>
  </si>
  <si>
    <t>Important to take notes of the exactly time of beginning/ending of each treatment.</t>
  </si>
  <si>
    <t>Every pot was weighted manually. The weights were measured in the beggining and in the end of each treatment.                                                                              The weights were taken inside of the GC, to avoid letting the door so much time opened.</t>
  </si>
  <si>
    <t>Every pot was weighted manually. The weights were measured in the end of the treatment were used as the initial for the next one. So:                                       T1: were taken measurements in the beginnig and in the end of the treatment.                                                  T2: the weight of the end of T1 was used as the initial for T2.                                                                        The weight of the end of the T2 was also used for the beginning of T3.</t>
  </si>
  <si>
    <t xml:space="preserve">The gaps between the end of the previous treatment and the beginning of the next one were really big. So, the duration of each treatment is variable. </t>
  </si>
  <si>
    <t>Variable.                                                                                We waited for the GC to be stabilized to start each treatment.</t>
  </si>
  <si>
    <t>All the pots were weighted up to 70% pot capacity 1 hour before to the beginning of the VPD treatments. The temperature was also set up to 32ºC before the treatments began.</t>
  </si>
  <si>
    <t>Variable (supposed to be 35 minutes).</t>
  </si>
  <si>
    <t>Notes about the treatment duration</t>
  </si>
  <si>
    <t>Back the GC set up to 28ºC and for the humidity of the first treatment (80%). Watered all the pots until 70% of the pot capacity.</t>
  </si>
  <si>
    <t>Important to track the weights during the treatments, since the irrigation target is    50-70% of the pot capapcity. It may be necessary to water the plants between the treatments. It was used the sheet "tracking weights", in this same excel file, to do 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</si>
</sst>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d;@"/>
  </numFmts>
  <fonts count="7" x14ac:knownFonts="1">
    <font>
      <sz val="11"/>
      <color theme="1"/>
      <name val="Aptos Narrow"/>
      <family val="2"/>
      <scheme val="minor"/>
    </font>
    <font>
      <b/>
      <sz val="11"/>
      <color theme="1"/>
      <name val="Aptos Narrow"/>
      <family val="2"/>
      <scheme val="minor"/>
    </font>
    <font>
      <sz val="11"/>
      <color rgb="FF000000"/>
      <name val="Aptos Narrow"/>
      <family val="2"/>
      <scheme val="minor"/>
    </font>
    <font>
      <sz val="11"/>
      <name val="Aptos Narrow"/>
      <family val="2"/>
      <scheme val="minor"/>
    </font>
    <font>
      <b/>
      <sz val="12"/>
      <color theme="1"/>
      <name val="Aptos Narrow"/>
      <family val="2"/>
      <scheme val="minor"/>
    </font>
    <font>
      <b/>
      <sz val="11"/>
      <color rgb="FF000000"/>
      <name val="Aptos Narrow"/>
      <family val="2"/>
      <scheme val="minor"/>
    </font>
    <font>
      <sz val="8"/>
      <name val="Aptos Narrow"/>
      <family val="2"/>
      <scheme val="minor"/>
    </font>
  </fonts>
  <fills count="23">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0066"/>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7" tint="0.59999389629810485"/>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theme="8" tint="0.59999389629810485"/>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s>
  <cellStyleXfs count="1">
    <xf numFmtId="0" fontId="0" fillId="0" borderId="0"/>
  </cellStyleXfs>
  <cellXfs count="25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xf>
    <xf numFmtId="0" fontId="1" fillId="0" borderId="0" xfId="0" applyFont="1" applyAlignment="1">
      <alignment horizontal="center" vertical="center"/>
    </xf>
    <xf numFmtId="0" fontId="1" fillId="4" borderId="1" xfId="0" applyFont="1" applyFill="1" applyBorder="1" applyAlignment="1">
      <alignment horizontal="center" vertical="center" wrapText="1"/>
    </xf>
    <xf numFmtId="0" fontId="0" fillId="0" borderId="0" xfId="0" applyAlignment="1">
      <alignment horizontal="center" vertical="center"/>
    </xf>
    <xf numFmtId="17" fontId="0" fillId="0" borderId="0" xfId="0" applyNumberFormat="1" applyAlignment="1">
      <alignment horizontal="center" vertical="center"/>
    </xf>
    <xf numFmtId="9" fontId="0" fillId="4" borderId="1" xfId="0" applyNumberFormat="1" applyFill="1" applyBorder="1" applyAlignment="1">
      <alignment horizontal="center" vertical="center"/>
    </xf>
    <xf numFmtId="2" fontId="0" fillId="0" borderId="0" xfId="0" applyNumberFormat="1" applyAlignment="1">
      <alignment horizontal="center" vertical="center"/>
    </xf>
    <xf numFmtId="0" fontId="3" fillId="6" borderId="0" xfId="0" applyFont="1" applyFill="1" applyAlignment="1">
      <alignment horizontal="center" vertical="center"/>
    </xf>
    <xf numFmtId="2" fontId="3" fillId="6" borderId="0" xfId="0" applyNumberFormat="1" applyFont="1" applyFill="1" applyAlignment="1">
      <alignment horizontal="center" vertical="center"/>
    </xf>
    <xf numFmtId="0" fontId="0" fillId="6" borderId="0" xfId="0" applyFill="1" applyAlignment="1">
      <alignment horizontal="center" vertical="center"/>
    </xf>
    <xf numFmtId="2" fontId="0" fillId="6" borderId="0" xfId="0" applyNumberFormat="1" applyFill="1" applyAlignment="1">
      <alignment horizontal="center" vertical="center"/>
    </xf>
    <xf numFmtId="0" fontId="3" fillId="0" borderId="0" xfId="0" applyFont="1" applyAlignment="1">
      <alignment horizontal="center" vertical="center"/>
    </xf>
    <xf numFmtId="0" fontId="1" fillId="5" borderId="1" xfId="0" applyFont="1" applyFill="1" applyBorder="1" applyAlignment="1">
      <alignment horizontal="center" vertical="center" wrapText="1"/>
    </xf>
    <xf numFmtId="16" fontId="0" fillId="0" borderId="0" xfId="0" applyNumberFormat="1" applyAlignment="1">
      <alignment horizontal="center" vertical="center"/>
    </xf>
    <xf numFmtId="0" fontId="0" fillId="5" borderId="0" xfId="0" applyFill="1" applyAlignment="1">
      <alignment horizontal="center" vertical="center"/>
    </xf>
    <xf numFmtId="20" fontId="0" fillId="5" borderId="0" xfId="0" applyNumberFormat="1" applyFill="1" applyAlignment="1">
      <alignment horizontal="center" vertical="center"/>
    </xf>
    <xf numFmtId="16" fontId="0" fillId="5" borderId="0" xfId="0" applyNumberFormat="1" applyFill="1" applyAlignment="1">
      <alignment horizontal="center" vertical="center"/>
    </xf>
    <xf numFmtId="16" fontId="0" fillId="6" borderId="0" xfId="0" applyNumberFormat="1" applyFill="1" applyAlignment="1">
      <alignment horizontal="center" vertical="center"/>
    </xf>
    <xf numFmtId="20" fontId="0" fillId="0" borderId="0" xfId="0" applyNumberFormat="1" applyAlignment="1">
      <alignment horizontal="center" vertical="center"/>
    </xf>
    <xf numFmtId="0" fontId="0" fillId="7" borderId="0" xfId="0" applyFill="1" applyAlignment="1">
      <alignment horizontal="center" vertical="center"/>
    </xf>
    <xf numFmtId="0" fontId="0" fillId="2" borderId="0" xfId="0" applyFill="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1" fillId="3" borderId="6" xfId="0" applyFont="1" applyFill="1" applyBorder="1" applyAlignment="1">
      <alignment horizontal="center"/>
    </xf>
    <xf numFmtId="0" fontId="0" fillId="3" borderId="1" xfId="0" applyFill="1" applyBorder="1" applyAlignment="1">
      <alignment horizontal="center"/>
    </xf>
    <xf numFmtId="164" fontId="0" fillId="3" borderId="1" xfId="0" applyNumberFormat="1" applyFill="1" applyBorder="1" applyAlignment="1">
      <alignment horizontal="center" vertical="center"/>
    </xf>
    <xf numFmtId="164" fontId="0" fillId="3" borderId="1" xfId="0" applyNumberFormat="1"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1" fillId="8" borderId="6" xfId="0" applyFont="1" applyFill="1" applyBorder="1" applyAlignment="1">
      <alignment horizontal="center"/>
    </xf>
    <xf numFmtId="0" fontId="0" fillId="8" borderId="1" xfId="0" applyFill="1" applyBorder="1" applyAlignment="1">
      <alignment horizontal="center"/>
    </xf>
    <xf numFmtId="164" fontId="0" fillId="8" borderId="1" xfId="0" applyNumberFormat="1" applyFill="1" applyBorder="1" applyAlignment="1">
      <alignment horizontal="center" vertical="center"/>
    </xf>
    <xf numFmtId="164" fontId="0" fillId="8" borderId="1" xfId="0" applyNumberFormat="1" applyFill="1" applyBorder="1" applyAlignment="1">
      <alignment horizontal="center"/>
    </xf>
    <xf numFmtId="0" fontId="1" fillId="9" borderId="6" xfId="0" applyFont="1" applyFill="1" applyBorder="1" applyAlignment="1">
      <alignment horizontal="center"/>
    </xf>
    <xf numFmtId="0" fontId="0" fillId="9" borderId="1" xfId="0" applyFill="1" applyBorder="1" applyAlignment="1">
      <alignment horizontal="center"/>
    </xf>
    <xf numFmtId="164" fontId="0" fillId="9" borderId="1" xfId="0" applyNumberFormat="1" applyFill="1" applyBorder="1" applyAlignment="1">
      <alignment horizontal="center" vertical="center"/>
    </xf>
    <xf numFmtId="164" fontId="0" fillId="9" borderId="1" xfId="0" applyNumberFormat="1" applyFill="1" applyBorder="1" applyAlignment="1">
      <alignment horizontal="center"/>
    </xf>
    <xf numFmtId="0" fontId="1" fillId="10" borderId="6" xfId="0" applyFont="1" applyFill="1" applyBorder="1" applyAlignment="1">
      <alignment horizontal="center"/>
    </xf>
    <xf numFmtId="0" fontId="0" fillId="10" borderId="1" xfId="0" applyFill="1" applyBorder="1" applyAlignment="1">
      <alignment horizontal="center"/>
    </xf>
    <xf numFmtId="164" fontId="0" fillId="10" borderId="1" xfId="0" applyNumberFormat="1" applyFill="1" applyBorder="1" applyAlignment="1">
      <alignment horizontal="center" vertical="center"/>
    </xf>
    <xf numFmtId="164" fontId="0" fillId="10" borderId="1" xfId="0" applyNumberFormat="1" applyFill="1" applyBorder="1" applyAlignment="1">
      <alignment horizontal="center"/>
    </xf>
    <xf numFmtId="0" fontId="1" fillId="11" borderId="6" xfId="0" applyFont="1" applyFill="1" applyBorder="1" applyAlignment="1">
      <alignment horizontal="center"/>
    </xf>
    <xf numFmtId="0" fontId="0" fillId="11" borderId="1" xfId="0" applyFill="1" applyBorder="1" applyAlignment="1">
      <alignment horizontal="center"/>
    </xf>
    <xf numFmtId="164" fontId="0" fillId="11" borderId="1" xfId="0" applyNumberFormat="1" applyFill="1" applyBorder="1" applyAlignment="1">
      <alignment horizontal="center" vertical="center"/>
    </xf>
    <xf numFmtId="164" fontId="0" fillId="11" borderId="1" xfId="0" applyNumberFormat="1" applyFill="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 fillId="0" borderId="1" xfId="0" applyFont="1" applyBorder="1"/>
    <xf numFmtId="0" fontId="0" fillId="12" borderId="1" xfId="0"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1" borderId="1" xfId="0" applyFill="1" applyBorder="1" applyAlignment="1">
      <alignment horizontal="center" vertical="center"/>
    </xf>
    <xf numFmtId="164" fontId="0" fillId="0" borderId="1" xfId="0" applyNumberFormat="1" applyBorder="1" applyAlignment="1">
      <alignment horizontal="center" vertical="center"/>
    </xf>
    <xf numFmtId="164" fontId="0" fillId="12" borderId="1" xfId="0" applyNumberFormat="1" applyFill="1" applyBorder="1" applyAlignment="1">
      <alignment horizontal="center" vertical="center"/>
    </xf>
    <xf numFmtId="0" fontId="1" fillId="12"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3" borderId="13" xfId="0" applyFont="1" applyFill="1" applyBorder="1" applyAlignment="1">
      <alignment horizontal="center" vertical="center"/>
    </xf>
    <xf numFmtId="20" fontId="0" fillId="3" borderId="1" xfId="0" applyNumberFormat="1" applyFill="1" applyBorder="1" applyAlignment="1">
      <alignment horizontal="center"/>
    </xf>
    <xf numFmtId="0" fontId="0" fillId="3" borderId="0" xfId="0" applyFill="1" applyAlignment="1">
      <alignment horizontal="center" vertical="center"/>
    </xf>
    <xf numFmtId="2" fontId="0" fillId="0" borderId="0" xfId="0" applyNumberFormat="1"/>
    <xf numFmtId="164" fontId="0" fillId="0" borderId="0" xfId="0" applyNumberFormat="1"/>
    <xf numFmtId="0" fontId="0" fillId="8" borderId="0" xfId="0" applyFill="1" applyAlignment="1">
      <alignment horizontal="center" vertical="center"/>
    </xf>
    <xf numFmtId="0" fontId="0" fillId="9" borderId="0" xfId="0" applyFill="1" applyAlignment="1">
      <alignment horizontal="center" vertical="center"/>
    </xf>
    <xf numFmtId="0" fontId="0" fillId="10" borderId="0" xfId="0" applyFill="1" applyAlignment="1">
      <alignment horizontal="center" vertical="center"/>
    </xf>
    <xf numFmtId="0" fontId="0" fillId="11" borderId="0" xfId="0" applyFill="1" applyAlignment="1">
      <alignment horizontal="center" vertical="center"/>
    </xf>
    <xf numFmtId="20" fontId="0" fillId="8" borderId="1" xfId="0" applyNumberFormat="1" applyFill="1" applyBorder="1" applyAlignment="1">
      <alignment horizontal="center"/>
    </xf>
    <xf numFmtId="20" fontId="0" fillId="9" borderId="1" xfId="0" applyNumberFormat="1" applyFill="1" applyBorder="1" applyAlignment="1">
      <alignment horizontal="center"/>
    </xf>
    <xf numFmtId="20" fontId="0" fillId="10" borderId="1" xfId="0" applyNumberFormat="1" applyFill="1" applyBorder="1" applyAlignment="1">
      <alignment horizontal="center"/>
    </xf>
    <xf numFmtId="20" fontId="0" fillId="11" borderId="1" xfId="0" applyNumberFormat="1" applyFill="1" applyBorder="1" applyAlignment="1">
      <alignment horizontal="center"/>
    </xf>
    <xf numFmtId="0" fontId="4" fillId="15" borderId="3" xfId="0" applyFont="1" applyFill="1" applyBorder="1" applyAlignment="1">
      <alignment horizontal="center" vertical="center"/>
    </xf>
    <xf numFmtId="0" fontId="4" fillId="15" borderId="1" xfId="0" applyFont="1" applyFill="1" applyBorder="1" applyAlignment="1">
      <alignment horizontal="center" vertical="center" wrapText="1"/>
    </xf>
    <xf numFmtId="0" fontId="4" fillId="15" borderId="3" xfId="0" applyFont="1" applyFill="1" applyBorder="1" applyAlignment="1">
      <alignment horizontal="center" vertical="center" wrapText="1"/>
    </xf>
    <xf numFmtId="1" fontId="0" fillId="3" borderId="4" xfId="0" applyNumberFormat="1" applyFill="1" applyBorder="1" applyAlignment="1">
      <alignment horizontal="center" vertical="center"/>
    </xf>
    <xf numFmtId="0" fontId="0" fillId="3" borderId="14" xfId="0" applyFill="1" applyBorder="1" applyAlignment="1">
      <alignment horizontal="center" vertical="center"/>
    </xf>
    <xf numFmtId="2" fontId="0" fillId="16" borderId="14" xfId="0" applyNumberFormat="1" applyFill="1" applyBorder="1" applyAlignment="1">
      <alignment horizontal="center" vertical="center"/>
    </xf>
    <xf numFmtId="2" fontId="0" fillId="3" borderId="5" xfId="0" applyNumberFormat="1" applyFill="1" applyBorder="1" applyAlignment="1">
      <alignment horizontal="center" vertical="center"/>
    </xf>
    <xf numFmtId="1" fontId="0" fillId="3" borderId="7" xfId="0" applyNumberFormat="1" applyFill="1" applyBorder="1" applyAlignment="1">
      <alignment horizontal="center" vertical="center"/>
    </xf>
    <xf numFmtId="2" fontId="0" fillId="16" borderId="0" xfId="0" applyNumberFormat="1" applyFill="1" applyAlignment="1">
      <alignment horizontal="center" vertical="center"/>
    </xf>
    <xf numFmtId="2" fontId="0" fillId="3" borderId="8" xfId="0" applyNumberFormat="1" applyFill="1" applyBorder="1" applyAlignment="1">
      <alignment horizontal="center" vertical="center"/>
    </xf>
    <xf numFmtId="1" fontId="0" fillId="3" borderId="9" xfId="0" applyNumberFormat="1" applyFill="1" applyBorder="1" applyAlignment="1">
      <alignment horizontal="center" vertical="center"/>
    </xf>
    <xf numFmtId="0" fontId="0" fillId="3" borderId="2" xfId="0" applyFill="1" applyBorder="1" applyAlignment="1">
      <alignment horizontal="center" vertical="center"/>
    </xf>
    <xf numFmtId="2" fontId="0" fillId="16" borderId="2" xfId="0" applyNumberFormat="1" applyFill="1" applyBorder="1" applyAlignment="1">
      <alignment horizontal="center" vertical="center"/>
    </xf>
    <xf numFmtId="2" fontId="0" fillId="3" borderId="10" xfId="0" applyNumberFormat="1" applyFill="1" applyBorder="1" applyAlignment="1">
      <alignment horizontal="center" vertical="center"/>
    </xf>
    <xf numFmtId="1" fontId="0" fillId="8" borderId="4" xfId="0" applyNumberFormat="1" applyFill="1" applyBorder="1" applyAlignment="1">
      <alignment horizontal="center" vertical="center"/>
    </xf>
    <xf numFmtId="0" fontId="0" fillId="8" borderId="14" xfId="0" applyFill="1" applyBorder="1" applyAlignment="1">
      <alignment horizontal="center" vertical="center"/>
    </xf>
    <xf numFmtId="2" fontId="0" fillId="8" borderId="5" xfId="0" applyNumberFormat="1" applyFill="1" applyBorder="1" applyAlignment="1">
      <alignment horizontal="center" vertical="center"/>
    </xf>
    <xf numFmtId="1" fontId="0" fillId="8" borderId="7" xfId="0" applyNumberFormat="1" applyFill="1" applyBorder="1" applyAlignment="1">
      <alignment horizontal="center" vertical="center"/>
    </xf>
    <xf numFmtId="2" fontId="0" fillId="8" borderId="8" xfId="0" applyNumberFormat="1" applyFill="1" applyBorder="1" applyAlignment="1">
      <alignment horizontal="center" vertical="center"/>
    </xf>
    <xf numFmtId="1" fontId="0" fillId="8" borderId="9" xfId="0" applyNumberFormat="1" applyFill="1" applyBorder="1" applyAlignment="1">
      <alignment horizontal="center" vertical="center"/>
    </xf>
    <xf numFmtId="0" fontId="0" fillId="8" borderId="1" xfId="0" applyFill="1" applyBorder="1" applyAlignment="1">
      <alignment horizontal="center" vertical="center"/>
    </xf>
    <xf numFmtId="0" fontId="0" fillId="8" borderId="2" xfId="0" applyFill="1" applyBorder="1" applyAlignment="1">
      <alignment horizontal="center" vertical="center"/>
    </xf>
    <xf numFmtId="2" fontId="0" fillId="8" borderId="10" xfId="0" applyNumberFormat="1" applyFill="1" applyBorder="1" applyAlignment="1">
      <alignment horizontal="center" vertical="center"/>
    </xf>
    <xf numFmtId="1" fontId="0" fillId="9" borderId="4" xfId="0" applyNumberFormat="1" applyFill="1" applyBorder="1" applyAlignment="1">
      <alignment horizontal="center" vertical="center"/>
    </xf>
    <xf numFmtId="0" fontId="0" fillId="9" borderId="14" xfId="0" applyFill="1" applyBorder="1" applyAlignment="1">
      <alignment horizontal="center" vertical="center"/>
    </xf>
    <xf numFmtId="2" fontId="0" fillId="9" borderId="5" xfId="0" applyNumberFormat="1" applyFill="1" applyBorder="1" applyAlignment="1">
      <alignment horizontal="center" vertical="center"/>
    </xf>
    <xf numFmtId="1" fontId="0" fillId="9" borderId="7" xfId="0" applyNumberFormat="1" applyFill="1" applyBorder="1" applyAlignment="1">
      <alignment horizontal="center" vertical="center"/>
    </xf>
    <xf numFmtId="2" fontId="0" fillId="9" borderId="8" xfId="0" applyNumberFormat="1" applyFill="1" applyBorder="1" applyAlignment="1">
      <alignment horizontal="center" vertical="center"/>
    </xf>
    <xf numFmtId="1" fontId="0" fillId="9" borderId="9" xfId="0" applyNumberFormat="1" applyFill="1" applyBorder="1" applyAlignment="1">
      <alignment horizontal="center" vertical="center"/>
    </xf>
    <xf numFmtId="0" fontId="0" fillId="9" borderId="2" xfId="0" applyFill="1" applyBorder="1" applyAlignment="1">
      <alignment horizontal="center" vertical="center"/>
    </xf>
    <xf numFmtId="2" fontId="0" fillId="9" borderId="10" xfId="0" applyNumberFormat="1" applyFill="1" applyBorder="1" applyAlignment="1">
      <alignment horizontal="center" vertical="center"/>
    </xf>
    <xf numFmtId="1" fontId="0" fillId="10" borderId="4" xfId="0" applyNumberFormat="1" applyFill="1" applyBorder="1" applyAlignment="1">
      <alignment horizontal="center" vertical="center"/>
    </xf>
    <xf numFmtId="0" fontId="0" fillId="10" borderId="14" xfId="0" applyFill="1" applyBorder="1" applyAlignment="1">
      <alignment horizontal="center" vertical="center"/>
    </xf>
    <xf numFmtId="2" fontId="0" fillId="10" borderId="5" xfId="0" applyNumberFormat="1" applyFill="1" applyBorder="1" applyAlignment="1">
      <alignment horizontal="center" vertical="center"/>
    </xf>
    <xf numFmtId="1" fontId="0" fillId="10" borderId="7" xfId="0" applyNumberFormat="1" applyFill="1" applyBorder="1" applyAlignment="1">
      <alignment horizontal="center" vertical="center"/>
    </xf>
    <xf numFmtId="2" fontId="0" fillId="10" borderId="8" xfId="0" applyNumberFormat="1" applyFill="1" applyBorder="1" applyAlignment="1">
      <alignment horizontal="center" vertical="center"/>
    </xf>
    <xf numFmtId="1" fontId="0" fillId="10" borderId="9" xfId="0" applyNumberFormat="1" applyFill="1" applyBorder="1" applyAlignment="1">
      <alignment horizontal="center" vertical="center"/>
    </xf>
    <xf numFmtId="0" fontId="0" fillId="10" borderId="2" xfId="0" applyFill="1" applyBorder="1" applyAlignment="1">
      <alignment horizontal="center" vertical="center"/>
    </xf>
    <xf numFmtId="2" fontId="0" fillId="10" borderId="10" xfId="0" applyNumberFormat="1" applyFill="1" applyBorder="1" applyAlignment="1">
      <alignment horizontal="center" vertical="center"/>
    </xf>
    <xf numFmtId="1" fontId="0" fillId="11" borderId="4" xfId="0" applyNumberFormat="1" applyFill="1" applyBorder="1" applyAlignment="1">
      <alignment horizontal="center" vertical="center"/>
    </xf>
    <xf numFmtId="0" fontId="0" fillId="11" borderId="14" xfId="0" applyFill="1" applyBorder="1" applyAlignment="1">
      <alignment horizontal="center" vertical="center"/>
    </xf>
    <xf numFmtId="2" fontId="0" fillId="11" borderId="5" xfId="0" applyNumberFormat="1" applyFill="1" applyBorder="1" applyAlignment="1">
      <alignment horizontal="center" vertical="center"/>
    </xf>
    <xf numFmtId="1" fontId="0" fillId="11" borderId="7" xfId="0" applyNumberFormat="1" applyFill="1" applyBorder="1" applyAlignment="1">
      <alignment horizontal="center" vertical="center"/>
    </xf>
    <xf numFmtId="2" fontId="0" fillId="11" borderId="8" xfId="0" applyNumberFormat="1" applyFill="1" applyBorder="1" applyAlignment="1">
      <alignment horizontal="center" vertical="center"/>
    </xf>
    <xf numFmtId="1" fontId="0" fillId="11" borderId="9" xfId="0" applyNumberFormat="1" applyFill="1" applyBorder="1" applyAlignment="1">
      <alignment horizontal="center" vertical="center"/>
    </xf>
    <xf numFmtId="0" fontId="0" fillId="11" borderId="2" xfId="0" applyFill="1" applyBorder="1" applyAlignment="1">
      <alignment horizontal="center" vertical="center"/>
    </xf>
    <xf numFmtId="2" fontId="0" fillId="11" borderId="10" xfId="0" applyNumberFormat="1" applyFill="1" applyBorder="1" applyAlignment="1">
      <alignment horizontal="center" vertical="center"/>
    </xf>
    <xf numFmtId="1" fontId="0" fillId="6" borderId="7" xfId="0" applyNumberFormat="1" applyFill="1" applyBorder="1" applyAlignment="1">
      <alignment horizontal="center" vertical="center"/>
    </xf>
    <xf numFmtId="2" fontId="0" fillId="6" borderId="8" xfId="0" applyNumberFormat="1" applyFill="1" applyBorder="1" applyAlignment="1">
      <alignment horizontal="center" vertical="center"/>
    </xf>
    <xf numFmtId="0" fontId="0" fillId="17" borderId="0" xfId="0" applyFill="1" applyAlignment="1">
      <alignment horizontal="center" vertical="center"/>
    </xf>
    <xf numFmtId="0" fontId="4" fillId="15" borderId="7" xfId="0" applyFont="1" applyFill="1" applyBorder="1" applyAlignment="1">
      <alignment horizontal="center" vertical="center" wrapText="1"/>
    </xf>
    <xf numFmtId="1" fontId="0" fillId="12" borderId="4" xfId="0" applyNumberFormat="1" applyFill="1" applyBorder="1" applyAlignment="1">
      <alignment horizontal="center" vertical="center"/>
    </xf>
    <xf numFmtId="1" fontId="0" fillId="12" borderId="7" xfId="0" applyNumberFormat="1" applyFill="1" applyBorder="1" applyAlignment="1">
      <alignment horizontal="center" vertical="center"/>
    </xf>
    <xf numFmtId="1" fontId="0" fillId="12" borderId="9" xfId="0" applyNumberFormat="1" applyFill="1" applyBorder="1" applyAlignment="1">
      <alignment horizontal="center" vertical="center"/>
    </xf>
    <xf numFmtId="0" fontId="1" fillId="0" borderId="11" xfId="0" applyFont="1" applyBorder="1" applyAlignment="1">
      <alignment horizontal="center" vertical="center"/>
    </xf>
    <xf numFmtId="0" fontId="1" fillId="0" borderId="6" xfId="0" applyFont="1" applyBorder="1" applyAlignment="1">
      <alignment horizontal="center" vertical="center"/>
    </xf>
    <xf numFmtId="0" fontId="0" fillId="0" borderId="3" xfId="0" applyBorder="1" applyAlignment="1">
      <alignment horizontal="center" vertical="center"/>
    </xf>
    <xf numFmtId="2" fontId="0" fillId="0" borderId="3" xfId="0" applyNumberFormat="1" applyBorder="1" applyAlignment="1">
      <alignment horizontal="center" vertical="center"/>
    </xf>
    <xf numFmtId="2" fontId="0" fillId="0" borderId="8" xfId="0" applyNumberForma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0" fontId="0" fillId="0" borderId="13" xfId="0" applyBorder="1" applyAlignment="1">
      <alignment horizontal="center" vertical="center"/>
    </xf>
    <xf numFmtId="2" fontId="0" fillId="0" borderId="13" xfId="0" applyNumberFormat="1" applyBorder="1" applyAlignment="1">
      <alignment horizontal="center" vertical="center"/>
    </xf>
    <xf numFmtId="2" fontId="0" fillId="0" borderId="10" xfId="0" applyNumberFormat="1" applyBorder="1" applyAlignment="1">
      <alignment horizontal="center" vertical="center"/>
    </xf>
    <xf numFmtId="0" fontId="0" fillId="3" borderId="0" xfId="0" applyFill="1"/>
    <xf numFmtId="0" fontId="0" fillId="0" borderId="14" xfId="0" applyBorder="1"/>
    <xf numFmtId="164" fontId="0" fillId="0" borderId="3" xfId="0" applyNumberFormat="1" applyBorder="1" applyAlignment="1">
      <alignment horizontal="center" vertical="center"/>
    </xf>
    <xf numFmtId="164" fontId="0" fillId="0" borderId="15" xfId="0" applyNumberFormat="1"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2" fontId="0" fillId="0" borderId="5" xfId="0" applyNumberFormat="1"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xf>
    <xf numFmtId="165" fontId="0" fillId="0" borderId="5" xfId="0" applyNumberFormat="1" applyBorder="1" applyAlignment="1">
      <alignment horizontal="center" vertical="center"/>
    </xf>
    <xf numFmtId="17" fontId="0" fillId="0" borderId="8" xfId="0" applyNumberFormat="1" applyBorder="1" applyAlignment="1">
      <alignment horizontal="center" vertical="center"/>
    </xf>
    <xf numFmtId="17" fontId="0" fillId="0" borderId="10" xfId="0" applyNumberFormat="1" applyBorder="1" applyAlignment="1">
      <alignment horizontal="center" vertical="center"/>
    </xf>
    <xf numFmtId="0" fontId="0" fillId="6" borderId="15" xfId="0" applyFill="1" applyBorder="1" applyAlignment="1">
      <alignment horizontal="center" vertical="center"/>
    </xf>
    <xf numFmtId="0" fontId="0" fillId="6" borderId="8" xfId="0" applyFill="1" applyBorder="1" applyAlignment="1">
      <alignment horizontal="center" vertical="center"/>
    </xf>
    <xf numFmtId="17" fontId="0" fillId="6" borderId="8" xfId="0" applyNumberFormat="1" applyFill="1" applyBorder="1" applyAlignment="1">
      <alignment horizontal="center" vertical="center"/>
    </xf>
    <xf numFmtId="2" fontId="0" fillId="0" borderId="14" xfId="0" applyNumberFormat="1" applyBorder="1" applyAlignment="1">
      <alignment horizontal="center" vertical="center"/>
    </xf>
    <xf numFmtId="164" fontId="0" fillId="0" borderId="0" xfId="0" applyNumberFormat="1" applyAlignment="1">
      <alignment horizontal="center" vertical="center"/>
    </xf>
    <xf numFmtId="164" fontId="0" fillId="0" borderId="14" xfId="0" applyNumberFormat="1" applyBorder="1" applyAlignment="1">
      <alignment horizontal="center" vertical="center"/>
    </xf>
    <xf numFmtId="0" fontId="0" fillId="0" borderId="7" xfId="0" applyBorder="1" applyAlignment="1">
      <alignment horizontal="center" vertical="center"/>
    </xf>
    <xf numFmtId="2" fontId="0" fillId="0" borderId="7" xfId="0" applyNumberFormat="1" applyBorder="1" applyAlignment="1">
      <alignment horizontal="center" vertical="center"/>
    </xf>
    <xf numFmtId="0" fontId="0" fillId="0" borderId="9" xfId="0" applyBorder="1" applyAlignment="1">
      <alignment horizontal="center" vertical="center"/>
    </xf>
    <xf numFmtId="2" fontId="0" fillId="0" borderId="9" xfId="0" applyNumberFormat="1" applyBorder="1" applyAlignment="1">
      <alignment horizontal="center" vertical="center"/>
    </xf>
    <xf numFmtId="2" fontId="0" fillId="0" borderId="11" xfId="0" applyNumberFormat="1" applyBorder="1" applyAlignment="1">
      <alignment horizontal="center" vertical="center"/>
    </xf>
    <xf numFmtId="2" fontId="0" fillId="0" borderId="1" xfId="0" applyNumberFormat="1" applyBorder="1" applyAlignment="1">
      <alignment horizontal="center" vertical="center"/>
    </xf>
    <xf numFmtId="2" fontId="0" fillId="0" borderId="6" xfId="0" applyNumberFormat="1" applyBorder="1" applyAlignment="1">
      <alignment horizontal="center" vertical="center"/>
    </xf>
    <xf numFmtId="2" fontId="0" fillId="0" borderId="15" xfId="0" applyNumberFormat="1" applyBorder="1" applyAlignment="1">
      <alignment horizontal="center"/>
    </xf>
    <xf numFmtId="2" fontId="0" fillId="0" borderId="13" xfId="0" applyNumberFormat="1" applyBorder="1" applyAlignment="1">
      <alignment horizontal="center"/>
    </xf>
    <xf numFmtId="2" fontId="0" fillId="0" borderId="0" xfId="0" applyNumberFormat="1" applyAlignment="1">
      <alignment horizontal="center"/>
    </xf>
    <xf numFmtId="20" fontId="0" fillId="0" borderId="15" xfId="0" applyNumberFormat="1" applyBorder="1" applyAlignment="1">
      <alignment horizontal="center" vertical="center"/>
    </xf>
    <xf numFmtId="20" fontId="0" fillId="0" borderId="13" xfId="0" applyNumberForma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vertical="center"/>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xf>
    <xf numFmtId="0" fontId="0" fillId="0" borderId="13" xfId="0" applyBorder="1" applyAlignment="1">
      <alignment horizontal="center" vertical="center" wrapText="1"/>
    </xf>
    <xf numFmtId="0" fontId="1" fillId="21" borderId="1" xfId="0" applyFont="1" applyFill="1" applyBorder="1" applyAlignment="1">
      <alignment horizontal="center" vertical="center"/>
    </xf>
    <xf numFmtId="0" fontId="1" fillId="21" borderId="13" xfId="0" applyFont="1" applyFill="1" applyBorder="1" applyAlignment="1">
      <alignment horizontal="center" vertical="center"/>
    </xf>
    <xf numFmtId="0" fontId="1" fillId="21" borderId="1" xfId="0" applyFont="1" applyFill="1" applyBorder="1" applyAlignment="1">
      <alignment horizontal="center" vertical="center" wrapText="1"/>
    </xf>
    <xf numFmtId="0" fontId="0" fillId="0" borderId="15" xfId="0" applyBorder="1" applyAlignment="1">
      <alignment horizontal="center" vertical="center" wrapText="1"/>
    </xf>
    <xf numFmtId="0" fontId="1" fillId="21" borderId="15" xfId="0" applyFont="1" applyFill="1" applyBorder="1" applyAlignment="1">
      <alignment horizontal="center" vertical="center" wrapText="1"/>
    </xf>
    <xf numFmtId="0" fontId="1" fillId="0" borderId="2" xfId="0" applyFont="1" applyBorder="1" applyAlignment="1">
      <alignment horizontal="center"/>
    </xf>
    <xf numFmtId="0" fontId="0" fillId="0" borderId="3" xfId="0" applyBorder="1" applyAlignment="1">
      <alignment horizontal="center" vertical="center" wrapText="1"/>
    </xf>
    <xf numFmtId="0" fontId="0" fillId="0" borderId="13" xfId="0" applyBorder="1" applyAlignment="1">
      <alignment horizontal="center" vertical="center" wrapText="1"/>
    </xf>
    <xf numFmtId="0" fontId="1" fillId="3" borderId="3"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21" borderId="0" xfId="0" applyFont="1" applyFill="1" applyAlignment="1">
      <alignment horizontal="center" vertical="center"/>
    </xf>
    <xf numFmtId="0" fontId="1" fillId="13" borderId="0" xfId="0" applyFont="1" applyFill="1" applyAlignment="1">
      <alignment horizontal="center"/>
    </xf>
    <xf numFmtId="0" fontId="1" fillId="21" borderId="3" xfId="0" applyFont="1" applyFill="1" applyBorder="1" applyAlignment="1">
      <alignment horizontal="center" vertical="center"/>
    </xf>
    <xf numFmtId="0" fontId="1" fillId="21" borderId="13" xfId="0" applyFont="1" applyFill="1" applyBorder="1" applyAlignment="1">
      <alignment horizontal="center" vertical="center"/>
    </xf>
    <xf numFmtId="0" fontId="1" fillId="21" borderId="0" xfId="0" applyFont="1" applyFill="1" applyAlignment="1">
      <alignment horizontal="center"/>
    </xf>
    <xf numFmtId="0" fontId="1" fillId="3" borderId="0" xfId="0" applyFont="1" applyFill="1" applyAlignment="1">
      <alignment horizontal="center" vertical="center"/>
    </xf>
    <xf numFmtId="0" fontId="1" fillId="3" borderId="0" xfId="0" applyFont="1" applyFill="1" applyAlignment="1">
      <alignment horizontal="center"/>
    </xf>
    <xf numFmtId="0" fontId="0" fillId="3" borderId="0" xfId="0" applyFill="1" applyAlignment="1">
      <alignment horizontal="center"/>
    </xf>
    <xf numFmtId="0" fontId="0" fillId="22" borderId="1" xfId="0" applyFill="1" applyBorder="1" applyAlignment="1">
      <alignment horizontal="center" vertical="center" wrapText="1"/>
    </xf>
    <xf numFmtId="0" fontId="1" fillId="0" borderId="3" xfId="0" applyFont="1" applyBorder="1" applyAlignment="1">
      <alignment horizont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6" xfId="0" applyFont="1" applyBorder="1" applyAlignment="1">
      <alignment horizontal="center"/>
    </xf>
    <xf numFmtId="20" fontId="0" fillId="3" borderId="3" xfId="0" applyNumberFormat="1" applyFill="1" applyBorder="1" applyAlignment="1">
      <alignment horizontal="center" vertical="center"/>
    </xf>
    <xf numFmtId="20" fontId="0" fillId="3" borderId="15" xfId="0" applyNumberFormat="1" applyFill="1" applyBorder="1" applyAlignment="1">
      <alignment horizontal="center" vertical="center"/>
    </xf>
    <xf numFmtId="20" fontId="0" fillId="3" borderId="13" xfId="0" applyNumberFormat="1" applyFill="1" applyBorder="1" applyAlignment="1">
      <alignment horizontal="center" vertical="center"/>
    </xf>
    <xf numFmtId="20" fontId="1" fillId="3" borderId="3" xfId="0" applyNumberFormat="1" applyFont="1" applyFill="1" applyBorder="1" applyAlignment="1">
      <alignment horizontal="center" vertical="center"/>
    </xf>
    <xf numFmtId="20" fontId="1" fillId="3" borderId="3" xfId="0" applyNumberFormat="1" applyFont="1" applyFill="1" applyBorder="1" applyAlignment="1">
      <alignment horizontal="center" vertical="center" wrapText="1"/>
    </xf>
    <xf numFmtId="20" fontId="0" fillId="3" borderId="15" xfId="0" applyNumberFormat="1" applyFill="1" applyBorder="1" applyAlignment="1">
      <alignment horizontal="center" vertical="center" wrapText="1"/>
    </xf>
    <xf numFmtId="20" fontId="0" fillId="3" borderId="13" xfId="0" applyNumberFormat="1" applyFill="1" applyBorder="1" applyAlignment="1">
      <alignment horizontal="center" vertical="center" wrapText="1"/>
    </xf>
    <xf numFmtId="20" fontId="0" fillId="8" borderId="3" xfId="0" applyNumberFormat="1" applyFill="1" applyBorder="1" applyAlignment="1">
      <alignment horizontal="center" vertical="center"/>
    </xf>
    <xf numFmtId="20" fontId="0" fillId="8" borderId="15" xfId="0" applyNumberFormat="1" applyFill="1" applyBorder="1" applyAlignment="1">
      <alignment horizontal="center" vertical="center"/>
    </xf>
    <xf numFmtId="20" fontId="0" fillId="8" borderId="13" xfId="0" applyNumberFormat="1" applyFill="1" applyBorder="1" applyAlignment="1">
      <alignment horizontal="center" vertical="center"/>
    </xf>
    <xf numFmtId="20" fontId="1" fillId="8" borderId="3" xfId="0" applyNumberFormat="1" applyFont="1" applyFill="1" applyBorder="1" applyAlignment="1">
      <alignment horizontal="center" vertical="center" wrapText="1"/>
    </xf>
    <xf numFmtId="20" fontId="0" fillId="8" borderId="15" xfId="0" applyNumberFormat="1" applyFill="1" applyBorder="1" applyAlignment="1">
      <alignment horizontal="center" vertical="center" wrapText="1"/>
    </xf>
    <xf numFmtId="20" fontId="0" fillId="8" borderId="13" xfId="0" applyNumberFormat="1" applyFill="1" applyBorder="1" applyAlignment="1">
      <alignment horizontal="center" vertical="center" wrapText="1"/>
    </xf>
    <xf numFmtId="20" fontId="0" fillId="9" borderId="3" xfId="0" applyNumberFormat="1" applyFill="1" applyBorder="1" applyAlignment="1">
      <alignment horizontal="center" vertical="center"/>
    </xf>
    <xf numFmtId="20" fontId="0" fillId="9" borderId="15" xfId="0" applyNumberFormat="1" applyFill="1" applyBorder="1" applyAlignment="1">
      <alignment horizontal="center" vertical="center"/>
    </xf>
    <xf numFmtId="20" fontId="0" fillId="9" borderId="13" xfId="0" applyNumberFormat="1" applyFill="1" applyBorder="1" applyAlignment="1">
      <alignment horizontal="center" vertical="center"/>
    </xf>
    <xf numFmtId="20" fontId="1" fillId="9" borderId="3" xfId="0" applyNumberFormat="1" applyFont="1" applyFill="1" applyBorder="1" applyAlignment="1">
      <alignment horizontal="center" vertical="center" wrapText="1"/>
    </xf>
    <xf numFmtId="20" fontId="0" fillId="9" borderId="15" xfId="0" applyNumberFormat="1" applyFill="1" applyBorder="1" applyAlignment="1">
      <alignment horizontal="center" vertical="center" wrapText="1"/>
    </xf>
    <xf numFmtId="20" fontId="0" fillId="9" borderId="13" xfId="0" applyNumberFormat="1" applyFill="1" applyBorder="1" applyAlignment="1">
      <alignment horizontal="center" vertical="center" wrapText="1"/>
    </xf>
    <xf numFmtId="20" fontId="0" fillId="11" borderId="3" xfId="0" applyNumberFormat="1" applyFill="1" applyBorder="1" applyAlignment="1">
      <alignment horizontal="center" vertical="center"/>
    </xf>
    <xf numFmtId="20" fontId="0" fillId="11" borderId="15" xfId="0" applyNumberFormat="1" applyFill="1" applyBorder="1" applyAlignment="1">
      <alignment horizontal="center" vertical="center"/>
    </xf>
    <xf numFmtId="20" fontId="0" fillId="11" borderId="13" xfId="0" applyNumberFormat="1" applyFill="1" applyBorder="1" applyAlignment="1">
      <alignment horizontal="center" vertical="center"/>
    </xf>
    <xf numFmtId="20" fontId="1" fillId="11" borderId="3" xfId="0" applyNumberFormat="1" applyFont="1" applyFill="1" applyBorder="1" applyAlignment="1">
      <alignment horizontal="center" vertical="center" wrapText="1"/>
    </xf>
    <xf numFmtId="20" fontId="0" fillId="11" borderId="15" xfId="0" applyNumberFormat="1" applyFill="1" applyBorder="1" applyAlignment="1">
      <alignment horizontal="center" vertical="center" wrapText="1"/>
    </xf>
    <xf numFmtId="20" fontId="0" fillId="11" borderId="13" xfId="0" applyNumberFormat="1" applyFill="1" applyBorder="1" applyAlignment="1">
      <alignment horizontal="center" vertical="center" wrapText="1"/>
    </xf>
    <xf numFmtId="20" fontId="1" fillId="3" borderId="15" xfId="0" applyNumberFormat="1" applyFont="1" applyFill="1" applyBorder="1" applyAlignment="1">
      <alignment horizontal="center" vertical="center"/>
    </xf>
    <xf numFmtId="20" fontId="1" fillId="3" borderId="13" xfId="0" applyNumberFormat="1" applyFont="1" applyFill="1" applyBorder="1" applyAlignment="1">
      <alignment horizontal="center" vertical="center"/>
    </xf>
    <xf numFmtId="20" fontId="0" fillId="10" borderId="3" xfId="0" applyNumberFormat="1" applyFill="1" applyBorder="1" applyAlignment="1">
      <alignment horizontal="center" vertical="center"/>
    </xf>
    <xf numFmtId="20" fontId="0" fillId="10" borderId="15" xfId="0" applyNumberFormat="1" applyFill="1" applyBorder="1" applyAlignment="1">
      <alignment horizontal="center" vertical="center"/>
    </xf>
    <xf numFmtId="20" fontId="0" fillId="10" borderId="13" xfId="0" applyNumberFormat="1" applyFill="1" applyBorder="1" applyAlignment="1">
      <alignment horizontal="center" vertical="center"/>
    </xf>
    <xf numFmtId="20" fontId="1" fillId="10" borderId="3" xfId="0" applyNumberFormat="1" applyFont="1" applyFill="1" applyBorder="1" applyAlignment="1">
      <alignment horizontal="center" vertical="center" wrapText="1"/>
    </xf>
    <xf numFmtId="20" fontId="0" fillId="10" borderId="15" xfId="0" applyNumberFormat="1" applyFill="1" applyBorder="1" applyAlignment="1">
      <alignment horizontal="center" vertical="center" wrapText="1"/>
    </xf>
    <xf numFmtId="20" fontId="0" fillId="10" borderId="13" xfId="0" applyNumberForma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center"/>
    </xf>
    <xf numFmtId="0" fontId="1" fillId="14" borderId="1" xfId="0" applyFont="1" applyFill="1" applyBorder="1" applyAlignment="1">
      <alignment horizontal="center"/>
    </xf>
    <xf numFmtId="0" fontId="1" fillId="14" borderId="11" xfId="0" applyFont="1" applyFill="1" applyBorder="1" applyAlignment="1">
      <alignment horizontal="center"/>
    </xf>
    <xf numFmtId="0" fontId="1" fillId="14" borderId="12" xfId="0" applyFont="1" applyFill="1" applyBorder="1" applyAlignment="1">
      <alignment horizontal="center"/>
    </xf>
    <xf numFmtId="0" fontId="1" fillId="14" borderId="6" xfId="0" applyFont="1" applyFill="1" applyBorder="1" applyAlignment="1">
      <alignment horizontal="center"/>
    </xf>
    <xf numFmtId="0" fontId="1" fillId="17" borderId="2" xfId="0" applyFont="1" applyFill="1" applyBorder="1" applyAlignment="1">
      <alignment horizontal="center"/>
    </xf>
    <xf numFmtId="0" fontId="1" fillId="18" borderId="0" xfId="0" applyFont="1" applyFill="1" applyAlignment="1">
      <alignment horizontal="center"/>
    </xf>
    <xf numFmtId="0" fontId="1" fillId="19" borderId="0" xfId="0" applyFont="1" applyFill="1" applyAlignment="1">
      <alignment horizontal="center"/>
    </xf>
    <xf numFmtId="0" fontId="0" fillId="19" borderId="0" xfId="0" applyFill="1" applyAlignment="1">
      <alignment horizontal="center"/>
    </xf>
    <xf numFmtId="0" fontId="0" fillId="20" borderId="2" xfId="0" applyFill="1" applyBorder="1" applyAlignment="1">
      <alignment horizontal="center"/>
    </xf>
    <xf numFmtId="0" fontId="5" fillId="0" borderId="2" xfId="0" applyFont="1" applyBorder="1" applyAlignment="1">
      <alignment horizontal="center"/>
    </xf>
    <xf numFmtId="0" fontId="0" fillId="0" borderId="0" xfId="0" applyAlignment="1">
      <alignment horizontal="center"/>
    </xf>
    <xf numFmtId="0" fontId="1" fillId="4" borderId="0" xfId="0" applyFont="1" applyFill="1" applyAlignment="1">
      <alignment horizontal="center"/>
    </xf>
    <xf numFmtId="0" fontId="0" fillId="0" borderId="14" xfId="0" applyBorder="1" applyAlignment="1">
      <alignment horizontal="center"/>
    </xf>
    <xf numFmtId="0" fontId="0" fillId="0" borderId="0" xfId="0" applyAlignment="1">
      <alignment horizontal="center" vertical="center"/>
    </xf>
    <xf numFmtId="0" fontId="1" fillId="0" borderId="2" xfId="0" applyFont="1" applyBorder="1" applyAlignment="1">
      <alignment horizontal="center" vertical="center"/>
    </xf>
    <xf numFmtId="0" fontId="1" fillId="20"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'Genotype average D2'!$X$4:$X$8</c:f>
                <c:numCache>
                  <c:formatCode>General</c:formatCode>
                  <c:ptCount val="5"/>
                  <c:pt idx="0">
                    <c:v>0.06</c:v>
                  </c:pt>
                  <c:pt idx="1">
                    <c:v>0.04</c:v>
                  </c:pt>
                  <c:pt idx="2">
                    <c:v>0.12</c:v>
                  </c:pt>
                  <c:pt idx="3">
                    <c:v>0.04</c:v>
                  </c:pt>
                  <c:pt idx="4">
                    <c:v>0.02</c:v>
                  </c:pt>
                </c:numCache>
              </c:numRef>
            </c:plus>
            <c:minus>
              <c:numRef>
                <c:f>'Genotype average D2'!$X$4:$X$8</c:f>
                <c:numCache>
                  <c:formatCode>General</c:formatCode>
                  <c:ptCount val="5"/>
                  <c:pt idx="0">
                    <c:v>0.06</c:v>
                  </c:pt>
                  <c:pt idx="1">
                    <c:v>0.04</c:v>
                  </c:pt>
                  <c:pt idx="2">
                    <c:v>0.12</c:v>
                  </c:pt>
                  <c:pt idx="3">
                    <c:v>0.04</c:v>
                  </c:pt>
                  <c:pt idx="4">
                    <c:v>0.02</c:v>
                  </c:pt>
                </c:numCache>
              </c:numRef>
            </c:minus>
            <c:spPr>
              <a:noFill/>
              <a:ln w="9525" cap="flat" cmpd="sng" algn="ctr">
                <a:solidFill>
                  <a:schemeClr val="tx1">
                    <a:lumMod val="65000"/>
                    <a:lumOff val="35000"/>
                  </a:schemeClr>
                </a:solidFill>
                <a:round/>
              </a:ln>
              <a:effectLst/>
            </c:spPr>
          </c:errBars>
          <c:xVal>
            <c:numRef>
              <c:f>'Genotype average D2'!$V$4:$V$8</c:f>
              <c:numCache>
                <c:formatCode>General</c:formatCode>
                <c:ptCount val="5"/>
                <c:pt idx="0" formatCode="0.0">
                  <c:v>1.1000000000000001</c:v>
                </c:pt>
                <c:pt idx="1">
                  <c:v>1.6</c:v>
                </c:pt>
                <c:pt idx="2" formatCode="0.0">
                  <c:v>2.1</c:v>
                </c:pt>
                <c:pt idx="3">
                  <c:v>2.7</c:v>
                </c:pt>
                <c:pt idx="4">
                  <c:v>3.5</c:v>
                </c:pt>
              </c:numCache>
            </c:numRef>
          </c:xVal>
          <c:yVal>
            <c:numRef>
              <c:f>'Genotype average D2'!$W$4:$W$8</c:f>
              <c:numCache>
                <c:formatCode>0.00</c:formatCode>
                <c:ptCount val="5"/>
                <c:pt idx="0">
                  <c:v>0.54</c:v>
                </c:pt>
                <c:pt idx="1">
                  <c:v>0.68</c:v>
                </c:pt>
                <c:pt idx="2">
                  <c:v>0.83</c:v>
                </c:pt>
                <c:pt idx="3">
                  <c:v>0.93</c:v>
                </c:pt>
                <c:pt idx="4">
                  <c:v>0.99</c:v>
                </c:pt>
              </c:numCache>
            </c:numRef>
          </c:yVal>
          <c:smooth val="0"/>
          <c:extLst>
            <c:ext xmlns:c16="http://schemas.microsoft.com/office/drawing/2014/chart" uri="{C3380CC4-5D6E-409C-BE32-E72D297353CC}">
              <c16:uniqueId val="{00000000-1BDB-4893-954C-9C00D94632BC}"/>
            </c:ext>
          </c:extLst>
        </c:ser>
        <c:dLbls>
          <c:showLegendKey val="0"/>
          <c:showVal val="0"/>
          <c:showCatName val="0"/>
          <c:showSerName val="0"/>
          <c:showPercent val="0"/>
          <c:showBubbleSize val="0"/>
        </c:dLbls>
        <c:axId val="357635791"/>
        <c:axId val="350666719"/>
      </c:scatterChart>
      <c:valAx>
        <c:axId val="3576357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0666719"/>
        <c:crosses val="autoZero"/>
        <c:crossBetween val="midCat"/>
      </c:valAx>
      <c:valAx>
        <c:axId val="35066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7635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'Genotype average D2'!$X$14:$X$18</c:f>
                <c:numCache>
                  <c:formatCode>General</c:formatCode>
                  <c:ptCount val="5"/>
                  <c:pt idx="0">
                    <c:v>0.09</c:v>
                  </c:pt>
                  <c:pt idx="1">
                    <c:v>0.05</c:v>
                  </c:pt>
                  <c:pt idx="2">
                    <c:v>0.08</c:v>
                  </c:pt>
                  <c:pt idx="3">
                    <c:v>0.04</c:v>
                  </c:pt>
                  <c:pt idx="4">
                    <c:v>0</c:v>
                  </c:pt>
                </c:numCache>
              </c:numRef>
            </c:plus>
            <c:minus>
              <c:numRef>
                <c:f>'Genotype average D2'!$X$14:$X$18</c:f>
                <c:numCache>
                  <c:formatCode>General</c:formatCode>
                  <c:ptCount val="5"/>
                  <c:pt idx="0">
                    <c:v>0.09</c:v>
                  </c:pt>
                  <c:pt idx="1">
                    <c:v>0.05</c:v>
                  </c:pt>
                  <c:pt idx="2">
                    <c:v>0.08</c:v>
                  </c:pt>
                  <c:pt idx="3">
                    <c:v>0.04</c:v>
                  </c:pt>
                  <c:pt idx="4">
                    <c:v>0</c:v>
                  </c:pt>
                </c:numCache>
              </c:numRef>
            </c:minus>
            <c:spPr>
              <a:noFill/>
              <a:ln w="9525" cap="flat" cmpd="sng" algn="ctr">
                <a:solidFill>
                  <a:schemeClr val="tx1">
                    <a:lumMod val="65000"/>
                    <a:lumOff val="35000"/>
                  </a:schemeClr>
                </a:solidFill>
                <a:round/>
              </a:ln>
              <a:effectLst/>
            </c:spPr>
          </c:errBars>
          <c:xVal>
            <c:numRef>
              <c:f>'Genotype average D2'!$V$14:$V$18</c:f>
              <c:numCache>
                <c:formatCode>General</c:formatCode>
                <c:ptCount val="5"/>
                <c:pt idx="0" formatCode="0.0">
                  <c:v>1.1000000000000001</c:v>
                </c:pt>
                <c:pt idx="1">
                  <c:v>1.6</c:v>
                </c:pt>
                <c:pt idx="2" formatCode="0.0">
                  <c:v>2.1</c:v>
                </c:pt>
                <c:pt idx="3">
                  <c:v>2.7</c:v>
                </c:pt>
                <c:pt idx="4">
                  <c:v>3.5</c:v>
                </c:pt>
              </c:numCache>
            </c:numRef>
          </c:xVal>
          <c:yVal>
            <c:numRef>
              <c:f>'Genotype average D2'!$W$14:$W$18</c:f>
              <c:numCache>
                <c:formatCode>0.00</c:formatCode>
                <c:ptCount val="5"/>
                <c:pt idx="0">
                  <c:v>0.62</c:v>
                </c:pt>
                <c:pt idx="1">
                  <c:v>0.71</c:v>
                </c:pt>
                <c:pt idx="2">
                  <c:v>0.83</c:v>
                </c:pt>
                <c:pt idx="3">
                  <c:v>0.94</c:v>
                </c:pt>
                <c:pt idx="4">
                  <c:v>1</c:v>
                </c:pt>
              </c:numCache>
            </c:numRef>
          </c:yVal>
          <c:smooth val="0"/>
          <c:extLst>
            <c:ext xmlns:c16="http://schemas.microsoft.com/office/drawing/2014/chart" uri="{C3380CC4-5D6E-409C-BE32-E72D297353CC}">
              <c16:uniqueId val="{00000000-1BDB-4893-954C-9C00D94632BC}"/>
            </c:ext>
          </c:extLst>
        </c:ser>
        <c:dLbls>
          <c:showLegendKey val="0"/>
          <c:showVal val="0"/>
          <c:showCatName val="0"/>
          <c:showSerName val="0"/>
          <c:showPercent val="0"/>
          <c:showBubbleSize val="0"/>
        </c:dLbls>
        <c:axId val="357635791"/>
        <c:axId val="350666719"/>
      </c:scatterChart>
      <c:valAx>
        <c:axId val="3576357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0666719"/>
        <c:crosses val="autoZero"/>
        <c:crossBetween val="midCat"/>
      </c:valAx>
      <c:valAx>
        <c:axId val="35066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7635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'Genotype average D2'!$X$24:$X$28</c:f>
                <c:numCache>
                  <c:formatCode>General</c:formatCode>
                  <c:ptCount val="5"/>
                  <c:pt idx="0">
                    <c:v>0.17</c:v>
                  </c:pt>
                  <c:pt idx="1">
                    <c:v>0.06</c:v>
                  </c:pt>
                  <c:pt idx="2">
                    <c:v>0.02</c:v>
                  </c:pt>
                  <c:pt idx="3">
                    <c:v>7.0000000000000007E-2</c:v>
                  </c:pt>
                  <c:pt idx="4">
                    <c:v>0</c:v>
                  </c:pt>
                </c:numCache>
              </c:numRef>
            </c:plus>
            <c:minus>
              <c:numRef>
                <c:f>'Genotype average D2'!$X$24:$X$28</c:f>
                <c:numCache>
                  <c:formatCode>General</c:formatCode>
                  <c:ptCount val="5"/>
                  <c:pt idx="0">
                    <c:v>0.17</c:v>
                  </c:pt>
                  <c:pt idx="1">
                    <c:v>0.06</c:v>
                  </c:pt>
                  <c:pt idx="2">
                    <c:v>0.02</c:v>
                  </c:pt>
                  <c:pt idx="3">
                    <c:v>7.0000000000000007E-2</c:v>
                  </c:pt>
                  <c:pt idx="4">
                    <c:v>0</c:v>
                  </c:pt>
                </c:numCache>
              </c:numRef>
            </c:minus>
            <c:spPr>
              <a:noFill/>
              <a:ln w="9525" cap="flat" cmpd="sng" algn="ctr">
                <a:solidFill>
                  <a:schemeClr val="tx1">
                    <a:lumMod val="65000"/>
                    <a:lumOff val="35000"/>
                  </a:schemeClr>
                </a:solidFill>
                <a:round/>
              </a:ln>
              <a:effectLst/>
            </c:spPr>
          </c:errBars>
          <c:xVal>
            <c:numRef>
              <c:f>'Genotype average D2'!$V$24:$V$28</c:f>
              <c:numCache>
                <c:formatCode>General</c:formatCode>
                <c:ptCount val="5"/>
                <c:pt idx="0" formatCode="0.0">
                  <c:v>1.1000000000000001</c:v>
                </c:pt>
                <c:pt idx="1">
                  <c:v>1.6</c:v>
                </c:pt>
                <c:pt idx="2" formatCode="0.0">
                  <c:v>2.1</c:v>
                </c:pt>
                <c:pt idx="3">
                  <c:v>2.7</c:v>
                </c:pt>
                <c:pt idx="4">
                  <c:v>3.5</c:v>
                </c:pt>
              </c:numCache>
            </c:numRef>
          </c:xVal>
          <c:yVal>
            <c:numRef>
              <c:f>'Genotype average D2'!$W$24:$W$28</c:f>
              <c:numCache>
                <c:formatCode>0.00</c:formatCode>
                <c:ptCount val="5"/>
                <c:pt idx="0">
                  <c:v>0.7</c:v>
                </c:pt>
                <c:pt idx="1">
                  <c:v>0.76</c:v>
                </c:pt>
                <c:pt idx="2">
                  <c:v>0.79</c:v>
                </c:pt>
                <c:pt idx="3">
                  <c:v>0.95</c:v>
                </c:pt>
                <c:pt idx="4">
                  <c:v>1</c:v>
                </c:pt>
              </c:numCache>
            </c:numRef>
          </c:yVal>
          <c:smooth val="0"/>
          <c:extLst>
            <c:ext xmlns:c16="http://schemas.microsoft.com/office/drawing/2014/chart" uri="{C3380CC4-5D6E-409C-BE32-E72D297353CC}">
              <c16:uniqueId val="{00000000-1BDB-4893-954C-9C00D94632BC}"/>
            </c:ext>
          </c:extLst>
        </c:ser>
        <c:dLbls>
          <c:showLegendKey val="0"/>
          <c:showVal val="0"/>
          <c:showCatName val="0"/>
          <c:showSerName val="0"/>
          <c:showPercent val="0"/>
          <c:showBubbleSize val="0"/>
        </c:dLbls>
        <c:axId val="357635791"/>
        <c:axId val="350666719"/>
      </c:scatterChart>
      <c:valAx>
        <c:axId val="3576357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0666719"/>
        <c:crosses val="autoZero"/>
        <c:crossBetween val="midCat"/>
      </c:valAx>
      <c:valAx>
        <c:axId val="35066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7635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errBars>
            <c:errDir val="y"/>
            <c:errBarType val="both"/>
            <c:errValType val="cust"/>
            <c:noEndCap val="0"/>
            <c:plus>
              <c:numRef>
                <c:f>'Genotype average D2'!$X$34:$X$38</c:f>
                <c:numCache>
                  <c:formatCode>General</c:formatCode>
                  <c:ptCount val="5"/>
                  <c:pt idx="0">
                    <c:v>0.08</c:v>
                  </c:pt>
                  <c:pt idx="1">
                    <c:v>0.05</c:v>
                  </c:pt>
                  <c:pt idx="2">
                    <c:v>0.03</c:v>
                  </c:pt>
                  <c:pt idx="3">
                    <c:v>0.05</c:v>
                  </c:pt>
                  <c:pt idx="4">
                    <c:v>0</c:v>
                  </c:pt>
                </c:numCache>
              </c:numRef>
            </c:plus>
            <c:minus>
              <c:numRef>
                <c:f>'Genotype average D2'!$X$34:$X$38</c:f>
                <c:numCache>
                  <c:formatCode>General</c:formatCode>
                  <c:ptCount val="5"/>
                  <c:pt idx="0">
                    <c:v>0.08</c:v>
                  </c:pt>
                  <c:pt idx="1">
                    <c:v>0.05</c:v>
                  </c:pt>
                  <c:pt idx="2">
                    <c:v>0.03</c:v>
                  </c:pt>
                  <c:pt idx="3">
                    <c:v>0.05</c:v>
                  </c:pt>
                  <c:pt idx="4">
                    <c:v>0</c:v>
                  </c:pt>
                </c:numCache>
              </c:numRef>
            </c:minus>
            <c:spPr>
              <a:noFill/>
              <a:ln w="9525" cap="flat" cmpd="sng" algn="ctr">
                <a:solidFill>
                  <a:schemeClr val="tx1">
                    <a:lumMod val="65000"/>
                    <a:lumOff val="35000"/>
                  </a:schemeClr>
                </a:solidFill>
                <a:round/>
              </a:ln>
              <a:effectLst/>
            </c:spPr>
          </c:errBars>
          <c:xVal>
            <c:numRef>
              <c:f>'Genotype average D2'!$V$34:$V$38</c:f>
              <c:numCache>
                <c:formatCode>General</c:formatCode>
                <c:ptCount val="5"/>
                <c:pt idx="0" formatCode="0.0">
                  <c:v>1.1000000000000001</c:v>
                </c:pt>
                <c:pt idx="1">
                  <c:v>1.6</c:v>
                </c:pt>
                <c:pt idx="2" formatCode="0.0">
                  <c:v>2.1</c:v>
                </c:pt>
                <c:pt idx="3">
                  <c:v>2.7</c:v>
                </c:pt>
                <c:pt idx="4">
                  <c:v>3.5</c:v>
                </c:pt>
              </c:numCache>
            </c:numRef>
          </c:xVal>
          <c:yVal>
            <c:numRef>
              <c:f>'Genotype average D2'!$W$34:$W$38</c:f>
              <c:numCache>
                <c:formatCode>0.00</c:formatCode>
                <c:ptCount val="5"/>
                <c:pt idx="0">
                  <c:v>0.6</c:v>
                </c:pt>
                <c:pt idx="1">
                  <c:v>0.66</c:v>
                </c:pt>
                <c:pt idx="2">
                  <c:v>0.73</c:v>
                </c:pt>
                <c:pt idx="3">
                  <c:v>0.86</c:v>
                </c:pt>
                <c:pt idx="4">
                  <c:v>1</c:v>
                </c:pt>
              </c:numCache>
            </c:numRef>
          </c:yVal>
          <c:smooth val="0"/>
          <c:extLst>
            <c:ext xmlns:c16="http://schemas.microsoft.com/office/drawing/2014/chart" uri="{C3380CC4-5D6E-409C-BE32-E72D297353CC}">
              <c16:uniqueId val="{00000000-1BDB-4893-954C-9C00D94632BC}"/>
            </c:ext>
          </c:extLst>
        </c:ser>
        <c:dLbls>
          <c:showLegendKey val="0"/>
          <c:showVal val="0"/>
          <c:showCatName val="0"/>
          <c:showSerName val="0"/>
          <c:showPercent val="0"/>
          <c:showBubbleSize val="0"/>
        </c:dLbls>
        <c:axId val="357635791"/>
        <c:axId val="350666719"/>
      </c:scatterChart>
      <c:valAx>
        <c:axId val="3576357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0666719"/>
        <c:crosses val="autoZero"/>
        <c:crossBetween val="midCat"/>
      </c:valAx>
      <c:valAx>
        <c:axId val="350666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3576357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17 - </a:t>
            </a:r>
            <a:r>
              <a:rPr lang="pt-BR" sz="1100" b="0" i="0" u="none" strike="noStrike" kern="1200" spc="0" baseline="0">
                <a:solidFill>
                  <a:sysClr val="windowText" lastClr="000000"/>
                </a:solidFill>
                <a:effectLst/>
              </a:rPr>
              <a:t>PI398617 -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2'!$D$3:$D$7</c:f>
              <c:numCache>
                <c:formatCode>0.00</c:formatCode>
                <c:ptCount val="5"/>
                <c:pt idx="0">
                  <c:v>0.46540880503144655</c:v>
                </c:pt>
                <c:pt idx="1">
                  <c:v>0.72955974842767291</c:v>
                </c:pt>
                <c:pt idx="2">
                  <c:v>0.77358490566037741</c:v>
                </c:pt>
                <c:pt idx="3">
                  <c:v>0.89308176100628922</c:v>
                </c:pt>
                <c:pt idx="4">
                  <c:v>1</c:v>
                </c:pt>
              </c:numCache>
            </c:numRef>
          </c:yVal>
          <c:smooth val="0"/>
          <c:extLst>
            <c:ext xmlns:c16="http://schemas.microsoft.com/office/drawing/2014/chart" uri="{C3380CC4-5D6E-409C-BE32-E72D297353CC}">
              <c16:uniqueId val="{00000006-52A1-40C7-837C-A16DCE37C9F2}"/>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18 - </a:t>
            </a:r>
            <a:r>
              <a:rPr lang="pt-BR" sz="1100" b="0" i="0" u="none" strike="noStrike" baseline="0">
                <a:solidFill>
                  <a:sysClr val="windowText" lastClr="000000"/>
                </a:solidFill>
                <a:effectLst/>
              </a:rPr>
              <a:t>PI070229</a:t>
            </a:r>
            <a:r>
              <a:rPr lang="pt-BR" sz="1400" b="0" i="0" u="none" strike="noStrike" baseline="0"/>
              <a:t> </a:t>
            </a:r>
            <a:r>
              <a:rPr lang="pt-BR" sz="1100" b="0" i="0" u="none" strike="noStrike" kern="1200" spc="0" baseline="0">
                <a:solidFill>
                  <a:sysClr val="windowText" lastClr="000000"/>
                </a:solidFill>
                <a:effectLst/>
              </a:rPr>
              <a:t>- Q2</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2'!$I$3:$I$7</c:f>
              <c:numCache>
                <c:formatCode>0.00</c:formatCode>
                <c:ptCount val="5"/>
                <c:pt idx="0">
                  <c:v>0.64227642276422758</c:v>
                </c:pt>
                <c:pt idx="1">
                  <c:v>0.73983739837398366</c:v>
                </c:pt>
                <c:pt idx="2">
                  <c:v>0.91056910569105676</c:v>
                </c:pt>
                <c:pt idx="3">
                  <c:v>1</c:v>
                </c:pt>
                <c:pt idx="4">
                  <c:v>1</c:v>
                </c:pt>
              </c:numCache>
            </c:numRef>
          </c:yVal>
          <c:smooth val="0"/>
          <c:extLst>
            <c:ext xmlns:c16="http://schemas.microsoft.com/office/drawing/2014/chart" uri="{C3380CC4-5D6E-409C-BE32-E72D297353CC}">
              <c16:uniqueId val="{00000000-4720-4EC3-8FCC-8DA6FCBF4EC2}"/>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19 - </a:t>
            </a:r>
            <a:r>
              <a:rPr lang="pt-BR" sz="1100" b="0" i="0" u="none" strike="noStrike" baseline="0">
                <a:solidFill>
                  <a:sysClr val="windowText" lastClr="000000"/>
                </a:solidFill>
                <a:effectLst/>
              </a:rPr>
              <a:t>PI423802</a:t>
            </a:r>
            <a:r>
              <a:rPr lang="pt-BR" sz="1400" b="0" i="0" u="none" strike="noStrike" baseline="0"/>
              <a:t> </a:t>
            </a:r>
            <a:r>
              <a:rPr lang="pt-BR" sz="1100" b="0" i="0" u="none" strike="noStrike" kern="1200" spc="0" baseline="0">
                <a:solidFill>
                  <a:sysClr val="windowText" lastClr="000000"/>
                </a:solidFill>
                <a:effectLst/>
              </a:rPr>
              <a:t>- Q3</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2'!$N$3:$N$7</c:f>
              <c:numCache>
                <c:formatCode>0.00</c:formatCode>
                <c:ptCount val="5"/>
                <c:pt idx="0">
                  <c:v>0.57446808510638303</c:v>
                </c:pt>
                <c:pt idx="1">
                  <c:v>0.72340425531914887</c:v>
                </c:pt>
                <c:pt idx="2">
                  <c:v>0.77659574468085102</c:v>
                </c:pt>
                <c:pt idx="3">
                  <c:v>0.90425531914893609</c:v>
                </c:pt>
                <c:pt idx="4">
                  <c:v>1</c:v>
                </c:pt>
              </c:numCache>
            </c:numRef>
          </c:yVal>
          <c:smooth val="0"/>
          <c:extLst>
            <c:ext xmlns:c16="http://schemas.microsoft.com/office/drawing/2014/chart" uri="{C3380CC4-5D6E-409C-BE32-E72D297353CC}">
              <c16:uniqueId val="{00000000-548F-43BC-A2D5-F7D450A53F02}"/>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20 - </a:t>
            </a:r>
            <a:r>
              <a:rPr lang="pt-BR" sz="1100" b="0" i="0" u="none" strike="noStrike" baseline="0">
                <a:solidFill>
                  <a:sysClr val="windowText" lastClr="000000"/>
                </a:solidFill>
                <a:effectLst/>
              </a:rPr>
              <a:t>603465C</a:t>
            </a:r>
            <a:r>
              <a:rPr lang="pt-BR" sz="1400" b="0" i="0" u="none" strike="noStrike" baseline="0"/>
              <a:t> </a:t>
            </a:r>
            <a:r>
              <a:rPr lang="pt-BR" sz="1100" b="0" i="0" u="none" strike="noStrike" kern="1200" spc="0" baseline="0">
                <a:solidFill>
                  <a:sysClr val="windowText" lastClr="000000"/>
                </a:solidFill>
                <a:effectLst/>
              </a:rPr>
              <a:t>- Q4</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2'!$S$3:$S$7</c:f>
              <c:numCache>
                <c:formatCode>0.00</c:formatCode>
                <c:ptCount val="5"/>
                <c:pt idx="0">
                  <c:v>0.63793103448275867</c:v>
                </c:pt>
                <c:pt idx="1">
                  <c:v>0.71551724137931039</c:v>
                </c:pt>
                <c:pt idx="2">
                  <c:v>0.72413793103448276</c:v>
                </c:pt>
                <c:pt idx="3">
                  <c:v>0.93103448275862077</c:v>
                </c:pt>
                <c:pt idx="4">
                  <c:v>1</c:v>
                </c:pt>
              </c:numCache>
            </c:numRef>
          </c:yVal>
          <c:smooth val="0"/>
          <c:extLst>
            <c:ext xmlns:c16="http://schemas.microsoft.com/office/drawing/2014/chart" uri="{C3380CC4-5D6E-409C-BE32-E72D297353CC}">
              <c16:uniqueId val="{00000000-90BB-4216-9129-DC0079D5D95F}"/>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21 - </a:t>
            </a:r>
            <a:r>
              <a:rPr lang="pt-BR" sz="1100" b="0" i="0" u="none" strike="noStrike" kern="1200" spc="0" baseline="0">
                <a:solidFill>
                  <a:sysClr val="windowText" lastClr="000000"/>
                </a:solidFill>
                <a:effectLst/>
              </a:rPr>
              <a:t>PI070229</a:t>
            </a:r>
            <a:r>
              <a:rPr lang="pt-BR" sz="1400" b="0" i="0" u="none" strike="noStrike" kern="1200" spc="0" baseline="0">
                <a:solidFill>
                  <a:sysClr val="windowText" lastClr="000000">
                    <a:lumMod val="65000"/>
                    <a:lumOff val="35000"/>
                  </a:sysClr>
                </a:solidFill>
              </a:rPr>
              <a:t> </a:t>
            </a:r>
            <a:r>
              <a:rPr lang="pt-BR" sz="1100" b="0" i="0" u="none" strike="noStrike" kern="1200" spc="0" baseline="0">
                <a:solidFill>
                  <a:sysClr val="windowText" lastClr="000000"/>
                </a:solidFill>
                <a:effectLst/>
              </a:rPr>
              <a:t>- Q2</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2'!$X$3:$X$7</c:f>
              <c:numCache>
                <c:formatCode>0.00</c:formatCode>
                <c:ptCount val="5"/>
                <c:pt idx="0">
                  <c:v>0.71544715447154472</c:v>
                </c:pt>
                <c:pt idx="1">
                  <c:v>0.7642276422764227</c:v>
                </c:pt>
                <c:pt idx="2">
                  <c:v>0.86178861788617878</c:v>
                </c:pt>
                <c:pt idx="3">
                  <c:v>0.90243902439024382</c:v>
                </c:pt>
                <c:pt idx="4">
                  <c:v>1</c:v>
                </c:pt>
              </c:numCache>
            </c:numRef>
          </c:yVal>
          <c:smooth val="0"/>
          <c:extLst>
            <c:ext xmlns:c16="http://schemas.microsoft.com/office/drawing/2014/chart" uri="{C3380CC4-5D6E-409C-BE32-E72D297353CC}">
              <c16:uniqueId val="{00000000-88FC-48DF-897B-24E00936358C}"/>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22 - </a:t>
            </a:r>
            <a:r>
              <a:rPr lang="pt-BR" sz="1100" b="0" i="0" u="none" strike="noStrike" baseline="0">
                <a:solidFill>
                  <a:sysClr val="windowText" lastClr="000000"/>
                </a:solidFill>
                <a:effectLst/>
              </a:rPr>
              <a:t>PI423802</a:t>
            </a:r>
            <a:r>
              <a:rPr lang="pt-BR" sz="1400" b="0" i="0" u="none" strike="noStrike" baseline="0"/>
              <a:t> </a:t>
            </a:r>
            <a:r>
              <a:rPr lang="pt-BR" sz="1100" b="0" i="0" u="none" strike="noStrike" kern="1200" spc="0" baseline="0">
                <a:solidFill>
                  <a:sysClr val="windowText" lastClr="000000"/>
                </a:solidFill>
                <a:effectLst/>
              </a:rPr>
              <a:t>- Q3</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2'!$AC$3:$AC$7</c:f>
              <c:numCache>
                <c:formatCode>0.00</c:formatCode>
                <c:ptCount val="5"/>
                <c:pt idx="0">
                  <c:v>0.82178217821782185</c:v>
                </c:pt>
                <c:pt idx="1">
                  <c:v>0.80198019801980203</c:v>
                </c:pt>
                <c:pt idx="2">
                  <c:v>0.80198019801980203</c:v>
                </c:pt>
                <c:pt idx="3">
                  <c:v>1</c:v>
                </c:pt>
                <c:pt idx="4">
                  <c:v>1</c:v>
                </c:pt>
              </c:numCache>
            </c:numRef>
          </c:yVal>
          <c:smooth val="0"/>
          <c:extLst>
            <c:ext xmlns:c16="http://schemas.microsoft.com/office/drawing/2014/chart" uri="{C3380CC4-5D6E-409C-BE32-E72D297353CC}">
              <c16:uniqueId val="{00000000-034F-47D3-B765-9185F5A3C676}"/>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23 - </a:t>
            </a:r>
            <a:r>
              <a:rPr lang="pt-BR" sz="1100" b="0" i="0" u="none" strike="noStrike" kern="1200" spc="0" baseline="0">
                <a:solidFill>
                  <a:sysClr val="windowText" lastClr="000000"/>
                </a:solidFill>
                <a:effectLst/>
              </a:rPr>
              <a:t>PI398617 -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2'!$AH$3:$AH$7</c:f>
              <c:numCache>
                <c:formatCode>0.00</c:formatCode>
                <c:ptCount val="5"/>
                <c:pt idx="0">
                  <c:v>0.6108108108108109</c:v>
                </c:pt>
                <c:pt idx="1">
                  <c:v>0.64864864864864868</c:v>
                </c:pt>
                <c:pt idx="2">
                  <c:v>0.72972972972972971</c:v>
                </c:pt>
                <c:pt idx="3">
                  <c:v>0.9135135135135134</c:v>
                </c:pt>
                <c:pt idx="4">
                  <c:v>1</c:v>
                </c:pt>
              </c:numCache>
            </c:numRef>
          </c:yVal>
          <c:smooth val="0"/>
          <c:extLst>
            <c:ext xmlns:c16="http://schemas.microsoft.com/office/drawing/2014/chart" uri="{C3380CC4-5D6E-409C-BE32-E72D297353CC}">
              <c16:uniqueId val="{00000000-BC2D-4B33-9198-3AFCD2E70D4C}"/>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24 - </a:t>
            </a:r>
            <a:r>
              <a:rPr lang="pt-BR" sz="1100" b="0" i="0" u="none" strike="noStrike" baseline="0">
                <a:solidFill>
                  <a:sysClr val="windowText" lastClr="000000"/>
                </a:solidFill>
                <a:effectLst/>
              </a:rPr>
              <a:t>603465C</a:t>
            </a:r>
            <a:r>
              <a:rPr lang="pt-BR" sz="1400" b="0" i="0" u="none" strike="noStrike" baseline="0"/>
              <a:t> </a:t>
            </a:r>
            <a:r>
              <a:rPr lang="pt-BR" sz="1100" b="0" i="0" u="none" strike="noStrike" kern="1200" spc="0" baseline="0">
                <a:solidFill>
                  <a:sysClr val="windowText" lastClr="000000"/>
                </a:solidFill>
                <a:effectLst/>
              </a:rPr>
              <a:t>- Q4</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2'!$AM$3:$AM$7</c:f>
              <c:numCache>
                <c:formatCode>0.00</c:formatCode>
                <c:ptCount val="5"/>
                <c:pt idx="0">
                  <c:v>0.52830188679245282</c:v>
                </c:pt>
                <c:pt idx="1">
                  <c:v>0.60377358490566035</c:v>
                </c:pt>
                <c:pt idx="2">
                  <c:v>0.74213836477987427</c:v>
                </c:pt>
                <c:pt idx="3">
                  <c:v>0.83018867924528295</c:v>
                </c:pt>
                <c:pt idx="4">
                  <c:v>1</c:v>
                </c:pt>
              </c:numCache>
            </c:numRef>
          </c:yVal>
          <c:smooth val="0"/>
          <c:extLst>
            <c:ext xmlns:c16="http://schemas.microsoft.com/office/drawing/2014/chart" uri="{C3380CC4-5D6E-409C-BE32-E72D297353CC}">
              <c16:uniqueId val="{00000000-3B4D-4013-9015-2A681C36B50C}"/>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25 - </a:t>
            </a:r>
            <a:r>
              <a:rPr lang="pt-BR" sz="1100" b="0" i="0" u="none" strike="noStrike" baseline="0">
                <a:solidFill>
                  <a:sysClr val="windowText" lastClr="000000"/>
                </a:solidFill>
                <a:effectLst/>
              </a:rPr>
              <a:t>603465C</a:t>
            </a:r>
            <a:r>
              <a:rPr lang="pt-BR" sz="1400" b="0" i="0" u="none" strike="noStrike" baseline="0"/>
              <a:t> </a:t>
            </a:r>
            <a:r>
              <a:rPr lang="pt-BR" sz="1100" b="0" i="0" u="none" strike="noStrike" kern="1200" spc="0" baseline="0">
                <a:solidFill>
                  <a:sysClr val="windowText" lastClr="000000"/>
                </a:solidFill>
                <a:effectLst/>
              </a:rPr>
              <a:t>- Q4</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2'!$AR$3:$AR$7</c:f>
              <c:numCache>
                <c:formatCode>0.00</c:formatCode>
                <c:ptCount val="5"/>
                <c:pt idx="0">
                  <c:v>0.69696969696969691</c:v>
                </c:pt>
                <c:pt idx="1">
                  <c:v>0.64393939393939392</c:v>
                </c:pt>
                <c:pt idx="2">
                  <c:v>0.68939393939393945</c:v>
                </c:pt>
                <c:pt idx="3">
                  <c:v>0.81060606060606055</c:v>
                </c:pt>
                <c:pt idx="4">
                  <c:v>1</c:v>
                </c:pt>
              </c:numCache>
            </c:numRef>
          </c:yVal>
          <c:smooth val="0"/>
          <c:extLst>
            <c:ext xmlns:c16="http://schemas.microsoft.com/office/drawing/2014/chart" uri="{C3380CC4-5D6E-409C-BE32-E72D297353CC}">
              <c16:uniqueId val="{00000000-7F54-4805-BDCA-EFF404C271F1}"/>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26 - </a:t>
            </a:r>
            <a:r>
              <a:rPr lang="pt-BR" sz="1100" b="0" i="0" u="none" strike="noStrike" baseline="0">
                <a:solidFill>
                  <a:sysClr val="windowText" lastClr="000000"/>
                </a:solidFill>
                <a:effectLst/>
              </a:rPr>
              <a:t>PI070229</a:t>
            </a:r>
            <a:r>
              <a:rPr lang="pt-BR" sz="1400" b="0" i="0" u="none" strike="noStrike" baseline="0"/>
              <a:t> </a:t>
            </a:r>
            <a:r>
              <a:rPr lang="pt-BR" sz="1100" b="0" i="0" u="none" strike="noStrike" kern="1200" spc="0" baseline="0">
                <a:solidFill>
                  <a:sysClr val="windowText" lastClr="000000"/>
                </a:solidFill>
                <a:effectLst/>
              </a:rPr>
              <a:t>- Q2</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accent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2'!$AW$3:$AW$7</c:f>
              <c:numCache>
                <c:formatCode>0.00</c:formatCode>
                <c:ptCount val="5"/>
                <c:pt idx="0">
                  <c:v>0.62682926829268293</c:v>
                </c:pt>
                <c:pt idx="1">
                  <c:v>0.68292682926829262</c:v>
                </c:pt>
                <c:pt idx="2">
                  <c:v>0.83739837398373984</c:v>
                </c:pt>
                <c:pt idx="3">
                  <c:v>0.91869918699186992</c:v>
                </c:pt>
                <c:pt idx="4">
                  <c:v>1</c:v>
                </c:pt>
              </c:numCache>
            </c:numRef>
          </c:yVal>
          <c:smooth val="0"/>
          <c:extLst>
            <c:ext xmlns:c16="http://schemas.microsoft.com/office/drawing/2014/chart" uri="{C3380CC4-5D6E-409C-BE32-E72D297353CC}">
              <c16:uniqueId val="{00000000-C4B3-4085-9989-8DCCD60436D1}"/>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28 - </a:t>
            </a:r>
            <a:r>
              <a:rPr lang="pt-BR" sz="1100" b="0" i="0" u="none" strike="noStrike" kern="1200" spc="0" baseline="0">
                <a:solidFill>
                  <a:sysClr val="windowText" lastClr="000000"/>
                </a:solidFill>
                <a:effectLst/>
              </a:rPr>
              <a:t>PI398617 -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2'!$BB$3:$BB$7</c:f>
              <c:numCache>
                <c:formatCode>0.00</c:formatCode>
                <c:ptCount val="5"/>
                <c:pt idx="0">
                  <c:v>0.53179190751445082</c:v>
                </c:pt>
                <c:pt idx="1">
                  <c:v>0.65317919075144515</c:v>
                </c:pt>
                <c:pt idx="2">
                  <c:v>0.80346820809248554</c:v>
                </c:pt>
                <c:pt idx="3">
                  <c:v>0.96531791907514441</c:v>
                </c:pt>
                <c:pt idx="4">
                  <c:v>1</c:v>
                </c:pt>
              </c:numCache>
            </c:numRef>
          </c:yVal>
          <c:smooth val="0"/>
          <c:extLst>
            <c:ext xmlns:c16="http://schemas.microsoft.com/office/drawing/2014/chart" uri="{C3380CC4-5D6E-409C-BE32-E72D297353CC}">
              <c16:uniqueId val="{00000000-E2B4-49BF-832E-C2F675C6BFB2}"/>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30 - </a:t>
            </a:r>
            <a:r>
              <a:rPr lang="pt-BR" sz="1100" b="0" i="0" u="none" strike="noStrike" kern="1200" spc="0" baseline="0">
                <a:solidFill>
                  <a:sysClr val="windowText" lastClr="000000"/>
                </a:solidFill>
                <a:effectLst/>
              </a:rPr>
              <a:t>PI398617 -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2'!$BG$3:$BG$7</c:f>
              <c:numCache>
                <c:formatCode>0.00</c:formatCode>
                <c:ptCount val="5"/>
                <c:pt idx="0">
                  <c:v>0.54999999999999993</c:v>
                </c:pt>
                <c:pt idx="1">
                  <c:v>0.69166666666666676</c:v>
                </c:pt>
                <c:pt idx="2">
                  <c:v>1</c:v>
                </c:pt>
                <c:pt idx="3">
                  <c:v>0.96666666666666667</c:v>
                </c:pt>
                <c:pt idx="4">
                  <c:v>0.96774193548387089</c:v>
                </c:pt>
              </c:numCache>
            </c:numRef>
          </c:yVal>
          <c:smooth val="0"/>
          <c:extLst>
            <c:ext xmlns:c16="http://schemas.microsoft.com/office/drawing/2014/chart" uri="{C3380CC4-5D6E-409C-BE32-E72D297353CC}">
              <c16:uniqueId val="{00000000-EC05-4276-A205-5654F0098908}"/>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31 - </a:t>
            </a:r>
            <a:r>
              <a:rPr lang="pt-BR" sz="1100" b="0" i="0" u="none" strike="noStrike" baseline="0">
                <a:solidFill>
                  <a:sysClr val="windowText" lastClr="000000"/>
                </a:solidFill>
                <a:effectLst/>
              </a:rPr>
              <a:t>603465C</a:t>
            </a:r>
            <a:r>
              <a:rPr lang="pt-BR" sz="1400" b="0" i="0" u="none" strike="noStrike" baseline="0"/>
              <a:t> </a:t>
            </a:r>
            <a:r>
              <a:rPr lang="pt-BR" sz="1100" b="0" i="0" u="none" strike="noStrike" kern="1200" spc="0" baseline="0">
                <a:solidFill>
                  <a:sysClr val="windowText" lastClr="000000"/>
                </a:solidFill>
                <a:effectLst/>
              </a:rPr>
              <a:t>- Q4</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2'!$BL$3:$BL$7</c:f>
              <c:numCache>
                <c:formatCode>0.00</c:formatCode>
                <c:ptCount val="5"/>
                <c:pt idx="0">
                  <c:v>0.53846153846153844</c:v>
                </c:pt>
                <c:pt idx="1">
                  <c:v>0.66153846153846152</c:v>
                </c:pt>
                <c:pt idx="2">
                  <c:v>0.76923076923076927</c:v>
                </c:pt>
                <c:pt idx="3">
                  <c:v>0.87692307692307692</c:v>
                </c:pt>
                <c:pt idx="4">
                  <c:v>1</c:v>
                </c:pt>
              </c:numCache>
            </c:numRef>
          </c:yVal>
          <c:smooth val="0"/>
          <c:extLst>
            <c:ext xmlns:c16="http://schemas.microsoft.com/office/drawing/2014/chart" uri="{C3380CC4-5D6E-409C-BE32-E72D297353CC}">
              <c16:uniqueId val="{00000000-1D6C-4987-B29F-085AF2C0CB47}"/>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1">
                <a:solidFill>
                  <a:sysClr val="windowText" lastClr="000000"/>
                </a:solidFill>
              </a:rPr>
              <a:t>Pot</a:t>
            </a:r>
            <a:r>
              <a:rPr lang="pt-BR" sz="1100" b="1" baseline="0">
                <a:solidFill>
                  <a:sysClr val="windowText" lastClr="000000"/>
                </a:solidFill>
              </a:rPr>
              <a:t> 32 - </a:t>
            </a:r>
            <a:r>
              <a:rPr lang="pt-BR" sz="1100" b="0" i="0" u="none" strike="noStrike" baseline="0">
                <a:solidFill>
                  <a:sysClr val="windowText" lastClr="000000"/>
                </a:solidFill>
                <a:effectLst/>
              </a:rPr>
              <a:t>PI070229</a:t>
            </a:r>
            <a:r>
              <a:rPr lang="pt-BR" sz="1400" b="0" i="0" u="none" strike="noStrike" baseline="0"/>
              <a:t> </a:t>
            </a:r>
            <a:r>
              <a:rPr lang="pt-BR" sz="1100" b="0" i="0" u="none" strike="noStrike" kern="1200" spc="0" baseline="0">
                <a:solidFill>
                  <a:sysClr val="windowText" lastClr="000000"/>
                </a:solidFill>
                <a:effectLst/>
              </a:rPr>
              <a:t>- Q2</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accent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'RT day 2'!$BQ$3:$BQ$7</c:f>
              <c:numCache>
                <c:formatCode>0.00</c:formatCode>
                <c:ptCount val="5"/>
                <c:pt idx="0">
                  <c:v>0.50806451612903225</c:v>
                </c:pt>
                <c:pt idx="1">
                  <c:v>0.66935483870967749</c:v>
                </c:pt>
                <c:pt idx="2">
                  <c:v>0.72580645161290325</c:v>
                </c:pt>
                <c:pt idx="3">
                  <c:v>0.95161290322580649</c:v>
                </c:pt>
                <c:pt idx="4">
                  <c:v>1</c:v>
                </c:pt>
              </c:numCache>
            </c:numRef>
          </c:yVal>
          <c:smooth val="0"/>
          <c:extLst>
            <c:ext xmlns:c16="http://schemas.microsoft.com/office/drawing/2014/chart" uri="{C3380CC4-5D6E-409C-BE32-E72D297353CC}">
              <c16:uniqueId val="{00000000-86DE-460E-A870-8377DB9FA907}"/>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0" i="0" u="none" strike="noStrike" kern="1200" spc="0" baseline="0">
                <a:solidFill>
                  <a:sysClr val="windowText" lastClr="000000"/>
                </a:solidFill>
                <a:effectLst/>
              </a:rPr>
              <a:t>PI398617 - Q1</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'Genotype average D2'!$V$4:$V$8</c:f>
              <c:numCache>
                <c:formatCode>General</c:formatCode>
                <c:ptCount val="5"/>
                <c:pt idx="0" formatCode="0.0">
                  <c:v>1.1000000000000001</c:v>
                </c:pt>
                <c:pt idx="1">
                  <c:v>1.6</c:v>
                </c:pt>
                <c:pt idx="2" formatCode="0.0">
                  <c:v>2.1</c:v>
                </c:pt>
                <c:pt idx="3">
                  <c:v>2.7</c:v>
                </c:pt>
                <c:pt idx="4">
                  <c:v>3.5</c:v>
                </c:pt>
              </c:numCache>
            </c:numRef>
          </c:xVal>
          <c:yVal>
            <c:numRef>
              <c:f>'Genotype average D2'!$W$4:$W$8</c:f>
              <c:numCache>
                <c:formatCode>0.00</c:formatCode>
                <c:ptCount val="5"/>
                <c:pt idx="0">
                  <c:v>0.54</c:v>
                </c:pt>
                <c:pt idx="1">
                  <c:v>0.68</c:v>
                </c:pt>
                <c:pt idx="2">
                  <c:v>0.83</c:v>
                </c:pt>
                <c:pt idx="3">
                  <c:v>0.93</c:v>
                </c:pt>
                <c:pt idx="4">
                  <c:v>0.99</c:v>
                </c:pt>
              </c:numCache>
            </c:numRef>
          </c:yVal>
          <c:smooth val="0"/>
          <c:extLst>
            <c:ext xmlns:c16="http://schemas.microsoft.com/office/drawing/2014/chart" uri="{C3380CC4-5D6E-409C-BE32-E72D297353CC}">
              <c16:uniqueId val="{00000000-5B04-4CA4-B7F9-AE9448CCF3A3}"/>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0" i="0" u="none" strike="noStrike" baseline="0">
                <a:solidFill>
                  <a:sysClr val="windowText" lastClr="000000"/>
                </a:solidFill>
                <a:effectLst/>
              </a:rPr>
              <a:t>PI070229</a:t>
            </a:r>
            <a:r>
              <a:rPr lang="pt-BR" sz="1400" b="0" i="0" u="none" strike="noStrike" baseline="0"/>
              <a:t> </a:t>
            </a:r>
            <a:r>
              <a:rPr lang="pt-BR" sz="1100" b="0" i="0" u="none" strike="noStrike" kern="1200" spc="0" baseline="0">
                <a:solidFill>
                  <a:sysClr val="windowText" lastClr="000000"/>
                </a:solidFill>
                <a:effectLst/>
              </a:rPr>
              <a:t>- Q2</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'Genotype average D2'!$W$14:$W$18</c:f>
              <c:numCache>
                <c:formatCode>0.00</c:formatCode>
                <c:ptCount val="5"/>
                <c:pt idx="0">
                  <c:v>0.62</c:v>
                </c:pt>
                <c:pt idx="1">
                  <c:v>0.71</c:v>
                </c:pt>
                <c:pt idx="2">
                  <c:v>0.83</c:v>
                </c:pt>
                <c:pt idx="3">
                  <c:v>0.94</c:v>
                </c:pt>
                <c:pt idx="4">
                  <c:v>1</c:v>
                </c:pt>
              </c:numCache>
            </c:numRef>
          </c:yVal>
          <c:smooth val="0"/>
          <c:extLst>
            <c:ext xmlns:c16="http://schemas.microsoft.com/office/drawing/2014/chart" uri="{C3380CC4-5D6E-409C-BE32-E72D297353CC}">
              <c16:uniqueId val="{00000000-7CF9-4A7A-9A10-37BF27FC185B}"/>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0" i="0" u="none" strike="noStrike" baseline="0">
                <a:solidFill>
                  <a:sysClr val="windowText" lastClr="000000"/>
                </a:solidFill>
                <a:effectLst/>
              </a:rPr>
              <a:t>PI423802</a:t>
            </a:r>
            <a:r>
              <a:rPr lang="pt-BR" sz="1400" b="0" i="0" u="none" strike="noStrike" baseline="0"/>
              <a:t> </a:t>
            </a:r>
            <a:r>
              <a:rPr lang="pt-BR" sz="1100" b="0" i="0" u="none" strike="noStrike" kern="1200" spc="0" baseline="0">
                <a:solidFill>
                  <a:sysClr val="windowText" lastClr="000000"/>
                </a:solidFill>
                <a:effectLst/>
              </a:rPr>
              <a:t>- Q3</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tx>
            <c:v>Transpiration</c:v>
          </c:tx>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'Genotype average D2'!$W$24:$W$28</c:f>
              <c:numCache>
                <c:formatCode>0.00</c:formatCode>
                <c:ptCount val="5"/>
                <c:pt idx="0">
                  <c:v>0.7</c:v>
                </c:pt>
                <c:pt idx="1">
                  <c:v>0.76</c:v>
                </c:pt>
                <c:pt idx="2">
                  <c:v>0.79</c:v>
                </c:pt>
                <c:pt idx="3">
                  <c:v>0.95</c:v>
                </c:pt>
                <c:pt idx="4">
                  <c:v>1</c:v>
                </c:pt>
              </c:numCache>
            </c:numRef>
          </c:yVal>
          <c:smooth val="0"/>
          <c:extLst>
            <c:ext xmlns:c16="http://schemas.microsoft.com/office/drawing/2014/chart" uri="{C3380CC4-5D6E-409C-BE32-E72D297353CC}">
              <c16:uniqueId val="{00000000-9F0E-451B-AA7B-248A833F4247}"/>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sz="1100" b="0" i="0" u="none" strike="noStrike" baseline="0">
                <a:solidFill>
                  <a:sysClr val="windowText" lastClr="000000"/>
                </a:solidFill>
                <a:effectLst/>
              </a:rPr>
              <a:t>603465C</a:t>
            </a:r>
            <a:r>
              <a:rPr lang="pt-BR" sz="1400" b="0" i="0" u="none" strike="noStrike" baseline="0"/>
              <a:t> </a:t>
            </a:r>
            <a:r>
              <a:rPr lang="pt-BR" sz="1100" b="0" i="0" u="none" strike="noStrike" kern="1200" spc="0" baseline="0">
                <a:solidFill>
                  <a:sysClr val="windowText" lastClr="000000"/>
                </a:solidFill>
                <a:effectLst/>
              </a:rPr>
              <a:t>- Q4</a:t>
            </a:r>
            <a:endParaRPr lang="pt-BR" sz="1100" b="1" baseline="0">
              <a:solidFill>
                <a:sysClr val="windowText" lastClr="000000"/>
              </a:solidFill>
            </a:endParaRPr>
          </a:p>
          <a:p>
            <a:pPr>
              <a:defRPr/>
            </a:pPr>
            <a:r>
              <a:rPr lang="pt-BR" sz="1100" b="1" baseline="0">
                <a:solidFill>
                  <a:sysClr val="windowText" lastClr="000000"/>
                </a:solidFill>
              </a:rPr>
              <a:t> </a:t>
            </a:r>
            <a:r>
              <a:rPr lang="pt-BR" sz="1100" b="0" baseline="0">
                <a:solidFill>
                  <a:sysClr val="windowText" lastClr="000000"/>
                </a:solidFill>
              </a:rPr>
              <a:t>Day 2</a:t>
            </a:r>
          </a:p>
          <a:p>
            <a:pPr>
              <a:defRPr/>
            </a:pPr>
            <a:endParaRPr lang="pt-BR" sz="1100" b="0" baseline="0">
              <a:solidFill>
                <a:sysClr val="windowText" lastClr="000000"/>
              </a:solidFill>
            </a:endParaRPr>
          </a:p>
          <a:p>
            <a:pPr>
              <a:defRPr/>
            </a:pPr>
            <a:r>
              <a:rPr lang="pt-BR" sz="1100" b="0" i="0" u="none" strike="noStrike" baseline="0">
                <a:solidFill>
                  <a:sysClr val="windowText" lastClr="000000"/>
                </a:solidFill>
              </a:rPr>
              <a:t> </a:t>
            </a:r>
            <a:endParaRPr lang="pt-BR" sz="1100" b="0">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scatterChart>
        <c:scatterStyle val="lineMarker"/>
        <c:varyColors val="0"/>
        <c:ser>
          <c:idx val="0"/>
          <c:order val="0"/>
          <c:spPr>
            <a:ln w="25400" cap="rnd">
              <a:noFill/>
              <a:round/>
            </a:ln>
            <a:effectLst/>
          </c:spPr>
          <c:marker>
            <c:symbol val="circle"/>
            <c:size val="5"/>
            <c:spPr>
              <a:solidFill>
                <a:srgbClr val="C00000"/>
              </a:solidFill>
              <a:ln w="9525">
                <a:solidFill>
                  <a:schemeClr val="tx1"/>
                </a:solidFill>
              </a:ln>
              <a:effectLst/>
            </c:spPr>
          </c:marker>
          <c:xVal>
            <c:numRef>
              <c:f>'RT day 2'!$A$3:$A$7</c:f>
              <c:numCache>
                <c:formatCode>General</c:formatCode>
                <c:ptCount val="5"/>
                <c:pt idx="0" formatCode="0.0">
                  <c:v>1.1000000000000001</c:v>
                </c:pt>
                <c:pt idx="1">
                  <c:v>1.6</c:v>
                </c:pt>
                <c:pt idx="2" formatCode="0.0">
                  <c:v>2.1</c:v>
                </c:pt>
                <c:pt idx="3">
                  <c:v>2.7</c:v>
                </c:pt>
                <c:pt idx="4">
                  <c:v>3.5</c:v>
                </c:pt>
              </c:numCache>
            </c:numRef>
          </c:xVal>
          <c:yVal>
            <c:numRef>
              <c:f>'Genotype average D2'!$W$34:$W$38</c:f>
              <c:numCache>
                <c:formatCode>0.00</c:formatCode>
                <c:ptCount val="5"/>
                <c:pt idx="0">
                  <c:v>0.6</c:v>
                </c:pt>
                <c:pt idx="1">
                  <c:v>0.66</c:v>
                </c:pt>
                <c:pt idx="2">
                  <c:v>0.73</c:v>
                </c:pt>
                <c:pt idx="3">
                  <c:v>0.86</c:v>
                </c:pt>
                <c:pt idx="4">
                  <c:v>1</c:v>
                </c:pt>
              </c:numCache>
            </c:numRef>
          </c:yVal>
          <c:smooth val="0"/>
          <c:extLst>
            <c:ext xmlns:c16="http://schemas.microsoft.com/office/drawing/2014/chart" uri="{C3380CC4-5D6E-409C-BE32-E72D297353CC}">
              <c16:uniqueId val="{00000000-AD94-41D5-92D8-E7B6813D0FCD}"/>
            </c:ext>
          </c:extLst>
        </c:ser>
        <c:dLbls>
          <c:showLegendKey val="0"/>
          <c:showVal val="0"/>
          <c:showCatName val="0"/>
          <c:showSerName val="0"/>
          <c:showPercent val="0"/>
          <c:showBubbleSize val="0"/>
        </c:dLbls>
        <c:axId val="484273088"/>
        <c:axId val="484286048"/>
      </c:scatterChart>
      <c:valAx>
        <c:axId val="484273088"/>
        <c:scaling>
          <c:orientation val="minMax"/>
          <c:max val="4"/>
          <c:min val="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VPD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86048"/>
        <c:crosses val="autoZero"/>
        <c:crossBetween val="midCat"/>
      </c:valAx>
      <c:valAx>
        <c:axId val="484286048"/>
        <c:scaling>
          <c:orientation val="minMax"/>
          <c:max val="1.2"/>
          <c:min val="0.2"/>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RT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4842730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5_1">
  <dgm:title val=""/>
  <dgm:desc val=""/>
  <dgm:catLst>
    <dgm:cat type="accent5" pri="11100"/>
  </dgm:catLst>
  <dgm:styleLbl name="node0">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5">
        <a:shade val="80000"/>
      </a:schemeClr>
    </dgm:linClrLst>
    <dgm:effectClrLst/>
    <dgm:txLinClrLst/>
    <dgm:txFillClrLst/>
    <dgm:txEffectClrLst/>
  </dgm:styleLbl>
  <dgm:styleLbl name="node2">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fgImgPlace1">
    <dgm:fillClrLst meth="repeat">
      <a:schemeClr val="accent5">
        <a:tint val="40000"/>
      </a:schemeClr>
    </dgm:fillClrLst>
    <dgm:linClrLst meth="repeat">
      <a:schemeClr val="accent5">
        <a:shade val="80000"/>
      </a:schemeClr>
    </dgm:linClrLst>
    <dgm:effectClrLst/>
    <dgm:txLinClrLst/>
    <dgm:txFillClrLst meth="repeat">
      <a:schemeClr val="lt1"/>
    </dgm:txFillClrLst>
    <dgm:txEffectClrLst/>
  </dgm:styleLbl>
  <dgm:styleLbl name="alignImgPlace1">
    <dgm:fillClrLst meth="repeat">
      <a:schemeClr val="accent5">
        <a:tint val="40000"/>
      </a:schemeClr>
    </dgm:fillClrLst>
    <dgm:linClrLst meth="repeat">
      <a:schemeClr val="accent5">
        <a:shade val="80000"/>
      </a:schemeClr>
    </dgm:linClrLst>
    <dgm:effectClrLst/>
    <dgm:txLinClrLst/>
    <dgm:txFillClrLst meth="repeat">
      <a:schemeClr val="lt1"/>
    </dgm:txFillClrLst>
    <dgm:txEffectClrLst/>
  </dgm:styleLbl>
  <dgm:styleLbl name="bgImgPlace1">
    <dgm:fillClrLst meth="repeat">
      <a:schemeClr val="accent5">
        <a:tint val="40000"/>
      </a:schemeClr>
    </dgm:fillClrLst>
    <dgm:linClrLst meth="repeat">
      <a:schemeClr val="accent5">
        <a:shade val="80000"/>
      </a:schemeClr>
    </dgm:linClrLst>
    <dgm:effectClrLst/>
    <dgm:txLinClrLst/>
    <dgm:txFillClrLst meth="repeat">
      <a:schemeClr val="lt1"/>
    </dgm:txFillClrLst>
    <dgm:txEffectClrLst/>
  </dgm:styleLbl>
  <dgm:styleLbl name="sibTrans2D1">
    <dgm:fillClrLst meth="repeat">
      <a:schemeClr val="accent5">
        <a:tint val="60000"/>
      </a:schemeClr>
    </dgm:fillClrLst>
    <dgm:linClrLst meth="repeat">
      <a:schemeClr val="accent5">
        <a:tint val="60000"/>
      </a:schemeClr>
    </dgm:linClrLst>
    <dgm:effectClrLst/>
    <dgm:txLinClrLst/>
    <dgm:txFillClrLst meth="repeat">
      <a:schemeClr val="dk1"/>
    </dgm:txFillClrLst>
    <dgm:txEffectClrLst/>
  </dgm:styleLbl>
  <dgm:styleLbl name="fgSibTrans2D1">
    <dgm:fillClrLst meth="repeat">
      <a:schemeClr val="accent5">
        <a:tint val="60000"/>
      </a:schemeClr>
    </dgm:fillClrLst>
    <dgm:linClrLst meth="repeat">
      <a:schemeClr val="accent5">
        <a:tint val="60000"/>
      </a:schemeClr>
    </dgm:linClrLst>
    <dgm:effectClrLst/>
    <dgm:txLinClrLst/>
    <dgm:txFillClrLst meth="repeat">
      <a:schemeClr val="dk1"/>
    </dgm:txFillClrLst>
    <dgm:txEffectClrLst/>
  </dgm:styleLbl>
  <dgm:styleLbl name="bgSibTrans2D1">
    <dgm:fillClrLst meth="repeat">
      <a:schemeClr val="accent5">
        <a:tint val="60000"/>
      </a:schemeClr>
    </dgm:fillClrLst>
    <dgm:linClrLst meth="repeat">
      <a:schemeClr val="accent5">
        <a:tint val="60000"/>
      </a:schemeClr>
    </dgm:linClrLst>
    <dgm:effectClrLst/>
    <dgm:txLinClrLst/>
    <dgm:txFillClrLst meth="repeat">
      <a:schemeClr val="dk1"/>
    </dgm:txFillClrLst>
    <dgm:txEffectClrLst/>
  </dgm:styleLbl>
  <dgm:styleLbl name="sibTrans1D1">
    <dgm:fillClrLst meth="repeat">
      <a:schemeClr val="accent5"/>
    </dgm:fillClrLst>
    <dgm:linClrLst meth="repeat">
      <a:schemeClr val="accent5"/>
    </dgm:linClrLst>
    <dgm:effectClrLst/>
    <dgm:txLinClrLst/>
    <dgm:txFillClrLst meth="repeat">
      <a:schemeClr val="tx1"/>
    </dgm:txFillClrLst>
    <dgm:txEffectClrLst/>
  </dgm:styleLbl>
  <dgm:styleLbl name="callout">
    <dgm:fillClrLst meth="repeat">
      <a:schemeClr val="accent5"/>
    </dgm:fillClrLst>
    <dgm:linClrLst meth="repeat">
      <a:schemeClr val="accent5"/>
    </dgm:linClrLst>
    <dgm:effectClrLst/>
    <dgm:txLinClrLst/>
    <dgm:txFillClrLst meth="repeat">
      <a:schemeClr val="tx1"/>
    </dgm:txFillClrLst>
    <dgm:txEffectClrLst/>
  </dgm:styleLbl>
  <dgm:styleLbl name="asst0">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5">
        <a:shade val="80000"/>
      </a:schemeClr>
    </dgm:linClrLst>
    <dgm:effectClrLst/>
    <dgm:txLinClrLst/>
    <dgm:txFillClrLst meth="repeat">
      <a:schemeClr val="dk1"/>
    </dgm:txFillClrLst>
    <dgm:txEffectClrLst/>
  </dgm:styleLbl>
  <dgm:styleLbl name="parChTrans2D1">
    <dgm:fillClrLst meth="repeat">
      <a:schemeClr val="accent5">
        <a:tint val="60000"/>
      </a:schemeClr>
    </dgm:fillClrLst>
    <dgm:linClrLst meth="repeat">
      <a:schemeClr val="accent5">
        <a:tint val="60000"/>
      </a:schemeClr>
    </dgm:linClrLst>
    <dgm:effectClrLst/>
    <dgm:txLinClrLst/>
    <dgm:txFillClrLst/>
    <dgm:txEffectClrLst/>
  </dgm:styleLbl>
  <dgm:styleLbl name="parChTrans2D2">
    <dgm:fillClrLst meth="repeat">
      <a:schemeClr val="accent5"/>
    </dgm:fillClrLst>
    <dgm:linClrLst meth="repeat">
      <a:schemeClr val="accent5"/>
    </dgm:linClrLst>
    <dgm:effectClrLst/>
    <dgm:txLinClrLst/>
    <dgm:txFillClrLst/>
    <dgm:txEffectClrLst/>
  </dgm:styleLbl>
  <dgm:styleLbl name="parChTrans2D3">
    <dgm:fillClrLst meth="repeat">
      <a:schemeClr val="accent5"/>
    </dgm:fillClrLst>
    <dgm:linClrLst meth="repeat">
      <a:schemeClr val="accent5"/>
    </dgm:linClrLst>
    <dgm:effectClrLst/>
    <dgm:txLinClrLst/>
    <dgm:txFillClrLst/>
    <dgm:txEffectClrLst/>
  </dgm:styleLbl>
  <dgm:styleLbl name="parChTrans2D4">
    <dgm:fillClrLst meth="repeat">
      <a:schemeClr val="accent5"/>
    </dgm:fillClrLst>
    <dgm:linClrLst meth="repeat">
      <a:schemeClr val="accent5"/>
    </dgm:linClrLst>
    <dgm:effectClrLst/>
    <dgm:txLinClrLst/>
    <dgm:txFillClrLst meth="repeat">
      <a:schemeClr val="lt1"/>
    </dgm:txFillClrLst>
    <dgm:txEffectClrLst/>
  </dgm:styleLbl>
  <dgm:styleLbl name="parChTrans1D1">
    <dgm:fillClrLst meth="repeat">
      <a:schemeClr val="accent5"/>
    </dgm:fillClrLst>
    <dgm:linClrLst meth="repeat">
      <a:schemeClr val="accent5">
        <a:shade val="60000"/>
      </a:schemeClr>
    </dgm:linClrLst>
    <dgm:effectClrLst/>
    <dgm:txLinClrLst/>
    <dgm:txFillClrLst meth="repeat">
      <a:schemeClr val="tx1"/>
    </dgm:txFillClrLst>
    <dgm:txEffectClrLst/>
  </dgm:styleLbl>
  <dgm:styleLbl name="parChTrans1D2">
    <dgm:fillClrLst meth="repeat">
      <a:schemeClr val="accent5"/>
    </dgm:fillClrLst>
    <dgm:linClrLst meth="repeat">
      <a:schemeClr val="accent5">
        <a:shade val="60000"/>
      </a:schemeClr>
    </dgm:linClrLst>
    <dgm:effectClrLst/>
    <dgm:txLinClrLst/>
    <dgm:txFillClrLst meth="repeat">
      <a:schemeClr val="tx1"/>
    </dgm:txFillClrLst>
    <dgm:txEffectClrLst/>
  </dgm:styleLbl>
  <dgm:styleLbl name="parChTrans1D3">
    <dgm:fillClrLst meth="repeat">
      <a:schemeClr val="accent5"/>
    </dgm:fillClrLst>
    <dgm:linClrLst meth="repeat">
      <a:schemeClr val="accent5">
        <a:shade val="80000"/>
      </a:schemeClr>
    </dgm:linClrLst>
    <dgm:effectClrLst/>
    <dgm:txLinClrLst/>
    <dgm:txFillClrLst meth="repeat">
      <a:schemeClr val="tx1"/>
    </dgm:txFillClrLst>
    <dgm:txEffectClrLst/>
  </dgm:styleLbl>
  <dgm:styleLbl name="parChTrans1D4">
    <dgm:fillClrLst meth="repeat">
      <a:schemeClr val="accent5"/>
    </dgm:fillClrLst>
    <dgm:linClrLst meth="repeat">
      <a:schemeClr val="accent5">
        <a:shade val="80000"/>
      </a:schemeClr>
    </dgm:linClrLst>
    <dgm:effectClrLst/>
    <dgm:txLinClrLst/>
    <dgm:txFillClrLst meth="repeat">
      <a:schemeClr val="tx1"/>
    </dgm:txFillClrLst>
    <dgm:txEffectClrLst/>
  </dgm:styleLbl>
  <dgm:styleLbl name="fgAcc1">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conFgAcc1">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alignAcc1">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trAlignAcc1">
    <dgm:fillClrLst meth="repeat">
      <a:schemeClr val="accent5">
        <a:alpha val="40000"/>
        <a:tint val="40000"/>
      </a:schemeClr>
    </dgm:fillClrLst>
    <dgm:linClrLst meth="repeat">
      <a:schemeClr val="accent5"/>
    </dgm:linClrLst>
    <dgm:effectClrLst/>
    <dgm:txLinClrLst/>
    <dgm:txFillClrLst meth="repeat">
      <a:schemeClr val="dk1"/>
    </dgm:txFillClrLst>
    <dgm:txEffectClrLst/>
  </dgm:styleLbl>
  <dgm:styleLbl name="bgAcc1">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solidFgAcc1">
    <dgm:fillClrLst meth="repeat">
      <a:schemeClr val="lt1"/>
    </dgm:fillClrLst>
    <dgm:linClrLst meth="repeat">
      <a:schemeClr val="accent5"/>
    </dgm:linClrLst>
    <dgm:effectClrLst/>
    <dgm:txLinClrLst/>
    <dgm:txFillClrLst meth="repeat">
      <a:schemeClr val="dk1"/>
    </dgm:txFillClrLst>
    <dgm:txEffectClrLst/>
  </dgm:styleLbl>
  <dgm:styleLbl name="solidAlignAcc1">
    <dgm:fillClrLst meth="repeat">
      <a:schemeClr val="lt1"/>
    </dgm:fillClrLst>
    <dgm:linClrLst meth="repeat">
      <a:schemeClr val="accent5"/>
    </dgm:linClrLst>
    <dgm:effectClrLst/>
    <dgm:txLinClrLst/>
    <dgm:txFillClrLst meth="repeat">
      <a:schemeClr val="dk1"/>
    </dgm:txFillClrLst>
    <dgm:txEffectClrLst/>
  </dgm:styleLbl>
  <dgm:styleLbl name="solidBgAcc1">
    <dgm:fillClrLst meth="repeat">
      <a:schemeClr val="lt1"/>
    </dgm:fillClrLst>
    <dgm:linClrLst meth="repeat">
      <a:schemeClr val="accent5"/>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5">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5">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5">
        <a:alpha val="90000"/>
      </a:schemeClr>
    </dgm:linClrLst>
    <dgm:effectClrLst/>
    <dgm:txLinClrLst/>
    <dgm:txFillClrLst meth="repeat">
      <a:schemeClr val="dk1"/>
    </dgm:txFillClrLst>
    <dgm:txEffectClrLst/>
  </dgm:styleLbl>
  <dgm:styleLbl name="fgAcc0">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fgAcc2">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fgAcc3">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fgAcc4">
    <dgm:fillClrLst meth="repeat">
      <a:schemeClr val="accent5">
        <a:alpha val="90000"/>
        <a:tint val="40000"/>
      </a:schemeClr>
    </dgm:fillClrLst>
    <dgm:linClrLst meth="repeat">
      <a:schemeClr val="accent5"/>
    </dgm:linClrLst>
    <dgm:effectClrLst/>
    <dgm:txLinClrLst/>
    <dgm:txFillClrLst meth="repeat">
      <a:schemeClr val="dk1"/>
    </dgm:txFillClrLst>
    <dgm:txEffectClrLst/>
  </dgm:styleLbl>
  <dgm:styleLbl name="bgShp">
    <dgm:fillClrLst meth="repeat">
      <a:schemeClr val="accent5">
        <a:tint val="40000"/>
      </a:schemeClr>
    </dgm:fillClrLst>
    <dgm:linClrLst meth="repeat">
      <a:schemeClr val="accent5"/>
    </dgm:linClrLst>
    <dgm:effectClrLst/>
    <dgm:txLinClrLst/>
    <dgm:txFillClrLst meth="repeat">
      <a:schemeClr val="dk1"/>
    </dgm:txFillClrLst>
    <dgm:txEffectClrLst/>
  </dgm:styleLbl>
  <dgm:styleLbl name="dkBgShp">
    <dgm:fillClrLst meth="repeat">
      <a:schemeClr val="accent5">
        <a:shade val="80000"/>
      </a:schemeClr>
    </dgm:fillClrLst>
    <dgm:linClrLst meth="repeat">
      <a:schemeClr val="accent5"/>
    </dgm:linClrLst>
    <dgm:effectClrLst/>
    <dgm:txLinClrLst/>
    <dgm:txFillClrLst meth="repeat">
      <a:schemeClr val="lt1"/>
    </dgm:txFillClrLst>
    <dgm:txEffectClrLst/>
  </dgm:styleLbl>
  <dgm:styleLbl name="trBgShp">
    <dgm:fillClrLst meth="repeat">
      <a:schemeClr val="accent5">
        <a:tint val="50000"/>
        <a:alpha val="40000"/>
      </a:schemeClr>
    </dgm:fillClrLst>
    <dgm:linClrLst meth="repeat">
      <a:schemeClr val="accent5"/>
    </dgm:linClrLst>
    <dgm:effectClrLst/>
    <dgm:txLinClrLst/>
    <dgm:txFillClrLst meth="repeat">
      <a:schemeClr val="lt1"/>
    </dgm:txFillClrLst>
    <dgm:txEffectClrLst/>
  </dgm:styleLbl>
  <dgm:styleLbl name="fgShp">
    <dgm:fillClrLst meth="repeat">
      <a:schemeClr val="accent5">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2_1">
  <dgm:title val=""/>
  <dgm:desc val=""/>
  <dgm:catLst>
    <dgm:cat type="accent2" pri="11100"/>
  </dgm:catLst>
  <dgm:styleLbl name="node0">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2">
        <a:shade val="80000"/>
      </a:schemeClr>
    </dgm:linClrLst>
    <dgm:effectClrLst/>
    <dgm:txLinClrLst/>
    <dgm:txFillClrLst/>
    <dgm:txEffectClrLst/>
  </dgm:styleLbl>
  <dgm:styleLbl name="node2">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fgImgPlace1">
    <dgm:fillClrLst meth="repeat">
      <a:schemeClr val="accent2">
        <a:tint val="40000"/>
      </a:schemeClr>
    </dgm:fillClrLst>
    <dgm:linClrLst meth="repeat">
      <a:schemeClr val="accent2">
        <a:shade val="80000"/>
      </a:schemeClr>
    </dgm:linClrLst>
    <dgm:effectClrLst/>
    <dgm:txLinClrLst/>
    <dgm:txFillClrLst meth="repeat">
      <a:schemeClr val="lt1"/>
    </dgm:txFillClrLst>
    <dgm:txEffectClrLst/>
  </dgm:styleLbl>
  <dgm:styleLbl name="alignImgPlace1">
    <dgm:fillClrLst meth="repeat">
      <a:schemeClr val="accent2">
        <a:tint val="40000"/>
      </a:schemeClr>
    </dgm:fillClrLst>
    <dgm:linClrLst meth="repeat">
      <a:schemeClr val="accent2">
        <a:shade val="80000"/>
      </a:schemeClr>
    </dgm:linClrLst>
    <dgm:effectClrLst/>
    <dgm:txLinClrLst/>
    <dgm:txFillClrLst meth="repeat">
      <a:schemeClr val="lt1"/>
    </dgm:txFillClrLst>
    <dgm:txEffectClrLst/>
  </dgm:styleLbl>
  <dgm:styleLbl name="bgImgPlace1">
    <dgm:fillClrLst meth="repeat">
      <a:schemeClr val="accent2">
        <a:tint val="40000"/>
      </a:schemeClr>
    </dgm:fillClrLst>
    <dgm:linClrLst meth="repeat">
      <a:schemeClr val="accent2">
        <a:shade val="80000"/>
      </a:schemeClr>
    </dgm:linClrLst>
    <dgm:effectClrLst/>
    <dgm:txLinClrLst/>
    <dgm:txFillClrLst meth="repeat">
      <a:schemeClr val="lt1"/>
    </dgm:txFillClrLst>
    <dgm:txEffectClrLst/>
  </dgm:styleLbl>
  <dgm:styleLbl name="sibTrans2D1">
    <dgm:fillClrLst meth="repeat">
      <a:schemeClr val="accent2">
        <a:tint val="60000"/>
      </a:schemeClr>
    </dgm:fillClrLst>
    <dgm:linClrLst meth="repeat">
      <a:schemeClr val="accent2">
        <a:tint val="60000"/>
      </a:schemeClr>
    </dgm:linClrLst>
    <dgm:effectClrLst/>
    <dgm:txLinClrLst/>
    <dgm:txFillClrLst meth="repeat">
      <a:schemeClr val="dk1"/>
    </dgm:txFillClrLst>
    <dgm:txEffectClrLst/>
  </dgm:styleLbl>
  <dgm:styleLbl name="fgSibTrans2D1">
    <dgm:fillClrLst meth="repeat">
      <a:schemeClr val="accent2">
        <a:tint val="60000"/>
      </a:schemeClr>
    </dgm:fillClrLst>
    <dgm:linClrLst meth="repeat">
      <a:schemeClr val="accent2">
        <a:tint val="60000"/>
      </a:schemeClr>
    </dgm:linClrLst>
    <dgm:effectClrLst/>
    <dgm:txLinClrLst/>
    <dgm:txFillClrLst meth="repeat">
      <a:schemeClr val="dk1"/>
    </dgm:txFillClrLst>
    <dgm:txEffectClrLst/>
  </dgm:styleLbl>
  <dgm:styleLbl name="bgSibTrans2D1">
    <dgm:fillClrLst meth="repeat">
      <a:schemeClr val="accent2">
        <a:tint val="60000"/>
      </a:schemeClr>
    </dgm:fillClrLst>
    <dgm:linClrLst meth="repeat">
      <a:schemeClr val="accent2">
        <a:tint val="60000"/>
      </a:schemeClr>
    </dgm:linClrLst>
    <dgm:effectClrLst/>
    <dgm:txLinClrLst/>
    <dgm:txFillClrLst meth="repeat">
      <a:schemeClr val="dk1"/>
    </dgm:txFillClrLst>
    <dgm:txEffectClrLst/>
  </dgm:styleLbl>
  <dgm:styleLbl name="sibTrans1D1">
    <dgm:fillClrLst meth="repeat">
      <a:schemeClr val="accent2"/>
    </dgm:fillClrLst>
    <dgm:linClrLst meth="repeat">
      <a:schemeClr val="accent2"/>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parChTrans2D1">
    <dgm:fillClrLst meth="repeat">
      <a:schemeClr val="accent2">
        <a:tint val="60000"/>
      </a:schemeClr>
    </dgm:fillClrLst>
    <dgm:linClrLst meth="repeat">
      <a:schemeClr val="accent2">
        <a:tint val="60000"/>
      </a:schemeClr>
    </dgm:linClrLst>
    <dgm:effectClrLst/>
    <dgm:txLinClrLst/>
    <dgm:txFillClrLst/>
    <dgm:txEffectClrLst/>
  </dgm:styleLbl>
  <dgm:styleLbl name="parChTrans2D2">
    <dgm:fillClrLst meth="repeat">
      <a:schemeClr val="accent2"/>
    </dgm:fillClrLst>
    <dgm:linClrLst meth="repeat">
      <a:schemeClr val="accent2"/>
    </dgm:linClrLst>
    <dgm:effectClrLst/>
    <dgm:txLinClrLst/>
    <dgm:txFillClrLst/>
    <dgm:txEffectClrLst/>
  </dgm:styleLbl>
  <dgm:styleLbl name="parChTrans2D3">
    <dgm:fillClrLst meth="repeat">
      <a:schemeClr val="accent2"/>
    </dgm:fillClrLst>
    <dgm:linClrLst meth="repeat">
      <a:schemeClr val="accent2"/>
    </dgm:linClrLst>
    <dgm:effectClrLst/>
    <dgm:txLinClrLst/>
    <dgm:txFillClrLst/>
    <dgm:txEffectClrLst/>
  </dgm:styleLbl>
  <dgm:styleLbl name="parChTrans2D4">
    <dgm:fillClrLst meth="repeat">
      <a:schemeClr val="accent2"/>
    </dgm:fillClrLst>
    <dgm:linClrLst meth="repeat">
      <a:schemeClr val="accent2"/>
    </dgm:linClrLst>
    <dgm:effectClrLst/>
    <dgm:txLinClrLst/>
    <dgm:txFillClrLst meth="repeat">
      <a:schemeClr val="lt1"/>
    </dgm:txFillClrLst>
    <dgm:txEffectClrLst/>
  </dgm:styleLbl>
  <dgm:styleLbl name="parChTrans1D1">
    <dgm:fillClrLst meth="repeat">
      <a:schemeClr val="accent2"/>
    </dgm:fillClrLst>
    <dgm:linClrLst meth="repeat">
      <a:schemeClr val="accent2">
        <a:shade val="60000"/>
      </a:schemeClr>
    </dgm:linClrLst>
    <dgm:effectClrLst/>
    <dgm:txLinClrLst/>
    <dgm:txFillClrLst meth="repeat">
      <a:schemeClr val="tx1"/>
    </dgm:txFillClrLst>
    <dgm:txEffectClrLst/>
  </dgm:styleLbl>
  <dgm:styleLbl name="parChTrans1D2">
    <dgm:fillClrLst meth="repeat">
      <a:schemeClr val="accent2"/>
    </dgm:fillClrLst>
    <dgm:linClrLst meth="repeat">
      <a:schemeClr val="accent2">
        <a:shade val="60000"/>
      </a:schemeClr>
    </dgm:linClrLst>
    <dgm:effectClrLst/>
    <dgm:txLinClrLst/>
    <dgm:txFillClrLst meth="repeat">
      <a:schemeClr val="tx1"/>
    </dgm:txFillClrLst>
    <dgm:txEffectClrLst/>
  </dgm:styleLbl>
  <dgm:styleLbl name="parChTrans1D3">
    <dgm:fillClrLst meth="repeat">
      <a:schemeClr val="accent2"/>
    </dgm:fillClrLst>
    <dgm:linClrLst meth="repeat">
      <a:schemeClr val="accent2">
        <a:shade val="80000"/>
      </a:schemeClr>
    </dgm:linClrLst>
    <dgm:effectClrLst/>
    <dgm:txLinClrLst/>
    <dgm:txFillClrLst meth="repeat">
      <a:schemeClr val="tx1"/>
    </dgm:txFillClrLst>
    <dgm:txEffectClrLst/>
  </dgm:styleLbl>
  <dgm:styleLbl name="parChTrans1D4">
    <dgm:fillClrLst meth="repeat">
      <a:schemeClr val="accent2"/>
    </dgm:fillClrLst>
    <dgm:linClrLst meth="repeat">
      <a:schemeClr val="accent2">
        <a:shade val="80000"/>
      </a:schemeClr>
    </dgm:linClrLst>
    <dgm:effectClrLst/>
    <dgm:txLinClrLst/>
    <dgm:txFillClrLst meth="repeat">
      <a:schemeClr val="tx1"/>
    </dgm:txFillClrLst>
    <dgm:txEffectClrLst/>
  </dgm:styleLbl>
  <dgm:styleLbl name="fg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conFg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align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trAlignAcc1">
    <dgm:fillClrLst meth="repeat">
      <a:schemeClr val="accent2">
        <a:alpha val="40000"/>
        <a:tint val="40000"/>
      </a:schemeClr>
    </dgm:fillClrLst>
    <dgm:linClrLst meth="repeat">
      <a:schemeClr val="accent2"/>
    </dgm:linClrLst>
    <dgm:effectClrLst/>
    <dgm:txLinClrLst/>
    <dgm:txFillClrLst meth="repeat">
      <a:schemeClr val="dk1"/>
    </dgm:txFillClrLst>
    <dgm:txEffectClrLst/>
  </dgm:styleLbl>
  <dgm:styleLbl name="bg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solidFgAcc1">
    <dgm:fillClrLst meth="repeat">
      <a:schemeClr val="lt1"/>
    </dgm:fillClrLst>
    <dgm:linClrLst meth="repeat">
      <a:schemeClr val="accent2"/>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2">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2">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2">
        <a:alpha val="90000"/>
      </a:schemeClr>
    </dgm:linClrLst>
    <dgm:effectClrLst/>
    <dgm:txLinClrLst/>
    <dgm:txFillClrLst meth="repeat">
      <a:schemeClr val="dk1"/>
    </dgm:txFillClrLst>
    <dgm:txEffectClrLst/>
  </dgm:styleLbl>
  <dgm:styleLbl name="fgAcc0">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fgAcc2">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fgAcc3">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fgAcc4">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accent2"/>
    </dgm:linClrLst>
    <dgm:effectClrLst/>
    <dgm:txLinClrLst/>
    <dgm:txFillClrLst meth="repeat">
      <a:schemeClr val="dk1"/>
    </dgm:txFillClrLst>
    <dgm:txEffectClrLst/>
  </dgm:styleLbl>
  <dgm:styleLbl name="dkBgShp">
    <dgm:fillClrLst meth="repeat">
      <a:schemeClr val="accent2">
        <a:shade val="80000"/>
      </a:schemeClr>
    </dgm:fillClrLst>
    <dgm:linClrLst meth="repeat">
      <a:schemeClr val="accent2"/>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BB16589-FABF-41BD-81CF-E72535E5EAB9}" type="doc">
      <dgm:prSet loTypeId="urn:microsoft.com/office/officeart/2005/8/layout/process1" loCatId="process" qsTypeId="urn:microsoft.com/office/officeart/2005/8/quickstyle/simple1" qsCatId="simple" csTypeId="urn:microsoft.com/office/officeart/2005/8/colors/accent5_1" csCatId="accent5" phldr="1"/>
      <dgm:spPr/>
    </dgm:pt>
    <dgm:pt modelId="{070D53DC-4E9F-4C59-8AAF-89A1EBF633C2}">
      <dgm:prSet phldrT="[Text]"/>
      <dgm:spPr/>
      <dgm:t>
        <a:bodyPr/>
        <a:lstStyle/>
        <a:p>
          <a:r>
            <a:rPr lang="pt-BR"/>
            <a:t>Set up treatment in the GC</a:t>
          </a:r>
        </a:p>
      </dgm:t>
    </dgm:pt>
    <dgm:pt modelId="{1F707228-6962-4B86-BE9D-E8B134DC84B3}" type="parTrans" cxnId="{4435A567-1809-46F2-9B36-9E29B0414562}">
      <dgm:prSet/>
      <dgm:spPr/>
      <dgm:t>
        <a:bodyPr/>
        <a:lstStyle/>
        <a:p>
          <a:endParaRPr lang="pt-BR"/>
        </a:p>
      </dgm:t>
    </dgm:pt>
    <dgm:pt modelId="{25735CBC-4FBA-4D24-B447-17DC5FE12447}" type="sibTrans" cxnId="{4435A567-1809-46F2-9B36-9E29B0414562}">
      <dgm:prSet/>
      <dgm:spPr/>
      <dgm:t>
        <a:bodyPr/>
        <a:lstStyle/>
        <a:p>
          <a:endParaRPr lang="pt-BR"/>
        </a:p>
      </dgm:t>
    </dgm:pt>
    <dgm:pt modelId="{CBD08AEA-6224-4B6F-AC51-2DBA0DFB2C0F}">
      <dgm:prSet phldrT="[Text]"/>
      <dgm:spPr/>
      <dgm:t>
        <a:bodyPr/>
        <a:lstStyle/>
        <a:p>
          <a:r>
            <a:rPr lang="pt-BR"/>
            <a:t>Wait 30 minutes to stabilize</a:t>
          </a:r>
        </a:p>
      </dgm:t>
    </dgm:pt>
    <dgm:pt modelId="{1FF69E92-0109-4846-B564-3961836AFA46}" type="parTrans" cxnId="{4418526D-E8F9-4523-BC50-1993A0E4C3E0}">
      <dgm:prSet/>
      <dgm:spPr/>
      <dgm:t>
        <a:bodyPr/>
        <a:lstStyle/>
        <a:p>
          <a:endParaRPr lang="pt-BR"/>
        </a:p>
      </dgm:t>
    </dgm:pt>
    <dgm:pt modelId="{8638F9F9-C459-4D47-91D9-3BE5A3CD4272}" type="sibTrans" cxnId="{4418526D-E8F9-4523-BC50-1993A0E4C3E0}">
      <dgm:prSet/>
      <dgm:spPr/>
      <dgm:t>
        <a:bodyPr/>
        <a:lstStyle/>
        <a:p>
          <a:endParaRPr lang="pt-BR"/>
        </a:p>
      </dgm:t>
    </dgm:pt>
    <dgm:pt modelId="{6468DD6C-9C94-4639-BC5B-72940DDF7092}">
      <dgm:prSet phldrT="[Text]"/>
      <dgm:spPr/>
      <dgm:t>
        <a:bodyPr/>
        <a:lstStyle/>
        <a:p>
          <a:r>
            <a:rPr lang="pt-BR"/>
            <a:t>Weight pots</a:t>
          </a:r>
        </a:p>
      </dgm:t>
    </dgm:pt>
    <dgm:pt modelId="{818433D8-1D44-40D0-B65B-A25AFECB589F}" type="parTrans" cxnId="{54A8B2E3-98E7-444C-939F-3ED063CD1860}">
      <dgm:prSet/>
      <dgm:spPr/>
      <dgm:t>
        <a:bodyPr/>
        <a:lstStyle/>
        <a:p>
          <a:endParaRPr lang="pt-BR"/>
        </a:p>
      </dgm:t>
    </dgm:pt>
    <dgm:pt modelId="{82AEEAE3-0DC9-4125-9E49-0BEF5F9EEA02}" type="sibTrans" cxnId="{54A8B2E3-98E7-444C-939F-3ED063CD1860}">
      <dgm:prSet/>
      <dgm:spPr/>
      <dgm:t>
        <a:bodyPr/>
        <a:lstStyle/>
        <a:p>
          <a:endParaRPr lang="pt-BR"/>
        </a:p>
      </dgm:t>
    </dgm:pt>
    <dgm:pt modelId="{E24C1968-6077-4253-8339-4BF9838B1E81}">
      <dgm:prSet phldrT="[Text]"/>
      <dgm:spPr/>
      <dgm:t>
        <a:bodyPr/>
        <a:lstStyle/>
        <a:p>
          <a:r>
            <a:rPr lang="pt-BR"/>
            <a:t>Start treatment </a:t>
          </a:r>
        </a:p>
      </dgm:t>
    </dgm:pt>
    <dgm:pt modelId="{9B9C3AAB-9E7B-4535-AF57-D759E8A4B90D}" type="parTrans" cxnId="{F838CEC6-3B0A-46FF-83B9-AC3D3177CFD9}">
      <dgm:prSet/>
      <dgm:spPr/>
      <dgm:t>
        <a:bodyPr/>
        <a:lstStyle/>
        <a:p>
          <a:endParaRPr lang="pt-BR"/>
        </a:p>
      </dgm:t>
    </dgm:pt>
    <dgm:pt modelId="{52140333-DEFC-4B0C-855E-E1C8F2150202}" type="sibTrans" cxnId="{F838CEC6-3B0A-46FF-83B9-AC3D3177CFD9}">
      <dgm:prSet/>
      <dgm:spPr/>
      <dgm:t>
        <a:bodyPr/>
        <a:lstStyle/>
        <a:p>
          <a:endParaRPr lang="pt-BR"/>
        </a:p>
      </dgm:t>
    </dgm:pt>
    <dgm:pt modelId="{3D46E24B-3CA5-4A17-A14B-DD259887802F}">
      <dgm:prSet phldrT="[Text]"/>
      <dgm:spPr/>
      <dgm:t>
        <a:bodyPr/>
        <a:lstStyle/>
        <a:p>
          <a:r>
            <a:rPr lang="pt-BR"/>
            <a:t>35 minutes</a:t>
          </a:r>
        </a:p>
      </dgm:t>
    </dgm:pt>
    <dgm:pt modelId="{B60CE074-4D8A-4CC0-AFF6-B7341B9A3401}" type="parTrans" cxnId="{F95C9052-E705-4AC1-BF91-2F0FBB5FCAA2}">
      <dgm:prSet/>
      <dgm:spPr/>
      <dgm:t>
        <a:bodyPr/>
        <a:lstStyle/>
        <a:p>
          <a:endParaRPr lang="pt-BR"/>
        </a:p>
      </dgm:t>
    </dgm:pt>
    <dgm:pt modelId="{A9347010-4234-4077-9EE0-8324FDAA0974}" type="sibTrans" cxnId="{F95C9052-E705-4AC1-BF91-2F0FBB5FCAA2}">
      <dgm:prSet/>
      <dgm:spPr/>
      <dgm:t>
        <a:bodyPr/>
        <a:lstStyle/>
        <a:p>
          <a:endParaRPr lang="pt-BR"/>
        </a:p>
      </dgm:t>
    </dgm:pt>
    <dgm:pt modelId="{DEC4155A-2CEB-4979-A1FA-B38E9AEECAA4}">
      <dgm:prSet phldrT="[Text]"/>
      <dgm:spPr/>
      <dgm:t>
        <a:bodyPr/>
        <a:lstStyle/>
        <a:p>
          <a:r>
            <a:rPr lang="pt-BR"/>
            <a:t>Weight pots</a:t>
          </a:r>
        </a:p>
      </dgm:t>
    </dgm:pt>
    <dgm:pt modelId="{1AFF927F-D7DC-4EFC-ACDE-87CE40BCCCE7}" type="parTrans" cxnId="{FE651C5B-9EE4-4886-B591-EC1E6A91C56B}">
      <dgm:prSet/>
      <dgm:spPr/>
      <dgm:t>
        <a:bodyPr/>
        <a:lstStyle/>
        <a:p>
          <a:endParaRPr lang="pt-BR"/>
        </a:p>
      </dgm:t>
    </dgm:pt>
    <dgm:pt modelId="{83D43DE4-9010-4CE6-910B-B5D62DE8EC38}" type="sibTrans" cxnId="{FE651C5B-9EE4-4886-B591-EC1E6A91C56B}">
      <dgm:prSet/>
      <dgm:spPr/>
      <dgm:t>
        <a:bodyPr/>
        <a:lstStyle/>
        <a:p>
          <a:endParaRPr lang="pt-BR"/>
        </a:p>
      </dgm:t>
    </dgm:pt>
    <dgm:pt modelId="{BF6755CC-F950-44FB-8DCA-4F8924DA6D78}" type="pres">
      <dgm:prSet presAssocID="{1BB16589-FABF-41BD-81CF-E72535E5EAB9}" presName="Name0" presStyleCnt="0">
        <dgm:presLayoutVars>
          <dgm:dir/>
          <dgm:resizeHandles val="exact"/>
        </dgm:presLayoutVars>
      </dgm:prSet>
      <dgm:spPr/>
    </dgm:pt>
    <dgm:pt modelId="{5546AC24-E637-41DF-BEBD-95851A321F3F}" type="pres">
      <dgm:prSet presAssocID="{070D53DC-4E9F-4C59-8AAF-89A1EBF633C2}" presName="node" presStyleLbl="node1" presStyleIdx="0" presStyleCnt="6">
        <dgm:presLayoutVars>
          <dgm:bulletEnabled val="1"/>
        </dgm:presLayoutVars>
      </dgm:prSet>
      <dgm:spPr/>
    </dgm:pt>
    <dgm:pt modelId="{D06DB6E4-E500-4C15-8C50-FBB5A3CFAB1F}" type="pres">
      <dgm:prSet presAssocID="{25735CBC-4FBA-4D24-B447-17DC5FE12447}" presName="sibTrans" presStyleLbl="sibTrans2D1" presStyleIdx="0" presStyleCnt="5"/>
      <dgm:spPr/>
    </dgm:pt>
    <dgm:pt modelId="{C7A81985-0906-489D-A962-E7106C052B56}" type="pres">
      <dgm:prSet presAssocID="{25735CBC-4FBA-4D24-B447-17DC5FE12447}" presName="connectorText" presStyleLbl="sibTrans2D1" presStyleIdx="0" presStyleCnt="5"/>
      <dgm:spPr/>
    </dgm:pt>
    <dgm:pt modelId="{5DB3365F-D1FE-4DC0-97C0-FD2DF47CA86C}" type="pres">
      <dgm:prSet presAssocID="{CBD08AEA-6224-4B6F-AC51-2DBA0DFB2C0F}" presName="node" presStyleLbl="node1" presStyleIdx="1" presStyleCnt="6">
        <dgm:presLayoutVars>
          <dgm:bulletEnabled val="1"/>
        </dgm:presLayoutVars>
      </dgm:prSet>
      <dgm:spPr/>
    </dgm:pt>
    <dgm:pt modelId="{9B6AE019-0A73-4ECC-9D56-AF6F2B5A1A2A}" type="pres">
      <dgm:prSet presAssocID="{8638F9F9-C459-4D47-91D9-3BE5A3CD4272}" presName="sibTrans" presStyleLbl="sibTrans2D1" presStyleIdx="1" presStyleCnt="5"/>
      <dgm:spPr/>
    </dgm:pt>
    <dgm:pt modelId="{DEFE7F3D-0131-476C-9EF6-8AB141810182}" type="pres">
      <dgm:prSet presAssocID="{8638F9F9-C459-4D47-91D9-3BE5A3CD4272}" presName="connectorText" presStyleLbl="sibTrans2D1" presStyleIdx="1" presStyleCnt="5"/>
      <dgm:spPr/>
    </dgm:pt>
    <dgm:pt modelId="{E1323C78-7BED-45FF-BFCD-EBB34C87AC89}" type="pres">
      <dgm:prSet presAssocID="{6468DD6C-9C94-4639-BC5B-72940DDF7092}" presName="node" presStyleLbl="node1" presStyleIdx="2" presStyleCnt="6">
        <dgm:presLayoutVars>
          <dgm:bulletEnabled val="1"/>
        </dgm:presLayoutVars>
      </dgm:prSet>
      <dgm:spPr/>
    </dgm:pt>
    <dgm:pt modelId="{1D81B4C8-409B-41E6-B46D-270D89C4F597}" type="pres">
      <dgm:prSet presAssocID="{82AEEAE3-0DC9-4125-9E49-0BEF5F9EEA02}" presName="sibTrans" presStyleLbl="sibTrans2D1" presStyleIdx="2" presStyleCnt="5"/>
      <dgm:spPr/>
    </dgm:pt>
    <dgm:pt modelId="{3FF110AF-56A3-413F-B700-BC07F0B8ADB2}" type="pres">
      <dgm:prSet presAssocID="{82AEEAE3-0DC9-4125-9E49-0BEF5F9EEA02}" presName="connectorText" presStyleLbl="sibTrans2D1" presStyleIdx="2" presStyleCnt="5"/>
      <dgm:spPr/>
    </dgm:pt>
    <dgm:pt modelId="{11EEA745-6B75-46AC-8185-46A165D92E70}" type="pres">
      <dgm:prSet presAssocID="{E24C1968-6077-4253-8339-4BF9838B1E81}" presName="node" presStyleLbl="node1" presStyleIdx="3" presStyleCnt="6">
        <dgm:presLayoutVars>
          <dgm:bulletEnabled val="1"/>
        </dgm:presLayoutVars>
      </dgm:prSet>
      <dgm:spPr/>
    </dgm:pt>
    <dgm:pt modelId="{ED859A76-141A-45B3-AED3-1B491B873F49}" type="pres">
      <dgm:prSet presAssocID="{52140333-DEFC-4B0C-855E-E1C8F2150202}" presName="sibTrans" presStyleLbl="sibTrans2D1" presStyleIdx="3" presStyleCnt="5"/>
      <dgm:spPr/>
    </dgm:pt>
    <dgm:pt modelId="{DE1E59DE-4DE9-4436-AB0E-2DCBB5A29212}" type="pres">
      <dgm:prSet presAssocID="{52140333-DEFC-4B0C-855E-E1C8F2150202}" presName="connectorText" presStyleLbl="sibTrans2D1" presStyleIdx="3" presStyleCnt="5"/>
      <dgm:spPr/>
    </dgm:pt>
    <dgm:pt modelId="{59ADA336-5888-429E-BCC4-E305E352C7B8}" type="pres">
      <dgm:prSet presAssocID="{3D46E24B-3CA5-4A17-A14B-DD259887802F}" presName="node" presStyleLbl="node1" presStyleIdx="4" presStyleCnt="6">
        <dgm:presLayoutVars>
          <dgm:bulletEnabled val="1"/>
        </dgm:presLayoutVars>
      </dgm:prSet>
      <dgm:spPr/>
    </dgm:pt>
    <dgm:pt modelId="{18F09162-F75F-435C-9131-65BCE486A5C0}" type="pres">
      <dgm:prSet presAssocID="{A9347010-4234-4077-9EE0-8324FDAA0974}" presName="sibTrans" presStyleLbl="sibTrans2D1" presStyleIdx="4" presStyleCnt="5"/>
      <dgm:spPr/>
    </dgm:pt>
    <dgm:pt modelId="{795F7D05-DC83-451E-90F6-1DA638926863}" type="pres">
      <dgm:prSet presAssocID="{A9347010-4234-4077-9EE0-8324FDAA0974}" presName="connectorText" presStyleLbl="sibTrans2D1" presStyleIdx="4" presStyleCnt="5"/>
      <dgm:spPr/>
    </dgm:pt>
    <dgm:pt modelId="{2568BC9F-A7E4-411B-B0DB-0FDD2697AECD}" type="pres">
      <dgm:prSet presAssocID="{DEC4155A-2CEB-4979-A1FA-B38E9AEECAA4}" presName="node" presStyleLbl="node1" presStyleIdx="5" presStyleCnt="6">
        <dgm:presLayoutVars>
          <dgm:bulletEnabled val="1"/>
        </dgm:presLayoutVars>
      </dgm:prSet>
      <dgm:spPr/>
    </dgm:pt>
  </dgm:ptLst>
  <dgm:cxnLst>
    <dgm:cxn modelId="{AB6CE011-6053-4A75-8485-21D828A0DCD7}" type="presOf" srcId="{070D53DC-4E9F-4C59-8AAF-89A1EBF633C2}" destId="{5546AC24-E637-41DF-BEBD-95851A321F3F}" srcOrd="0" destOrd="0" presId="urn:microsoft.com/office/officeart/2005/8/layout/process1"/>
    <dgm:cxn modelId="{601FBB3A-D497-4715-9D38-9F3CEFAE8CDB}" type="presOf" srcId="{8638F9F9-C459-4D47-91D9-3BE5A3CD4272}" destId="{DEFE7F3D-0131-476C-9EF6-8AB141810182}" srcOrd="1" destOrd="0" presId="urn:microsoft.com/office/officeart/2005/8/layout/process1"/>
    <dgm:cxn modelId="{AA32BF3A-A6DD-41F6-BB37-033498577C2C}" type="presOf" srcId="{A9347010-4234-4077-9EE0-8324FDAA0974}" destId="{18F09162-F75F-435C-9131-65BCE486A5C0}" srcOrd="0" destOrd="0" presId="urn:microsoft.com/office/officeart/2005/8/layout/process1"/>
    <dgm:cxn modelId="{FE651C5B-9EE4-4886-B591-EC1E6A91C56B}" srcId="{1BB16589-FABF-41BD-81CF-E72535E5EAB9}" destId="{DEC4155A-2CEB-4979-A1FA-B38E9AEECAA4}" srcOrd="5" destOrd="0" parTransId="{1AFF927F-D7DC-4EFC-ACDE-87CE40BCCCE7}" sibTransId="{83D43DE4-9010-4CE6-910B-B5D62DE8EC38}"/>
    <dgm:cxn modelId="{90ECFA41-8960-438B-BA7A-7083E005A118}" type="presOf" srcId="{52140333-DEFC-4B0C-855E-E1C8F2150202}" destId="{ED859A76-141A-45B3-AED3-1B491B873F49}" srcOrd="0" destOrd="0" presId="urn:microsoft.com/office/officeart/2005/8/layout/process1"/>
    <dgm:cxn modelId="{4435A567-1809-46F2-9B36-9E29B0414562}" srcId="{1BB16589-FABF-41BD-81CF-E72535E5EAB9}" destId="{070D53DC-4E9F-4C59-8AAF-89A1EBF633C2}" srcOrd="0" destOrd="0" parTransId="{1F707228-6962-4B86-BE9D-E8B134DC84B3}" sibTransId="{25735CBC-4FBA-4D24-B447-17DC5FE12447}"/>
    <dgm:cxn modelId="{A1A7C567-DFE2-4A2F-9842-471C9D6F672F}" type="presOf" srcId="{8638F9F9-C459-4D47-91D9-3BE5A3CD4272}" destId="{9B6AE019-0A73-4ECC-9D56-AF6F2B5A1A2A}" srcOrd="0" destOrd="0" presId="urn:microsoft.com/office/officeart/2005/8/layout/process1"/>
    <dgm:cxn modelId="{F4151B6B-A045-45F2-98C6-2949A737F79E}" type="presOf" srcId="{CBD08AEA-6224-4B6F-AC51-2DBA0DFB2C0F}" destId="{5DB3365F-D1FE-4DC0-97C0-FD2DF47CA86C}" srcOrd="0" destOrd="0" presId="urn:microsoft.com/office/officeart/2005/8/layout/process1"/>
    <dgm:cxn modelId="{4418526D-E8F9-4523-BC50-1993A0E4C3E0}" srcId="{1BB16589-FABF-41BD-81CF-E72535E5EAB9}" destId="{CBD08AEA-6224-4B6F-AC51-2DBA0DFB2C0F}" srcOrd="1" destOrd="0" parTransId="{1FF69E92-0109-4846-B564-3961836AFA46}" sibTransId="{8638F9F9-C459-4D47-91D9-3BE5A3CD4272}"/>
    <dgm:cxn modelId="{20E76B72-6FA0-4A4F-BB13-52CA6DE9B844}" type="presOf" srcId="{52140333-DEFC-4B0C-855E-E1C8F2150202}" destId="{DE1E59DE-4DE9-4436-AB0E-2DCBB5A29212}" srcOrd="1" destOrd="0" presId="urn:microsoft.com/office/officeart/2005/8/layout/process1"/>
    <dgm:cxn modelId="{F95C9052-E705-4AC1-BF91-2F0FBB5FCAA2}" srcId="{1BB16589-FABF-41BD-81CF-E72535E5EAB9}" destId="{3D46E24B-3CA5-4A17-A14B-DD259887802F}" srcOrd="4" destOrd="0" parTransId="{B60CE074-4D8A-4CC0-AFF6-B7341B9A3401}" sibTransId="{A9347010-4234-4077-9EE0-8324FDAA0974}"/>
    <dgm:cxn modelId="{2B64CE52-E375-4843-9E49-8C2769ECBBA0}" type="presOf" srcId="{82AEEAE3-0DC9-4125-9E49-0BEF5F9EEA02}" destId="{3FF110AF-56A3-413F-B700-BC07F0B8ADB2}" srcOrd="1" destOrd="0" presId="urn:microsoft.com/office/officeart/2005/8/layout/process1"/>
    <dgm:cxn modelId="{48E40D8E-940E-4F05-874F-AF261DF924CC}" type="presOf" srcId="{DEC4155A-2CEB-4979-A1FA-B38E9AEECAA4}" destId="{2568BC9F-A7E4-411B-B0DB-0FDD2697AECD}" srcOrd="0" destOrd="0" presId="urn:microsoft.com/office/officeart/2005/8/layout/process1"/>
    <dgm:cxn modelId="{0BEB88B2-028D-49A7-B11E-D705139794F1}" type="presOf" srcId="{6468DD6C-9C94-4639-BC5B-72940DDF7092}" destId="{E1323C78-7BED-45FF-BFCD-EBB34C87AC89}" srcOrd="0" destOrd="0" presId="urn:microsoft.com/office/officeart/2005/8/layout/process1"/>
    <dgm:cxn modelId="{ADD776BD-4825-4ADC-8BC5-EF5D2F1B673D}" type="presOf" srcId="{25735CBC-4FBA-4D24-B447-17DC5FE12447}" destId="{D06DB6E4-E500-4C15-8C50-FBB5A3CFAB1F}" srcOrd="0" destOrd="0" presId="urn:microsoft.com/office/officeart/2005/8/layout/process1"/>
    <dgm:cxn modelId="{564590BD-9093-4155-98C0-23111B155DB5}" type="presOf" srcId="{82AEEAE3-0DC9-4125-9E49-0BEF5F9EEA02}" destId="{1D81B4C8-409B-41E6-B46D-270D89C4F597}" srcOrd="0" destOrd="0" presId="urn:microsoft.com/office/officeart/2005/8/layout/process1"/>
    <dgm:cxn modelId="{F838CEC6-3B0A-46FF-83B9-AC3D3177CFD9}" srcId="{1BB16589-FABF-41BD-81CF-E72535E5EAB9}" destId="{E24C1968-6077-4253-8339-4BF9838B1E81}" srcOrd="3" destOrd="0" parTransId="{9B9C3AAB-9E7B-4535-AF57-D759E8A4B90D}" sibTransId="{52140333-DEFC-4B0C-855E-E1C8F2150202}"/>
    <dgm:cxn modelId="{253B9CCE-CF96-4484-897B-DEC4A2911970}" type="presOf" srcId="{25735CBC-4FBA-4D24-B447-17DC5FE12447}" destId="{C7A81985-0906-489D-A962-E7106C052B56}" srcOrd="1" destOrd="0" presId="urn:microsoft.com/office/officeart/2005/8/layout/process1"/>
    <dgm:cxn modelId="{AF7EE1D6-A30F-4549-98AD-A38F320092D6}" type="presOf" srcId="{3D46E24B-3CA5-4A17-A14B-DD259887802F}" destId="{59ADA336-5888-429E-BCC4-E305E352C7B8}" srcOrd="0" destOrd="0" presId="urn:microsoft.com/office/officeart/2005/8/layout/process1"/>
    <dgm:cxn modelId="{54A8B2E3-98E7-444C-939F-3ED063CD1860}" srcId="{1BB16589-FABF-41BD-81CF-E72535E5EAB9}" destId="{6468DD6C-9C94-4639-BC5B-72940DDF7092}" srcOrd="2" destOrd="0" parTransId="{818433D8-1D44-40D0-B65B-A25AFECB589F}" sibTransId="{82AEEAE3-0DC9-4125-9E49-0BEF5F9EEA02}"/>
    <dgm:cxn modelId="{6399C2E3-9AF4-4773-9F19-092195EB0BD0}" type="presOf" srcId="{1BB16589-FABF-41BD-81CF-E72535E5EAB9}" destId="{BF6755CC-F950-44FB-8DCA-4F8924DA6D78}" srcOrd="0" destOrd="0" presId="urn:microsoft.com/office/officeart/2005/8/layout/process1"/>
    <dgm:cxn modelId="{B69916E5-77C0-407F-B6C7-6CD2D967A9DE}" type="presOf" srcId="{E24C1968-6077-4253-8339-4BF9838B1E81}" destId="{11EEA745-6B75-46AC-8185-46A165D92E70}" srcOrd="0" destOrd="0" presId="urn:microsoft.com/office/officeart/2005/8/layout/process1"/>
    <dgm:cxn modelId="{BE3A7DEE-B69A-4B07-A6F8-B46D69B07623}" type="presOf" srcId="{A9347010-4234-4077-9EE0-8324FDAA0974}" destId="{795F7D05-DC83-451E-90F6-1DA638926863}" srcOrd="1" destOrd="0" presId="urn:microsoft.com/office/officeart/2005/8/layout/process1"/>
    <dgm:cxn modelId="{CEA49629-879D-4AEC-86B3-D910B1C96DFF}" type="presParOf" srcId="{BF6755CC-F950-44FB-8DCA-4F8924DA6D78}" destId="{5546AC24-E637-41DF-BEBD-95851A321F3F}" srcOrd="0" destOrd="0" presId="urn:microsoft.com/office/officeart/2005/8/layout/process1"/>
    <dgm:cxn modelId="{23721E23-FC7D-4D57-82B7-8452F5328223}" type="presParOf" srcId="{BF6755CC-F950-44FB-8DCA-4F8924DA6D78}" destId="{D06DB6E4-E500-4C15-8C50-FBB5A3CFAB1F}" srcOrd="1" destOrd="0" presId="urn:microsoft.com/office/officeart/2005/8/layout/process1"/>
    <dgm:cxn modelId="{AD570BCF-0DE5-40B5-89BD-C120A67B8C0D}" type="presParOf" srcId="{D06DB6E4-E500-4C15-8C50-FBB5A3CFAB1F}" destId="{C7A81985-0906-489D-A962-E7106C052B56}" srcOrd="0" destOrd="0" presId="urn:microsoft.com/office/officeart/2005/8/layout/process1"/>
    <dgm:cxn modelId="{8BDF09F6-F7B6-446B-807F-3B53649087C4}" type="presParOf" srcId="{BF6755CC-F950-44FB-8DCA-4F8924DA6D78}" destId="{5DB3365F-D1FE-4DC0-97C0-FD2DF47CA86C}" srcOrd="2" destOrd="0" presId="urn:microsoft.com/office/officeart/2005/8/layout/process1"/>
    <dgm:cxn modelId="{A9651ECB-FFA7-47B1-A625-5F1042F41EBA}" type="presParOf" srcId="{BF6755CC-F950-44FB-8DCA-4F8924DA6D78}" destId="{9B6AE019-0A73-4ECC-9D56-AF6F2B5A1A2A}" srcOrd="3" destOrd="0" presId="urn:microsoft.com/office/officeart/2005/8/layout/process1"/>
    <dgm:cxn modelId="{8DF1D7E9-21FB-4C2E-B76A-E778780621F1}" type="presParOf" srcId="{9B6AE019-0A73-4ECC-9D56-AF6F2B5A1A2A}" destId="{DEFE7F3D-0131-476C-9EF6-8AB141810182}" srcOrd="0" destOrd="0" presId="urn:microsoft.com/office/officeart/2005/8/layout/process1"/>
    <dgm:cxn modelId="{F85841EF-8432-49F3-A351-7BAAB52E5713}" type="presParOf" srcId="{BF6755CC-F950-44FB-8DCA-4F8924DA6D78}" destId="{E1323C78-7BED-45FF-BFCD-EBB34C87AC89}" srcOrd="4" destOrd="0" presId="urn:microsoft.com/office/officeart/2005/8/layout/process1"/>
    <dgm:cxn modelId="{213CCABB-F620-47F4-BC42-AC5392AF5402}" type="presParOf" srcId="{BF6755CC-F950-44FB-8DCA-4F8924DA6D78}" destId="{1D81B4C8-409B-41E6-B46D-270D89C4F597}" srcOrd="5" destOrd="0" presId="urn:microsoft.com/office/officeart/2005/8/layout/process1"/>
    <dgm:cxn modelId="{33E3DDED-E756-4E5B-9FD4-ED965FFF6A04}" type="presParOf" srcId="{1D81B4C8-409B-41E6-B46D-270D89C4F597}" destId="{3FF110AF-56A3-413F-B700-BC07F0B8ADB2}" srcOrd="0" destOrd="0" presId="urn:microsoft.com/office/officeart/2005/8/layout/process1"/>
    <dgm:cxn modelId="{CD9D06F3-4E03-421C-B7E6-B258B4BB0937}" type="presParOf" srcId="{BF6755CC-F950-44FB-8DCA-4F8924DA6D78}" destId="{11EEA745-6B75-46AC-8185-46A165D92E70}" srcOrd="6" destOrd="0" presId="urn:microsoft.com/office/officeart/2005/8/layout/process1"/>
    <dgm:cxn modelId="{8CB50BF7-5DAE-489E-961A-40802D365044}" type="presParOf" srcId="{BF6755CC-F950-44FB-8DCA-4F8924DA6D78}" destId="{ED859A76-141A-45B3-AED3-1B491B873F49}" srcOrd="7" destOrd="0" presId="urn:microsoft.com/office/officeart/2005/8/layout/process1"/>
    <dgm:cxn modelId="{EB876CE1-CE79-47A7-B40E-8786E1EBFC43}" type="presParOf" srcId="{ED859A76-141A-45B3-AED3-1B491B873F49}" destId="{DE1E59DE-4DE9-4436-AB0E-2DCBB5A29212}" srcOrd="0" destOrd="0" presId="urn:microsoft.com/office/officeart/2005/8/layout/process1"/>
    <dgm:cxn modelId="{0DBC28DB-BA94-4B47-9794-4238B5D3CEA3}" type="presParOf" srcId="{BF6755CC-F950-44FB-8DCA-4F8924DA6D78}" destId="{59ADA336-5888-429E-BCC4-E305E352C7B8}" srcOrd="8" destOrd="0" presId="urn:microsoft.com/office/officeart/2005/8/layout/process1"/>
    <dgm:cxn modelId="{55CFA69B-9AA4-4D3C-9A6D-F7837D8C8A58}" type="presParOf" srcId="{BF6755CC-F950-44FB-8DCA-4F8924DA6D78}" destId="{18F09162-F75F-435C-9131-65BCE486A5C0}" srcOrd="9" destOrd="0" presId="urn:microsoft.com/office/officeart/2005/8/layout/process1"/>
    <dgm:cxn modelId="{7D770DBA-D730-4256-B377-A42ECD6C346C}" type="presParOf" srcId="{18F09162-F75F-435C-9131-65BCE486A5C0}" destId="{795F7D05-DC83-451E-90F6-1DA638926863}" srcOrd="0" destOrd="0" presId="urn:microsoft.com/office/officeart/2005/8/layout/process1"/>
    <dgm:cxn modelId="{734D97A6-8981-4943-9F9C-D447071DEB4A}" type="presParOf" srcId="{BF6755CC-F950-44FB-8DCA-4F8924DA6D78}" destId="{2568BC9F-A7E4-411B-B0DB-0FDD2697AECD}" srcOrd="10" destOrd="0" presId="urn:microsoft.com/office/officeart/2005/8/layout/process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1BB16589-FABF-41BD-81CF-E72535E5EAB9}" type="doc">
      <dgm:prSet loTypeId="urn:microsoft.com/office/officeart/2005/8/layout/process1" loCatId="process" qsTypeId="urn:microsoft.com/office/officeart/2005/8/quickstyle/simple1" qsCatId="simple" csTypeId="urn:microsoft.com/office/officeart/2005/8/colors/accent2_1" csCatId="accent2" phldr="1"/>
      <dgm:spPr/>
    </dgm:pt>
    <dgm:pt modelId="{070D53DC-4E9F-4C59-8AAF-89A1EBF633C2}">
      <dgm:prSet phldrT="[Text]"/>
      <dgm:spPr/>
      <dgm:t>
        <a:bodyPr/>
        <a:lstStyle/>
        <a:p>
          <a:r>
            <a:rPr lang="pt-BR"/>
            <a:t>Set up treatment in the GC</a:t>
          </a:r>
        </a:p>
      </dgm:t>
    </dgm:pt>
    <dgm:pt modelId="{1F707228-6962-4B86-BE9D-E8B134DC84B3}" type="parTrans" cxnId="{4435A567-1809-46F2-9B36-9E29B0414562}">
      <dgm:prSet/>
      <dgm:spPr/>
      <dgm:t>
        <a:bodyPr/>
        <a:lstStyle/>
        <a:p>
          <a:endParaRPr lang="pt-BR"/>
        </a:p>
      </dgm:t>
    </dgm:pt>
    <dgm:pt modelId="{25735CBC-4FBA-4D24-B447-17DC5FE12447}" type="sibTrans" cxnId="{4435A567-1809-46F2-9B36-9E29B0414562}">
      <dgm:prSet/>
      <dgm:spPr/>
      <dgm:t>
        <a:bodyPr/>
        <a:lstStyle/>
        <a:p>
          <a:endParaRPr lang="pt-BR"/>
        </a:p>
      </dgm:t>
    </dgm:pt>
    <dgm:pt modelId="{CBD08AEA-6224-4B6F-AC51-2DBA0DFB2C0F}">
      <dgm:prSet phldrT="[Text]"/>
      <dgm:spPr/>
      <dgm:t>
        <a:bodyPr/>
        <a:lstStyle/>
        <a:p>
          <a:r>
            <a:rPr lang="pt-BR"/>
            <a:t>wait stabilizing (variable)</a:t>
          </a:r>
        </a:p>
      </dgm:t>
    </dgm:pt>
    <dgm:pt modelId="{1FF69E92-0109-4846-B564-3961836AFA46}" type="parTrans" cxnId="{4418526D-E8F9-4523-BC50-1993A0E4C3E0}">
      <dgm:prSet/>
      <dgm:spPr/>
      <dgm:t>
        <a:bodyPr/>
        <a:lstStyle/>
        <a:p>
          <a:endParaRPr lang="pt-BR"/>
        </a:p>
      </dgm:t>
    </dgm:pt>
    <dgm:pt modelId="{8638F9F9-C459-4D47-91D9-3BE5A3CD4272}" type="sibTrans" cxnId="{4418526D-E8F9-4523-BC50-1993A0E4C3E0}">
      <dgm:prSet/>
      <dgm:spPr/>
      <dgm:t>
        <a:bodyPr/>
        <a:lstStyle/>
        <a:p>
          <a:endParaRPr lang="pt-BR"/>
        </a:p>
      </dgm:t>
    </dgm:pt>
    <dgm:pt modelId="{6468DD6C-9C94-4639-BC5B-72940DDF7092}">
      <dgm:prSet phldrT="[Text]"/>
      <dgm:spPr/>
      <dgm:t>
        <a:bodyPr/>
        <a:lstStyle/>
        <a:p>
          <a:r>
            <a:rPr lang="pt-BR"/>
            <a:t>Start treatment</a:t>
          </a:r>
        </a:p>
      </dgm:t>
    </dgm:pt>
    <dgm:pt modelId="{818433D8-1D44-40D0-B65B-A25AFECB589F}" type="parTrans" cxnId="{54A8B2E3-98E7-444C-939F-3ED063CD1860}">
      <dgm:prSet/>
      <dgm:spPr/>
      <dgm:t>
        <a:bodyPr/>
        <a:lstStyle/>
        <a:p>
          <a:endParaRPr lang="pt-BR"/>
        </a:p>
      </dgm:t>
    </dgm:pt>
    <dgm:pt modelId="{82AEEAE3-0DC9-4125-9E49-0BEF5F9EEA02}" type="sibTrans" cxnId="{54A8B2E3-98E7-444C-939F-3ED063CD1860}">
      <dgm:prSet/>
      <dgm:spPr/>
      <dgm:t>
        <a:bodyPr/>
        <a:lstStyle/>
        <a:p>
          <a:endParaRPr lang="pt-BR"/>
        </a:p>
      </dgm:t>
    </dgm:pt>
    <dgm:pt modelId="{3D46E24B-3CA5-4A17-A14B-DD259887802F}">
      <dgm:prSet phldrT="[Text]"/>
      <dgm:spPr/>
      <dgm:t>
        <a:bodyPr/>
        <a:lstStyle/>
        <a:p>
          <a:r>
            <a:rPr lang="pt-BR"/>
            <a:t>Weight pots</a:t>
          </a:r>
        </a:p>
      </dgm:t>
    </dgm:pt>
    <dgm:pt modelId="{B60CE074-4D8A-4CC0-AFF6-B7341B9A3401}" type="parTrans" cxnId="{F95C9052-E705-4AC1-BF91-2F0FBB5FCAA2}">
      <dgm:prSet/>
      <dgm:spPr/>
      <dgm:t>
        <a:bodyPr/>
        <a:lstStyle/>
        <a:p>
          <a:endParaRPr lang="pt-BR"/>
        </a:p>
      </dgm:t>
    </dgm:pt>
    <dgm:pt modelId="{A9347010-4234-4077-9EE0-8324FDAA0974}" type="sibTrans" cxnId="{F95C9052-E705-4AC1-BF91-2F0FBB5FCAA2}">
      <dgm:prSet/>
      <dgm:spPr/>
      <dgm:t>
        <a:bodyPr/>
        <a:lstStyle/>
        <a:p>
          <a:endParaRPr lang="pt-BR"/>
        </a:p>
      </dgm:t>
    </dgm:pt>
    <dgm:pt modelId="{DEC4155A-2CEB-4979-A1FA-B38E9AEECAA4}">
      <dgm:prSet phldrT="[Text]"/>
      <dgm:spPr/>
      <dgm:t>
        <a:bodyPr/>
        <a:lstStyle/>
        <a:p>
          <a:r>
            <a:rPr lang="pt-BR"/>
            <a:t>weight used as final for this and initial to the next treatment</a:t>
          </a:r>
        </a:p>
      </dgm:t>
    </dgm:pt>
    <dgm:pt modelId="{1AFF927F-D7DC-4EFC-ACDE-87CE40BCCCE7}" type="parTrans" cxnId="{FE651C5B-9EE4-4886-B591-EC1E6A91C56B}">
      <dgm:prSet/>
      <dgm:spPr/>
      <dgm:t>
        <a:bodyPr/>
        <a:lstStyle/>
        <a:p>
          <a:endParaRPr lang="pt-BR"/>
        </a:p>
      </dgm:t>
    </dgm:pt>
    <dgm:pt modelId="{83D43DE4-9010-4CE6-910B-B5D62DE8EC38}" type="sibTrans" cxnId="{FE651C5B-9EE4-4886-B591-EC1E6A91C56B}">
      <dgm:prSet/>
      <dgm:spPr/>
      <dgm:t>
        <a:bodyPr/>
        <a:lstStyle/>
        <a:p>
          <a:endParaRPr lang="pt-BR"/>
        </a:p>
      </dgm:t>
    </dgm:pt>
    <dgm:pt modelId="{E24C1968-6077-4253-8339-4BF9838B1E81}">
      <dgm:prSet phldrT="[Text]"/>
      <dgm:spPr/>
      <dgm:t>
        <a:bodyPr/>
        <a:lstStyle/>
        <a:p>
          <a:r>
            <a:rPr lang="pt-BR"/>
            <a:t>35 minutes</a:t>
          </a:r>
        </a:p>
      </dgm:t>
    </dgm:pt>
    <dgm:pt modelId="{52140333-DEFC-4B0C-855E-E1C8F2150202}" type="sibTrans" cxnId="{F838CEC6-3B0A-46FF-83B9-AC3D3177CFD9}">
      <dgm:prSet/>
      <dgm:spPr/>
      <dgm:t>
        <a:bodyPr/>
        <a:lstStyle/>
        <a:p>
          <a:endParaRPr lang="pt-BR"/>
        </a:p>
      </dgm:t>
    </dgm:pt>
    <dgm:pt modelId="{9B9C3AAB-9E7B-4535-AF57-D759E8A4B90D}" type="parTrans" cxnId="{F838CEC6-3B0A-46FF-83B9-AC3D3177CFD9}">
      <dgm:prSet/>
      <dgm:spPr/>
      <dgm:t>
        <a:bodyPr/>
        <a:lstStyle/>
        <a:p>
          <a:endParaRPr lang="pt-BR"/>
        </a:p>
      </dgm:t>
    </dgm:pt>
    <dgm:pt modelId="{BF6755CC-F950-44FB-8DCA-4F8924DA6D78}" type="pres">
      <dgm:prSet presAssocID="{1BB16589-FABF-41BD-81CF-E72535E5EAB9}" presName="Name0" presStyleCnt="0">
        <dgm:presLayoutVars>
          <dgm:dir/>
          <dgm:resizeHandles val="exact"/>
        </dgm:presLayoutVars>
      </dgm:prSet>
      <dgm:spPr/>
    </dgm:pt>
    <dgm:pt modelId="{5546AC24-E637-41DF-BEBD-95851A321F3F}" type="pres">
      <dgm:prSet presAssocID="{070D53DC-4E9F-4C59-8AAF-89A1EBF633C2}" presName="node" presStyleLbl="node1" presStyleIdx="0" presStyleCnt="6">
        <dgm:presLayoutVars>
          <dgm:bulletEnabled val="1"/>
        </dgm:presLayoutVars>
      </dgm:prSet>
      <dgm:spPr/>
    </dgm:pt>
    <dgm:pt modelId="{D06DB6E4-E500-4C15-8C50-FBB5A3CFAB1F}" type="pres">
      <dgm:prSet presAssocID="{25735CBC-4FBA-4D24-B447-17DC5FE12447}" presName="sibTrans" presStyleLbl="sibTrans2D1" presStyleIdx="0" presStyleCnt="5"/>
      <dgm:spPr/>
    </dgm:pt>
    <dgm:pt modelId="{C7A81985-0906-489D-A962-E7106C052B56}" type="pres">
      <dgm:prSet presAssocID="{25735CBC-4FBA-4D24-B447-17DC5FE12447}" presName="connectorText" presStyleLbl="sibTrans2D1" presStyleIdx="0" presStyleCnt="5"/>
      <dgm:spPr/>
    </dgm:pt>
    <dgm:pt modelId="{5DB3365F-D1FE-4DC0-97C0-FD2DF47CA86C}" type="pres">
      <dgm:prSet presAssocID="{CBD08AEA-6224-4B6F-AC51-2DBA0DFB2C0F}" presName="node" presStyleLbl="node1" presStyleIdx="1" presStyleCnt="6">
        <dgm:presLayoutVars>
          <dgm:bulletEnabled val="1"/>
        </dgm:presLayoutVars>
      </dgm:prSet>
      <dgm:spPr/>
    </dgm:pt>
    <dgm:pt modelId="{9B6AE019-0A73-4ECC-9D56-AF6F2B5A1A2A}" type="pres">
      <dgm:prSet presAssocID="{8638F9F9-C459-4D47-91D9-3BE5A3CD4272}" presName="sibTrans" presStyleLbl="sibTrans2D1" presStyleIdx="1" presStyleCnt="5"/>
      <dgm:spPr/>
    </dgm:pt>
    <dgm:pt modelId="{DEFE7F3D-0131-476C-9EF6-8AB141810182}" type="pres">
      <dgm:prSet presAssocID="{8638F9F9-C459-4D47-91D9-3BE5A3CD4272}" presName="connectorText" presStyleLbl="sibTrans2D1" presStyleIdx="1" presStyleCnt="5"/>
      <dgm:spPr/>
    </dgm:pt>
    <dgm:pt modelId="{E1323C78-7BED-45FF-BFCD-EBB34C87AC89}" type="pres">
      <dgm:prSet presAssocID="{6468DD6C-9C94-4639-BC5B-72940DDF7092}" presName="node" presStyleLbl="node1" presStyleIdx="2" presStyleCnt="6">
        <dgm:presLayoutVars>
          <dgm:bulletEnabled val="1"/>
        </dgm:presLayoutVars>
      </dgm:prSet>
      <dgm:spPr/>
    </dgm:pt>
    <dgm:pt modelId="{1D81B4C8-409B-41E6-B46D-270D89C4F597}" type="pres">
      <dgm:prSet presAssocID="{82AEEAE3-0DC9-4125-9E49-0BEF5F9EEA02}" presName="sibTrans" presStyleLbl="sibTrans2D1" presStyleIdx="2" presStyleCnt="5"/>
      <dgm:spPr/>
    </dgm:pt>
    <dgm:pt modelId="{3FF110AF-56A3-413F-B700-BC07F0B8ADB2}" type="pres">
      <dgm:prSet presAssocID="{82AEEAE3-0DC9-4125-9E49-0BEF5F9EEA02}" presName="connectorText" presStyleLbl="sibTrans2D1" presStyleIdx="2" presStyleCnt="5"/>
      <dgm:spPr/>
    </dgm:pt>
    <dgm:pt modelId="{11EEA745-6B75-46AC-8185-46A165D92E70}" type="pres">
      <dgm:prSet presAssocID="{E24C1968-6077-4253-8339-4BF9838B1E81}" presName="node" presStyleLbl="node1" presStyleIdx="3" presStyleCnt="6">
        <dgm:presLayoutVars>
          <dgm:bulletEnabled val="1"/>
        </dgm:presLayoutVars>
      </dgm:prSet>
      <dgm:spPr/>
    </dgm:pt>
    <dgm:pt modelId="{ED859A76-141A-45B3-AED3-1B491B873F49}" type="pres">
      <dgm:prSet presAssocID="{52140333-DEFC-4B0C-855E-E1C8F2150202}" presName="sibTrans" presStyleLbl="sibTrans2D1" presStyleIdx="3" presStyleCnt="5"/>
      <dgm:spPr/>
    </dgm:pt>
    <dgm:pt modelId="{DE1E59DE-4DE9-4436-AB0E-2DCBB5A29212}" type="pres">
      <dgm:prSet presAssocID="{52140333-DEFC-4B0C-855E-E1C8F2150202}" presName="connectorText" presStyleLbl="sibTrans2D1" presStyleIdx="3" presStyleCnt="5"/>
      <dgm:spPr/>
    </dgm:pt>
    <dgm:pt modelId="{59ADA336-5888-429E-BCC4-E305E352C7B8}" type="pres">
      <dgm:prSet presAssocID="{3D46E24B-3CA5-4A17-A14B-DD259887802F}" presName="node" presStyleLbl="node1" presStyleIdx="4" presStyleCnt="6">
        <dgm:presLayoutVars>
          <dgm:bulletEnabled val="1"/>
        </dgm:presLayoutVars>
      </dgm:prSet>
      <dgm:spPr/>
    </dgm:pt>
    <dgm:pt modelId="{18F09162-F75F-435C-9131-65BCE486A5C0}" type="pres">
      <dgm:prSet presAssocID="{A9347010-4234-4077-9EE0-8324FDAA0974}" presName="sibTrans" presStyleLbl="sibTrans2D1" presStyleIdx="4" presStyleCnt="5"/>
      <dgm:spPr/>
    </dgm:pt>
    <dgm:pt modelId="{795F7D05-DC83-451E-90F6-1DA638926863}" type="pres">
      <dgm:prSet presAssocID="{A9347010-4234-4077-9EE0-8324FDAA0974}" presName="connectorText" presStyleLbl="sibTrans2D1" presStyleIdx="4" presStyleCnt="5"/>
      <dgm:spPr/>
    </dgm:pt>
    <dgm:pt modelId="{2568BC9F-A7E4-411B-B0DB-0FDD2697AECD}" type="pres">
      <dgm:prSet presAssocID="{DEC4155A-2CEB-4979-A1FA-B38E9AEECAA4}" presName="node" presStyleLbl="node1" presStyleIdx="5" presStyleCnt="6">
        <dgm:presLayoutVars>
          <dgm:bulletEnabled val="1"/>
        </dgm:presLayoutVars>
      </dgm:prSet>
      <dgm:spPr/>
    </dgm:pt>
  </dgm:ptLst>
  <dgm:cxnLst>
    <dgm:cxn modelId="{AB6CE011-6053-4A75-8485-21D828A0DCD7}" type="presOf" srcId="{070D53DC-4E9F-4C59-8AAF-89A1EBF633C2}" destId="{5546AC24-E637-41DF-BEBD-95851A321F3F}" srcOrd="0" destOrd="0" presId="urn:microsoft.com/office/officeart/2005/8/layout/process1"/>
    <dgm:cxn modelId="{601FBB3A-D497-4715-9D38-9F3CEFAE8CDB}" type="presOf" srcId="{8638F9F9-C459-4D47-91D9-3BE5A3CD4272}" destId="{DEFE7F3D-0131-476C-9EF6-8AB141810182}" srcOrd="1" destOrd="0" presId="urn:microsoft.com/office/officeart/2005/8/layout/process1"/>
    <dgm:cxn modelId="{AA32BF3A-A6DD-41F6-BB37-033498577C2C}" type="presOf" srcId="{A9347010-4234-4077-9EE0-8324FDAA0974}" destId="{18F09162-F75F-435C-9131-65BCE486A5C0}" srcOrd="0" destOrd="0" presId="urn:microsoft.com/office/officeart/2005/8/layout/process1"/>
    <dgm:cxn modelId="{FE651C5B-9EE4-4886-B591-EC1E6A91C56B}" srcId="{1BB16589-FABF-41BD-81CF-E72535E5EAB9}" destId="{DEC4155A-2CEB-4979-A1FA-B38E9AEECAA4}" srcOrd="5" destOrd="0" parTransId="{1AFF927F-D7DC-4EFC-ACDE-87CE40BCCCE7}" sibTransId="{83D43DE4-9010-4CE6-910B-B5D62DE8EC38}"/>
    <dgm:cxn modelId="{90ECFA41-8960-438B-BA7A-7083E005A118}" type="presOf" srcId="{52140333-DEFC-4B0C-855E-E1C8F2150202}" destId="{ED859A76-141A-45B3-AED3-1B491B873F49}" srcOrd="0" destOrd="0" presId="urn:microsoft.com/office/officeart/2005/8/layout/process1"/>
    <dgm:cxn modelId="{4435A567-1809-46F2-9B36-9E29B0414562}" srcId="{1BB16589-FABF-41BD-81CF-E72535E5EAB9}" destId="{070D53DC-4E9F-4C59-8AAF-89A1EBF633C2}" srcOrd="0" destOrd="0" parTransId="{1F707228-6962-4B86-BE9D-E8B134DC84B3}" sibTransId="{25735CBC-4FBA-4D24-B447-17DC5FE12447}"/>
    <dgm:cxn modelId="{A1A7C567-DFE2-4A2F-9842-471C9D6F672F}" type="presOf" srcId="{8638F9F9-C459-4D47-91D9-3BE5A3CD4272}" destId="{9B6AE019-0A73-4ECC-9D56-AF6F2B5A1A2A}" srcOrd="0" destOrd="0" presId="urn:microsoft.com/office/officeart/2005/8/layout/process1"/>
    <dgm:cxn modelId="{F4151B6B-A045-45F2-98C6-2949A737F79E}" type="presOf" srcId="{CBD08AEA-6224-4B6F-AC51-2DBA0DFB2C0F}" destId="{5DB3365F-D1FE-4DC0-97C0-FD2DF47CA86C}" srcOrd="0" destOrd="0" presId="urn:microsoft.com/office/officeart/2005/8/layout/process1"/>
    <dgm:cxn modelId="{4418526D-E8F9-4523-BC50-1993A0E4C3E0}" srcId="{1BB16589-FABF-41BD-81CF-E72535E5EAB9}" destId="{CBD08AEA-6224-4B6F-AC51-2DBA0DFB2C0F}" srcOrd="1" destOrd="0" parTransId="{1FF69E92-0109-4846-B564-3961836AFA46}" sibTransId="{8638F9F9-C459-4D47-91D9-3BE5A3CD4272}"/>
    <dgm:cxn modelId="{20E76B72-6FA0-4A4F-BB13-52CA6DE9B844}" type="presOf" srcId="{52140333-DEFC-4B0C-855E-E1C8F2150202}" destId="{DE1E59DE-4DE9-4436-AB0E-2DCBB5A29212}" srcOrd="1" destOrd="0" presId="urn:microsoft.com/office/officeart/2005/8/layout/process1"/>
    <dgm:cxn modelId="{F95C9052-E705-4AC1-BF91-2F0FBB5FCAA2}" srcId="{1BB16589-FABF-41BD-81CF-E72535E5EAB9}" destId="{3D46E24B-3CA5-4A17-A14B-DD259887802F}" srcOrd="4" destOrd="0" parTransId="{B60CE074-4D8A-4CC0-AFF6-B7341B9A3401}" sibTransId="{A9347010-4234-4077-9EE0-8324FDAA0974}"/>
    <dgm:cxn modelId="{2B64CE52-E375-4843-9E49-8C2769ECBBA0}" type="presOf" srcId="{82AEEAE3-0DC9-4125-9E49-0BEF5F9EEA02}" destId="{3FF110AF-56A3-413F-B700-BC07F0B8ADB2}" srcOrd="1" destOrd="0" presId="urn:microsoft.com/office/officeart/2005/8/layout/process1"/>
    <dgm:cxn modelId="{48E40D8E-940E-4F05-874F-AF261DF924CC}" type="presOf" srcId="{DEC4155A-2CEB-4979-A1FA-B38E9AEECAA4}" destId="{2568BC9F-A7E4-411B-B0DB-0FDD2697AECD}" srcOrd="0" destOrd="0" presId="urn:microsoft.com/office/officeart/2005/8/layout/process1"/>
    <dgm:cxn modelId="{0BEB88B2-028D-49A7-B11E-D705139794F1}" type="presOf" srcId="{6468DD6C-9C94-4639-BC5B-72940DDF7092}" destId="{E1323C78-7BED-45FF-BFCD-EBB34C87AC89}" srcOrd="0" destOrd="0" presId="urn:microsoft.com/office/officeart/2005/8/layout/process1"/>
    <dgm:cxn modelId="{ADD776BD-4825-4ADC-8BC5-EF5D2F1B673D}" type="presOf" srcId="{25735CBC-4FBA-4D24-B447-17DC5FE12447}" destId="{D06DB6E4-E500-4C15-8C50-FBB5A3CFAB1F}" srcOrd="0" destOrd="0" presId="urn:microsoft.com/office/officeart/2005/8/layout/process1"/>
    <dgm:cxn modelId="{564590BD-9093-4155-98C0-23111B155DB5}" type="presOf" srcId="{82AEEAE3-0DC9-4125-9E49-0BEF5F9EEA02}" destId="{1D81B4C8-409B-41E6-B46D-270D89C4F597}" srcOrd="0" destOrd="0" presId="urn:microsoft.com/office/officeart/2005/8/layout/process1"/>
    <dgm:cxn modelId="{F838CEC6-3B0A-46FF-83B9-AC3D3177CFD9}" srcId="{1BB16589-FABF-41BD-81CF-E72535E5EAB9}" destId="{E24C1968-6077-4253-8339-4BF9838B1E81}" srcOrd="3" destOrd="0" parTransId="{9B9C3AAB-9E7B-4535-AF57-D759E8A4B90D}" sibTransId="{52140333-DEFC-4B0C-855E-E1C8F2150202}"/>
    <dgm:cxn modelId="{253B9CCE-CF96-4484-897B-DEC4A2911970}" type="presOf" srcId="{25735CBC-4FBA-4D24-B447-17DC5FE12447}" destId="{C7A81985-0906-489D-A962-E7106C052B56}" srcOrd="1" destOrd="0" presId="urn:microsoft.com/office/officeart/2005/8/layout/process1"/>
    <dgm:cxn modelId="{AF7EE1D6-A30F-4549-98AD-A38F320092D6}" type="presOf" srcId="{3D46E24B-3CA5-4A17-A14B-DD259887802F}" destId="{59ADA336-5888-429E-BCC4-E305E352C7B8}" srcOrd="0" destOrd="0" presId="urn:microsoft.com/office/officeart/2005/8/layout/process1"/>
    <dgm:cxn modelId="{54A8B2E3-98E7-444C-939F-3ED063CD1860}" srcId="{1BB16589-FABF-41BD-81CF-E72535E5EAB9}" destId="{6468DD6C-9C94-4639-BC5B-72940DDF7092}" srcOrd="2" destOrd="0" parTransId="{818433D8-1D44-40D0-B65B-A25AFECB589F}" sibTransId="{82AEEAE3-0DC9-4125-9E49-0BEF5F9EEA02}"/>
    <dgm:cxn modelId="{6399C2E3-9AF4-4773-9F19-092195EB0BD0}" type="presOf" srcId="{1BB16589-FABF-41BD-81CF-E72535E5EAB9}" destId="{BF6755CC-F950-44FB-8DCA-4F8924DA6D78}" srcOrd="0" destOrd="0" presId="urn:microsoft.com/office/officeart/2005/8/layout/process1"/>
    <dgm:cxn modelId="{B69916E5-77C0-407F-B6C7-6CD2D967A9DE}" type="presOf" srcId="{E24C1968-6077-4253-8339-4BF9838B1E81}" destId="{11EEA745-6B75-46AC-8185-46A165D92E70}" srcOrd="0" destOrd="0" presId="urn:microsoft.com/office/officeart/2005/8/layout/process1"/>
    <dgm:cxn modelId="{BE3A7DEE-B69A-4B07-A6F8-B46D69B07623}" type="presOf" srcId="{A9347010-4234-4077-9EE0-8324FDAA0974}" destId="{795F7D05-DC83-451E-90F6-1DA638926863}" srcOrd="1" destOrd="0" presId="urn:microsoft.com/office/officeart/2005/8/layout/process1"/>
    <dgm:cxn modelId="{CEA49629-879D-4AEC-86B3-D910B1C96DFF}" type="presParOf" srcId="{BF6755CC-F950-44FB-8DCA-4F8924DA6D78}" destId="{5546AC24-E637-41DF-BEBD-95851A321F3F}" srcOrd="0" destOrd="0" presId="urn:microsoft.com/office/officeart/2005/8/layout/process1"/>
    <dgm:cxn modelId="{23721E23-FC7D-4D57-82B7-8452F5328223}" type="presParOf" srcId="{BF6755CC-F950-44FB-8DCA-4F8924DA6D78}" destId="{D06DB6E4-E500-4C15-8C50-FBB5A3CFAB1F}" srcOrd="1" destOrd="0" presId="urn:microsoft.com/office/officeart/2005/8/layout/process1"/>
    <dgm:cxn modelId="{AD570BCF-0DE5-40B5-89BD-C120A67B8C0D}" type="presParOf" srcId="{D06DB6E4-E500-4C15-8C50-FBB5A3CFAB1F}" destId="{C7A81985-0906-489D-A962-E7106C052B56}" srcOrd="0" destOrd="0" presId="urn:microsoft.com/office/officeart/2005/8/layout/process1"/>
    <dgm:cxn modelId="{8BDF09F6-F7B6-446B-807F-3B53649087C4}" type="presParOf" srcId="{BF6755CC-F950-44FB-8DCA-4F8924DA6D78}" destId="{5DB3365F-D1FE-4DC0-97C0-FD2DF47CA86C}" srcOrd="2" destOrd="0" presId="urn:microsoft.com/office/officeart/2005/8/layout/process1"/>
    <dgm:cxn modelId="{A9651ECB-FFA7-47B1-A625-5F1042F41EBA}" type="presParOf" srcId="{BF6755CC-F950-44FB-8DCA-4F8924DA6D78}" destId="{9B6AE019-0A73-4ECC-9D56-AF6F2B5A1A2A}" srcOrd="3" destOrd="0" presId="urn:microsoft.com/office/officeart/2005/8/layout/process1"/>
    <dgm:cxn modelId="{8DF1D7E9-21FB-4C2E-B76A-E778780621F1}" type="presParOf" srcId="{9B6AE019-0A73-4ECC-9D56-AF6F2B5A1A2A}" destId="{DEFE7F3D-0131-476C-9EF6-8AB141810182}" srcOrd="0" destOrd="0" presId="urn:microsoft.com/office/officeart/2005/8/layout/process1"/>
    <dgm:cxn modelId="{F85841EF-8432-49F3-A351-7BAAB52E5713}" type="presParOf" srcId="{BF6755CC-F950-44FB-8DCA-4F8924DA6D78}" destId="{E1323C78-7BED-45FF-BFCD-EBB34C87AC89}" srcOrd="4" destOrd="0" presId="urn:microsoft.com/office/officeart/2005/8/layout/process1"/>
    <dgm:cxn modelId="{213CCABB-F620-47F4-BC42-AC5392AF5402}" type="presParOf" srcId="{BF6755CC-F950-44FB-8DCA-4F8924DA6D78}" destId="{1D81B4C8-409B-41E6-B46D-270D89C4F597}" srcOrd="5" destOrd="0" presId="urn:microsoft.com/office/officeart/2005/8/layout/process1"/>
    <dgm:cxn modelId="{33E3DDED-E756-4E5B-9FD4-ED965FFF6A04}" type="presParOf" srcId="{1D81B4C8-409B-41E6-B46D-270D89C4F597}" destId="{3FF110AF-56A3-413F-B700-BC07F0B8ADB2}" srcOrd="0" destOrd="0" presId="urn:microsoft.com/office/officeart/2005/8/layout/process1"/>
    <dgm:cxn modelId="{CD9D06F3-4E03-421C-B7E6-B258B4BB0937}" type="presParOf" srcId="{BF6755CC-F950-44FB-8DCA-4F8924DA6D78}" destId="{11EEA745-6B75-46AC-8185-46A165D92E70}" srcOrd="6" destOrd="0" presId="urn:microsoft.com/office/officeart/2005/8/layout/process1"/>
    <dgm:cxn modelId="{8CB50BF7-5DAE-489E-961A-40802D365044}" type="presParOf" srcId="{BF6755CC-F950-44FB-8DCA-4F8924DA6D78}" destId="{ED859A76-141A-45B3-AED3-1B491B873F49}" srcOrd="7" destOrd="0" presId="urn:microsoft.com/office/officeart/2005/8/layout/process1"/>
    <dgm:cxn modelId="{EB876CE1-CE79-47A7-B40E-8786E1EBFC43}" type="presParOf" srcId="{ED859A76-141A-45B3-AED3-1B491B873F49}" destId="{DE1E59DE-4DE9-4436-AB0E-2DCBB5A29212}" srcOrd="0" destOrd="0" presId="urn:microsoft.com/office/officeart/2005/8/layout/process1"/>
    <dgm:cxn modelId="{0DBC28DB-BA94-4B47-9794-4238B5D3CEA3}" type="presParOf" srcId="{BF6755CC-F950-44FB-8DCA-4F8924DA6D78}" destId="{59ADA336-5888-429E-BCC4-E305E352C7B8}" srcOrd="8" destOrd="0" presId="urn:microsoft.com/office/officeart/2005/8/layout/process1"/>
    <dgm:cxn modelId="{55CFA69B-9AA4-4D3C-9A6D-F7837D8C8A58}" type="presParOf" srcId="{BF6755CC-F950-44FB-8DCA-4F8924DA6D78}" destId="{18F09162-F75F-435C-9131-65BCE486A5C0}" srcOrd="9" destOrd="0" presId="urn:microsoft.com/office/officeart/2005/8/layout/process1"/>
    <dgm:cxn modelId="{7D770DBA-D730-4256-B377-A42ECD6C346C}" type="presParOf" srcId="{18F09162-F75F-435C-9131-65BCE486A5C0}" destId="{795F7D05-DC83-451E-90F6-1DA638926863}" srcOrd="0" destOrd="0" presId="urn:microsoft.com/office/officeart/2005/8/layout/process1"/>
    <dgm:cxn modelId="{734D97A6-8981-4943-9F9C-D447071DEB4A}" type="presParOf" srcId="{BF6755CC-F950-44FB-8DCA-4F8924DA6D78}" destId="{2568BC9F-A7E4-411B-B0DB-0FDD2697AECD}" srcOrd="10" destOrd="0" presId="urn:microsoft.com/office/officeart/2005/8/layout/process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546AC24-E637-41DF-BEBD-95851A321F3F}">
      <dsp:nvSpPr>
        <dsp:cNvPr id="0" name=""/>
        <dsp:cNvSpPr/>
      </dsp:nvSpPr>
      <dsp:spPr>
        <a:xfrm>
          <a:off x="0" y="1064279"/>
          <a:ext cx="571500" cy="614641"/>
        </a:xfrm>
        <a:prstGeom prst="roundRect">
          <a:avLst>
            <a:gd name="adj" fmla="val 10000"/>
          </a:avLst>
        </a:prstGeom>
        <a:solidFill>
          <a:schemeClr val="lt1">
            <a:hueOff val="0"/>
            <a:satOff val="0"/>
            <a:lumOff val="0"/>
            <a:alphaOff val="0"/>
          </a:schemeClr>
        </a:solidFill>
        <a:ln w="19050" cap="flat" cmpd="sng" algn="ctr">
          <a:solidFill>
            <a:schemeClr val="accent5">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Set up treatment in the GC</a:t>
          </a:r>
        </a:p>
      </dsp:txBody>
      <dsp:txXfrm>
        <a:off x="16739" y="1081018"/>
        <a:ext cx="538022" cy="581163"/>
      </dsp:txXfrm>
    </dsp:sp>
    <dsp:sp modelId="{D06DB6E4-E500-4C15-8C50-FBB5A3CFAB1F}">
      <dsp:nvSpPr>
        <dsp:cNvPr id="0" name=""/>
        <dsp:cNvSpPr/>
      </dsp:nvSpPr>
      <dsp:spPr>
        <a:xfrm>
          <a:off x="628650" y="1300734"/>
          <a:ext cx="121158" cy="141732"/>
        </a:xfrm>
        <a:prstGeom prst="rightArrow">
          <a:avLst>
            <a:gd name="adj1" fmla="val 60000"/>
            <a:gd name="adj2" fmla="val 50000"/>
          </a:avLst>
        </a:prstGeom>
        <a:solidFill>
          <a:schemeClr val="accent5">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628650" y="1329080"/>
        <a:ext cx="84811" cy="85040"/>
      </dsp:txXfrm>
    </dsp:sp>
    <dsp:sp modelId="{5DB3365F-D1FE-4DC0-97C0-FD2DF47CA86C}">
      <dsp:nvSpPr>
        <dsp:cNvPr id="0" name=""/>
        <dsp:cNvSpPr/>
      </dsp:nvSpPr>
      <dsp:spPr>
        <a:xfrm>
          <a:off x="800100" y="1064279"/>
          <a:ext cx="571500" cy="614641"/>
        </a:xfrm>
        <a:prstGeom prst="roundRect">
          <a:avLst>
            <a:gd name="adj" fmla="val 10000"/>
          </a:avLst>
        </a:prstGeom>
        <a:solidFill>
          <a:schemeClr val="lt1">
            <a:hueOff val="0"/>
            <a:satOff val="0"/>
            <a:lumOff val="0"/>
            <a:alphaOff val="0"/>
          </a:schemeClr>
        </a:solidFill>
        <a:ln w="19050" cap="flat" cmpd="sng" algn="ctr">
          <a:solidFill>
            <a:schemeClr val="accent5">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Wait 30 minutes to stabilize</a:t>
          </a:r>
        </a:p>
      </dsp:txBody>
      <dsp:txXfrm>
        <a:off x="816839" y="1081018"/>
        <a:ext cx="538022" cy="581163"/>
      </dsp:txXfrm>
    </dsp:sp>
    <dsp:sp modelId="{9B6AE019-0A73-4ECC-9D56-AF6F2B5A1A2A}">
      <dsp:nvSpPr>
        <dsp:cNvPr id="0" name=""/>
        <dsp:cNvSpPr/>
      </dsp:nvSpPr>
      <dsp:spPr>
        <a:xfrm>
          <a:off x="1428750" y="1300734"/>
          <a:ext cx="121158" cy="141732"/>
        </a:xfrm>
        <a:prstGeom prst="rightArrow">
          <a:avLst>
            <a:gd name="adj1" fmla="val 60000"/>
            <a:gd name="adj2" fmla="val 50000"/>
          </a:avLst>
        </a:prstGeom>
        <a:solidFill>
          <a:schemeClr val="accent5">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1428750" y="1329080"/>
        <a:ext cx="84811" cy="85040"/>
      </dsp:txXfrm>
    </dsp:sp>
    <dsp:sp modelId="{E1323C78-7BED-45FF-BFCD-EBB34C87AC89}">
      <dsp:nvSpPr>
        <dsp:cNvPr id="0" name=""/>
        <dsp:cNvSpPr/>
      </dsp:nvSpPr>
      <dsp:spPr>
        <a:xfrm>
          <a:off x="1600200" y="1064279"/>
          <a:ext cx="571500" cy="614641"/>
        </a:xfrm>
        <a:prstGeom prst="roundRect">
          <a:avLst>
            <a:gd name="adj" fmla="val 10000"/>
          </a:avLst>
        </a:prstGeom>
        <a:solidFill>
          <a:schemeClr val="lt1">
            <a:hueOff val="0"/>
            <a:satOff val="0"/>
            <a:lumOff val="0"/>
            <a:alphaOff val="0"/>
          </a:schemeClr>
        </a:solidFill>
        <a:ln w="19050" cap="flat" cmpd="sng" algn="ctr">
          <a:solidFill>
            <a:schemeClr val="accent5">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Weight pots</a:t>
          </a:r>
        </a:p>
      </dsp:txBody>
      <dsp:txXfrm>
        <a:off x="1616939" y="1081018"/>
        <a:ext cx="538022" cy="581163"/>
      </dsp:txXfrm>
    </dsp:sp>
    <dsp:sp modelId="{1D81B4C8-409B-41E6-B46D-270D89C4F597}">
      <dsp:nvSpPr>
        <dsp:cNvPr id="0" name=""/>
        <dsp:cNvSpPr/>
      </dsp:nvSpPr>
      <dsp:spPr>
        <a:xfrm>
          <a:off x="2228850" y="1300734"/>
          <a:ext cx="121158" cy="141732"/>
        </a:xfrm>
        <a:prstGeom prst="rightArrow">
          <a:avLst>
            <a:gd name="adj1" fmla="val 60000"/>
            <a:gd name="adj2" fmla="val 50000"/>
          </a:avLst>
        </a:prstGeom>
        <a:solidFill>
          <a:schemeClr val="accent5">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2228850" y="1329080"/>
        <a:ext cx="84811" cy="85040"/>
      </dsp:txXfrm>
    </dsp:sp>
    <dsp:sp modelId="{11EEA745-6B75-46AC-8185-46A165D92E70}">
      <dsp:nvSpPr>
        <dsp:cNvPr id="0" name=""/>
        <dsp:cNvSpPr/>
      </dsp:nvSpPr>
      <dsp:spPr>
        <a:xfrm>
          <a:off x="2400300" y="1064279"/>
          <a:ext cx="571500" cy="614641"/>
        </a:xfrm>
        <a:prstGeom prst="roundRect">
          <a:avLst>
            <a:gd name="adj" fmla="val 10000"/>
          </a:avLst>
        </a:prstGeom>
        <a:solidFill>
          <a:schemeClr val="lt1">
            <a:hueOff val="0"/>
            <a:satOff val="0"/>
            <a:lumOff val="0"/>
            <a:alphaOff val="0"/>
          </a:schemeClr>
        </a:solidFill>
        <a:ln w="19050" cap="flat" cmpd="sng" algn="ctr">
          <a:solidFill>
            <a:schemeClr val="accent5">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Start treatment </a:t>
          </a:r>
        </a:p>
      </dsp:txBody>
      <dsp:txXfrm>
        <a:off x="2417039" y="1081018"/>
        <a:ext cx="538022" cy="581163"/>
      </dsp:txXfrm>
    </dsp:sp>
    <dsp:sp modelId="{ED859A76-141A-45B3-AED3-1B491B873F49}">
      <dsp:nvSpPr>
        <dsp:cNvPr id="0" name=""/>
        <dsp:cNvSpPr/>
      </dsp:nvSpPr>
      <dsp:spPr>
        <a:xfrm>
          <a:off x="3028950" y="1300734"/>
          <a:ext cx="121157" cy="141732"/>
        </a:xfrm>
        <a:prstGeom prst="rightArrow">
          <a:avLst>
            <a:gd name="adj1" fmla="val 60000"/>
            <a:gd name="adj2" fmla="val 50000"/>
          </a:avLst>
        </a:prstGeom>
        <a:solidFill>
          <a:schemeClr val="accent5">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3028950" y="1329080"/>
        <a:ext cx="84810" cy="85040"/>
      </dsp:txXfrm>
    </dsp:sp>
    <dsp:sp modelId="{59ADA336-5888-429E-BCC4-E305E352C7B8}">
      <dsp:nvSpPr>
        <dsp:cNvPr id="0" name=""/>
        <dsp:cNvSpPr/>
      </dsp:nvSpPr>
      <dsp:spPr>
        <a:xfrm>
          <a:off x="3200400" y="1064279"/>
          <a:ext cx="571500" cy="614641"/>
        </a:xfrm>
        <a:prstGeom prst="roundRect">
          <a:avLst>
            <a:gd name="adj" fmla="val 10000"/>
          </a:avLst>
        </a:prstGeom>
        <a:solidFill>
          <a:schemeClr val="lt1">
            <a:hueOff val="0"/>
            <a:satOff val="0"/>
            <a:lumOff val="0"/>
            <a:alphaOff val="0"/>
          </a:schemeClr>
        </a:solidFill>
        <a:ln w="19050" cap="flat" cmpd="sng" algn="ctr">
          <a:solidFill>
            <a:schemeClr val="accent5">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35 minutes</a:t>
          </a:r>
        </a:p>
      </dsp:txBody>
      <dsp:txXfrm>
        <a:off x="3217139" y="1081018"/>
        <a:ext cx="538022" cy="581163"/>
      </dsp:txXfrm>
    </dsp:sp>
    <dsp:sp modelId="{18F09162-F75F-435C-9131-65BCE486A5C0}">
      <dsp:nvSpPr>
        <dsp:cNvPr id="0" name=""/>
        <dsp:cNvSpPr/>
      </dsp:nvSpPr>
      <dsp:spPr>
        <a:xfrm>
          <a:off x="3829050" y="1300734"/>
          <a:ext cx="121157" cy="141732"/>
        </a:xfrm>
        <a:prstGeom prst="rightArrow">
          <a:avLst>
            <a:gd name="adj1" fmla="val 60000"/>
            <a:gd name="adj2" fmla="val 50000"/>
          </a:avLst>
        </a:prstGeom>
        <a:solidFill>
          <a:schemeClr val="accent5">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3829050" y="1329080"/>
        <a:ext cx="84810" cy="85040"/>
      </dsp:txXfrm>
    </dsp:sp>
    <dsp:sp modelId="{2568BC9F-A7E4-411B-B0DB-0FDD2697AECD}">
      <dsp:nvSpPr>
        <dsp:cNvPr id="0" name=""/>
        <dsp:cNvSpPr/>
      </dsp:nvSpPr>
      <dsp:spPr>
        <a:xfrm>
          <a:off x="4000500" y="1064279"/>
          <a:ext cx="571500" cy="614641"/>
        </a:xfrm>
        <a:prstGeom prst="roundRect">
          <a:avLst>
            <a:gd name="adj" fmla="val 10000"/>
          </a:avLst>
        </a:prstGeom>
        <a:solidFill>
          <a:schemeClr val="lt1">
            <a:hueOff val="0"/>
            <a:satOff val="0"/>
            <a:lumOff val="0"/>
            <a:alphaOff val="0"/>
          </a:schemeClr>
        </a:solidFill>
        <a:ln w="19050" cap="flat" cmpd="sng" algn="ctr">
          <a:solidFill>
            <a:schemeClr val="accent5">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4290" tIns="34290" rIns="34290" bIns="34290" numCol="1" spcCol="1270" anchor="ctr" anchorCtr="0">
          <a:noAutofit/>
        </a:bodyPr>
        <a:lstStyle/>
        <a:p>
          <a:pPr marL="0" lvl="0" indent="0" algn="ctr" defTabSz="400050">
            <a:lnSpc>
              <a:spcPct val="90000"/>
            </a:lnSpc>
            <a:spcBef>
              <a:spcPct val="0"/>
            </a:spcBef>
            <a:spcAft>
              <a:spcPct val="35000"/>
            </a:spcAft>
            <a:buNone/>
          </a:pPr>
          <a:r>
            <a:rPr lang="pt-BR" sz="900" kern="1200"/>
            <a:t>Weight pots</a:t>
          </a:r>
        </a:p>
      </dsp:txBody>
      <dsp:txXfrm>
        <a:off x="4017239" y="1081018"/>
        <a:ext cx="538022" cy="58116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546AC24-E637-41DF-BEBD-95851A321F3F}">
      <dsp:nvSpPr>
        <dsp:cNvPr id="0" name=""/>
        <dsp:cNvSpPr/>
      </dsp:nvSpPr>
      <dsp:spPr>
        <a:xfrm>
          <a:off x="0" y="898209"/>
          <a:ext cx="622697" cy="775330"/>
        </a:xfrm>
        <a:prstGeom prst="roundRect">
          <a:avLst>
            <a:gd name="adj" fmla="val 10000"/>
          </a:avLst>
        </a:prstGeom>
        <a:solidFill>
          <a:schemeClr val="lt1">
            <a:hueOff val="0"/>
            <a:satOff val="0"/>
            <a:lumOff val="0"/>
            <a:alphaOff val="0"/>
          </a:schemeClr>
        </a:solidFill>
        <a:ln w="1905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pt-BR" sz="800" kern="1200"/>
            <a:t>Set up treatment in the GC</a:t>
          </a:r>
        </a:p>
      </dsp:txBody>
      <dsp:txXfrm>
        <a:off x="18238" y="916447"/>
        <a:ext cx="586221" cy="738854"/>
      </dsp:txXfrm>
    </dsp:sp>
    <dsp:sp modelId="{D06DB6E4-E500-4C15-8C50-FBB5A3CFAB1F}">
      <dsp:nvSpPr>
        <dsp:cNvPr id="0" name=""/>
        <dsp:cNvSpPr/>
      </dsp:nvSpPr>
      <dsp:spPr>
        <a:xfrm>
          <a:off x="684966" y="1208660"/>
          <a:ext cx="132011" cy="154428"/>
        </a:xfrm>
        <a:prstGeom prst="rightArrow">
          <a:avLst>
            <a:gd name="adj1" fmla="val 60000"/>
            <a:gd name="adj2" fmla="val 50000"/>
          </a:avLst>
        </a:prstGeom>
        <a:solidFill>
          <a:schemeClr val="accent2">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684966" y="1239546"/>
        <a:ext cx="92408" cy="92656"/>
      </dsp:txXfrm>
    </dsp:sp>
    <dsp:sp modelId="{5DB3365F-D1FE-4DC0-97C0-FD2DF47CA86C}">
      <dsp:nvSpPr>
        <dsp:cNvPr id="0" name=""/>
        <dsp:cNvSpPr/>
      </dsp:nvSpPr>
      <dsp:spPr>
        <a:xfrm>
          <a:off x="871775" y="898209"/>
          <a:ext cx="622697" cy="775330"/>
        </a:xfrm>
        <a:prstGeom prst="roundRect">
          <a:avLst>
            <a:gd name="adj" fmla="val 10000"/>
          </a:avLst>
        </a:prstGeom>
        <a:solidFill>
          <a:schemeClr val="lt1">
            <a:hueOff val="0"/>
            <a:satOff val="0"/>
            <a:lumOff val="0"/>
            <a:alphaOff val="0"/>
          </a:schemeClr>
        </a:solidFill>
        <a:ln w="1905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pt-BR" sz="800" kern="1200"/>
            <a:t>wait stabilizing (variable)</a:t>
          </a:r>
        </a:p>
      </dsp:txBody>
      <dsp:txXfrm>
        <a:off x="890013" y="916447"/>
        <a:ext cx="586221" cy="738854"/>
      </dsp:txXfrm>
    </dsp:sp>
    <dsp:sp modelId="{9B6AE019-0A73-4ECC-9D56-AF6F2B5A1A2A}">
      <dsp:nvSpPr>
        <dsp:cNvPr id="0" name=""/>
        <dsp:cNvSpPr/>
      </dsp:nvSpPr>
      <dsp:spPr>
        <a:xfrm>
          <a:off x="1556742" y="1208660"/>
          <a:ext cx="132011" cy="154428"/>
        </a:xfrm>
        <a:prstGeom prst="rightArrow">
          <a:avLst>
            <a:gd name="adj1" fmla="val 60000"/>
            <a:gd name="adj2" fmla="val 50000"/>
          </a:avLst>
        </a:prstGeom>
        <a:solidFill>
          <a:schemeClr val="accent2">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1556742" y="1239546"/>
        <a:ext cx="92408" cy="92656"/>
      </dsp:txXfrm>
    </dsp:sp>
    <dsp:sp modelId="{E1323C78-7BED-45FF-BFCD-EBB34C87AC89}">
      <dsp:nvSpPr>
        <dsp:cNvPr id="0" name=""/>
        <dsp:cNvSpPr/>
      </dsp:nvSpPr>
      <dsp:spPr>
        <a:xfrm>
          <a:off x="1743551" y="898209"/>
          <a:ext cx="622697" cy="775330"/>
        </a:xfrm>
        <a:prstGeom prst="roundRect">
          <a:avLst>
            <a:gd name="adj" fmla="val 10000"/>
          </a:avLst>
        </a:prstGeom>
        <a:solidFill>
          <a:schemeClr val="lt1">
            <a:hueOff val="0"/>
            <a:satOff val="0"/>
            <a:lumOff val="0"/>
            <a:alphaOff val="0"/>
          </a:schemeClr>
        </a:solidFill>
        <a:ln w="1905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pt-BR" sz="800" kern="1200"/>
            <a:t>Start treatment</a:t>
          </a:r>
        </a:p>
      </dsp:txBody>
      <dsp:txXfrm>
        <a:off x="1761789" y="916447"/>
        <a:ext cx="586221" cy="738854"/>
      </dsp:txXfrm>
    </dsp:sp>
    <dsp:sp modelId="{1D81B4C8-409B-41E6-B46D-270D89C4F597}">
      <dsp:nvSpPr>
        <dsp:cNvPr id="0" name=""/>
        <dsp:cNvSpPr/>
      </dsp:nvSpPr>
      <dsp:spPr>
        <a:xfrm>
          <a:off x="2428518" y="1208660"/>
          <a:ext cx="132011" cy="154428"/>
        </a:xfrm>
        <a:prstGeom prst="rightArrow">
          <a:avLst>
            <a:gd name="adj1" fmla="val 60000"/>
            <a:gd name="adj2" fmla="val 50000"/>
          </a:avLst>
        </a:prstGeom>
        <a:solidFill>
          <a:schemeClr val="accent2">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2428518" y="1239546"/>
        <a:ext cx="92408" cy="92656"/>
      </dsp:txXfrm>
    </dsp:sp>
    <dsp:sp modelId="{11EEA745-6B75-46AC-8185-46A165D92E70}">
      <dsp:nvSpPr>
        <dsp:cNvPr id="0" name=""/>
        <dsp:cNvSpPr/>
      </dsp:nvSpPr>
      <dsp:spPr>
        <a:xfrm>
          <a:off x="2615327" y="898209"/>
          <a:ext cx="622697" cy="775330"/>
        </a:xfrm>
        <a:prstGeom prst="roundRect">
          <a:avLst>
            <a:gd name="adj" fmla="val 10000"/>
          </a:avLst>
        </a:prstGeom>
        <a:solidFill>
          <a:schemeClr val="lt1">
            <a:hueOff val="0"/>
            <a:satOff val="0"/>
            <a:lumOff val="0"/>
            <a:alphaOff val="0"/>
          </a:schemeClr>
        </a:solidFill>
        <a:ln w="1905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pt-BR" sz="800" kern="1200"/>
            <a:t>35 minutes</a:t>
          </a:r>
        </a:p>
      </dsp:txBody>
      <dsp:txXfrm>
        <a:off x="2633565" y="916447"/>
        <a:ext cx="586221" cy="738854"/>
      </dsp:txXfrm>
    </dsp:sp>
    <dsp:sp modelId="{ED859A76-141A-45B3-AED3-1B491B873F49}">
      <dsp:nvSpPr>
        <dsp:cNvPr id="0" name=""/>
        <dsp:cNvSpPr/>
      </dsp:nvSpPr>
      <dsp:spPr>
        <a:xfrm>
          <a:off x="3300294" y="1208660"/>
          <a:ext cx="132011" cy="154428"/>
        </a:xfrm>
        <a:prstGeom prst="rightArrow">
          <a:avLst>
            <a:gd name="adj1" fmla="val 60000"/>
            <a:gd name="adj2" fmla="val 50000"/>
          </a:avLst>
        </a:prstGeom>
        <a:solidFill>
          <a:schemeClr val="accent2">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3300294" y="1239546"/>
        <a:ext cx="92408" cy="92656"/>
      </dsp:txXfrm>
    </dsp:sp>
    <dsp:sp modelId="{59ADA336-5888-429E-BCC4-E305E352C7B8}">
      <dsp:nvSpPr>
        <dsp:cNvPr id="0" name=""/>
        <dsp:cNvSpPr/>
      </dsp:nvSpPr>
      <dsp:spPr>
        <a:xfrm>
          <a:off x="3487103" y="898209"/>
          <a:ext cx="622697" cy="775330"/>
        </a:xfrm>
        <a:prstGeom prst="roundRect">
          <a:avLst>
            <a:gd name="adj" fmla="val 10000"/>
          </a:avLst>
        </a:prstGeom>
        <a:solidFill>
          <a:schemeClr val="lt1">
            <a:hueOff val="0"/>
            <a:satOff val="0"/>
            <a:lumOff val="0"/>
            <a:alphaOff val="0"/>
          </a:schemeClr>
        </a:solidFill>
        <a:ln w="1905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pt-BR" sz="800" kern="1200"/>
            <a:t>Weight pots</a:t>
          </a:r>
        </a:p>
      </dsp:txBody>
      <dsp:txXfrm>
        <a:off x="3505341" y="916447"/>
        <a:ext cx="586221" cy="738854"/>
      </dsp:txXfrm>
    </dsp:sp>
    <dsp:sp modelId="{18F09162-F75F-435C-9131-65BCE486A5C0}">
      <dsp:nvSpPr>
        <dsp:cNvPr id="0" name=""/>
        <dsp:cNvSpPr/>
      </dsp:nvSpPr>
      <dsp:spPr>
        <a:xfrm>
          <a:off x="4172069" y="1208660"/>
          <a:ext cx="132011" cy="154428"/>
        </a:xfrm>
        <a:prstGeom prst="rightArrow">
          <a:avLst>
            <a:gd name="adj1" fmla="val 60000"/>
            <a:gd name="adj2" fmla="val 50000"/>
          </a:avLst>
        </a:prstGeom>
        <a:solidFill>
          <a:schemeClr val="accent2">
            <a:tint val="60000"/>
            <a:hueOff val="0"/>
            <a:satOff val="0"/>
            <a:lumOff val="0"/>
            <a:alphaOff val="0"/>
          </a:schemeClr>
        </a:solidFill>
        <a:ln>
          <a:noFill/>
        </a:ln>
        <a:effectLst/>
      </dsp:spPr>
      <dsp:style>
        <a:lnRef idx="0">
          <a:scrgbClr r="0" g="0" b="0"/>
        </a:lnRef>
        <a:fillRef idx="1">
          <a:scrgbClr r="0" g="0" b="0"/>
        </a:fillRef>
        <a:effectRef idx="0">
          <a:scrgbClr r="0" g="0" b="0"/>
        </a:effectRef>
        <a:fontRef idx="minor">
          <a:schemeClr val="lt1"/>
        </a:fontRef>
      </dsp:style>
      <dsp:txBody>
        <a:bodyPr spcFirstLastPara="0" vert="horz" wrap="square" lIns="0" tIns="0" rIns="0" bIns="0" numCol="1" spcCol="1270" anchor="ctr" anchorCtr="0">
          <a:noAutofit/>
        </a:bodyPr>
        <a:lstStyle/>
        <a:p>
          <a:pPr marL="0" lvl="0" indent="0" algn="ctr" defTabSz="266700">
            <a:lnSpc>
              <a:spcPct val="90000"/>
            </a:lnSpc>
            <a:spcBef>
              <a:spcPct val="0"/>
            </a:spcBef>
            <a:spcAft>
              <a:spcPct val="35000"/>
            </a:spcAft>
            <a:buNone/>
          </a:pPr>
          <a:endParaRPr lang="pt-BR" sz="600" kern="1200"/>
        </a:p>
      </dsp:txBody>
      <dsp:txXfrm>
        <a:off x="4172069" y="1239546"/>
        <a:ext cx="92408" cy="92656"/>
      </dsp:txXfrm>
    </dsp:sp>
    <dsp:sp modelId="{2568BC9F-A7E4-411B-B0DB-0FDD2697AECD}">
      <dsp:nvSpPr>
        <dsp:cNvPr id="0" name=""/>
        <dsp:cNvSpPr/>
      </dsp:nvSpPr>
      <dsp:spPr>
        <a:xfrm>
          <a:off x="4358879" y="898209"/>
          <a:ext cx="622697" cy="775330"/>
        </a:xfrm>
        <a:prstGeom prst="roundRect">
          <a:avLst>
            <a:gd name="adj" fmla="val 10000"/>
          </a:avLst>
        </a:prstGeom>
        <a:solidFill>
          <a:schemeClr val="lt1">
            <a:hueOff val="0"/>
            <a:satOff val="0"/>
            <a:lumOff val="0"/>
            <a:alphaOff val="0"/>
          </a:schemeClr>
        </a:solidFill>
        <a:ln w="1905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0480" tIns="30480" rIns="30480" bIns="30480" numCol="1" spcCol="1270" anchor="ctr" anchorCtr="0">
          <a:noAutofit/>
        </a:bodyPr>
        <a:lstStyle/>
        <a:p>
          <a:pPr marL="0" lvl="0" indent="0" algn="ctr" defTabSz="355600">
            <a:lnSpc>
              <a:spcPct val="90000"/>
            </a:lnSpc>
            <a:spcBef>
              <a:spcPct val="0"/>
            </a:spcBef>
            <a:spcAft>
              <a:spcPct val="35000"/>
            </a:spcAft>
            <a:buNone/>
          </a:pPr>
          <a:r>
            <a:rPr lang="pt-BR" sz="800" kern="1200"/>
            <a:t>weight used as final for this and initial to the next treatment</a:t>
          </a:r>
        </a:p>
      </dsp:txBody>
      <dsp:txXfrm>
        <a:off x="4377117" y="916447"/>
        <a:ext cx="586221" cy="738854"/>
      </dsp:txXfrm>
    </dsp:sp>
  </dsp:spTree>
</dsp:drawing>
</file>

<file path=xl/diagrams/layout1.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process1">
  <dgm:title val=""/>
  <dgm:desc val=""/>
  <dgm:catLst>
    <dgm:cat type="process" pri="1000"/>
    <dgm:cat type="convert" pri="15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ptType="node" refType="w"/>
      <dgm:constr type="h" for="ch" ptType="node" op="equ"/>
      <dgm:constr type="primFontSz" for="ch" ptType="node" op="equ" val="65"/>
      <dgm:constr type="w" for="ch" ptType="sibTrans" refType="w" refFor="ch" refPtType="node" op="equ" fact="0.4"/>
      <dgm:constr type="h" for="ch" ptType="sibTrans" op="equ"/>
      <dgm:constr type="primFontSz" for="des" forName="connectorText" op="equ" val="55"/>
      <dgm:constr type="primFontSz" for="des" forName="connectorText" refType="primFontSz" refFor="ch" refPtType="node" op="lte" fact="0.8"/>
    </dgm:constrLst>
    <dgm:ruleLst/>
    <dgm:forEach name="nodesForEach" axis="ch" ptType="node">
      <dgm:layoutNode name="node">
        <dgm:varLst>
          <dgm:bulletEnabled val="1"/>
        </dgm:varLst>
        <dgm:alg type="tx"/>
        <dgm:shape xmlns:r="http://schemas.openxmlformats.org/officeDocument/2006/relationships" type="roundRect" r:blip="">
          <dgm:adjLst>
            <dgm:adj idx="1" val="0.1"/>
          </dgm:adjLst>
        </dgm:shape>
        <dgm:presOf axis="desOrSelf" ptType="node"/>
        <dgm:constrLst>
          <dgm:constr type="h" refType="w" fact="0.6"/>
          <dgm:constr type="tMarg" refType="primFontSz" fact="0.3"/>
          <dgm:constr type="bMarg" refType="primFontSz" fact="0.3"/>
          <dgm:constr type="lMarg" refType="primFontSz" fact="0.3"/>
          <dgm:constr type="rMarg" refType="primFontSz" fact="0.3"/>
        </dgm:constrLst>
        <dgm:ruleLst>
          <dgm:rule type="primFontSz" val="18" fact="NaN" max="NaN"/>
          <dgm:rule type="h" val="NaN" fact="1.5" max="NaN"/>
          <dgm:rule type="primFontSz" val="5" fact="NaN" max="NaN"/>
          <dgm:rule type="h" val="INF" fact="NaN" max="NaN"/>
        </dgm:ruleLst>
      </dgm:layoutNode>
      <dgm:forEach name="sibTransForEach" axis="followSib" ptType="sibTrans" cnt="1">
        <dgm:layoutNode name="sibTrans">
          <dgm:alg type="conn">
            <dgm:param type="begPts" val="auto"/>
            <dgm:param type="endPts" val="auto"/>
          </dgm:alg>
          <dgm:shape xmlns:r="http://schemas.openxmlformats.org/officeDocument/2006/relationships" type="conn" r:blip="">
            <dgm:adjLst/>
          </dgm:shape>
          <dgm:presOf axis="self"/>
          <dgm:constrLst>
            <dgm:constr type="h" refType="w" fact="0.62"/>
            <dgm:constr type="connDist"/>
            <dgm:constr type="begPad" refType="connDist" fact="0.25"/>
            <dgm:constr type="endPad" refType="connDist" fact="0.22"/>
          </dgm:constrLst>
          <dgm:ruleLst/>
          <dgm:layoutNode name="connectorText">
            <dgm:alg type="tx">
              <dgm:param type="autoTxRot" val="grav"/>
            </dgm:alg>
            <dgm:shape xmlns:r="http://schemas.openxmlformats.org/officeDocument/2006/relationships" type="conn" r:blip="" hideGeom="1">
              <dgm:adjLst/>
            </dgm:shape>
            <dgm:presOf axis="self"/>
            <dgm:constrLst>
              <dgm:constr type="lMarg"/>
              <dgm:constr type="rMarg"/>
              <dgm:constr type="tMarg"/>
              <dgm:constr type="bMarg"/>
            </dgm:constrLst>
            <dgm:ruleLst>
              <dgm:rule type="primFontSz" val="5" fact="NaN" max="NaN"/>
            </dgm:ruleLst>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18" Type="http://schemas.openxmlformats.org/officeDocument/2006/relationships/chart" Target="../charts/chart2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15</xdr:col>
      <xdr:colOff>28575</xdr:colOff>
      <xdr:row>3</xdr:row>
      <xdr:rowOff>152400</xdr:rowOff>
    </xdr:from>
    <xdr:to>
      <xdr:col>22</xdr:col>
      <xdr:colOff>333375</xdr:colOff>
      <xdr:row>7</xdr:row>
      <xdr:rowOff>504825</xdr:rowOff>
    </xdr:to>
    <xdr:graphicFrame macro="">
      <xdr:nvGraphicFramePr>
        <xdr:cNvPr id="2" name="Diagram 1">
          <a:extLst>
            <a:ext uri="{FF2B5EF4-FFF2-40B4-BE49-F238E27FC236}">
              <a16:creationId xmlns:a16="http://schemas.microsoft.com/office/drawing/2014/main" id="{6256942D-ADE4-4116-9DB6-74CA020FC23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2</xdr:col>
      <xdr:colOff>361949</xdr:colOff>
      <xdr:row>5</xdr:row>
      <xdr:rowOff>76200</xdr:rowOff>
    </xdr:from>
    <xdr:to>
      <xdr:col>10</xdr:col>
      <xdr:colOff>466725</xdr:colOff>
      <xdr:row>7</xdr:row>
      <xdr:rowOff>638175</xdr:rowOff>
    </xdr:to>
    <xdr:graphicFrame macro="">
      <xdr:nvGraphicFramePr>
        <xdr:cNvPr id="3" name="Diagram 2">
          <a:extLst>
            <a:ext uri="{FF2B5EF4-FFF2-40B4-BE49-F238E27FC236}">
              <a16:creationId xmlns:a16="http://schemas.microsoft.com/office/drawing/2014/main" id="{1ED31DBA-8CFE-4909-8D9D-2FBE15B90D5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25</xdr:col>
      <xdr:colOff>479425</xdr:colOff>
      <xdr:row>1</xdr:row>
      <xdr:rowOff>95250</xdr:rowOff>
    </xdr:from>
    <xdr:to>
      <xdr:col>33</xdr:col>
      <xdr:colOff>174625</xdr:colOff>
      <xdr:row>23</xdr:row>
      <xdr:rowOff>120650</xdr:rowOff>
    </xdr:to>
    <xdr:graphicFrame macro="">
      <xdr:nvGraphicFramePr>
        <xdr:cNvPr id="2" name="Chart 1">
          <a:extLst>
            <a:ext uri="{FF2B5EF4-FFF2-40B4-BE49-F238E27FC236}">
              <a16:creationId xmlns:a16="http://schemas.microsoft.com/office/drawing/2014/main" id="{4A5935B2-58C4-2105-24CD-B0C19A288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454025</xdr:colOff>
      <xdr:row>1</xdr:row>
      <xdr:rowOff>88900</xdr:rowOff>
    </xdr:from>
    <xdr:to>
      <xdr:col>41</xdr:col>
      <xdr:colOff>149225</xdr:colOff>
      <xdr:row>23</xdr:row>
      <xdr:rowOff>114300</xdr:rowOff>
    </xdr:to>
    <xdr:graphicFrame macro="">
      <xdr:nvGraphicFramePr>
        <xdr:cNvPr id="3" name="Chart 2">
          <a:extLst>
            <a:ext uri="{FF2B5EF4-FFF2-40B4-BE49-F238E27FC236}">
              <a16:creationId xmlns:a16="http://schemas.microsoft.com/office/drawing/2014/main" id="{410683F3-DFAF-24E2-8EB0-43FE3FD514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447675</xdr:colOff>
      <xdr:row>26</xdr:row>
      <xdr:rowOff>12700</xdr:rowOff>
    </xdr:from>
    <xdr:to>
      <xdr:col>33</xdr:col>
      <xdr:colOff>142875</xdr:colOff>
      <xdr:row>48</xdr:row>
      <xdr:rowOff>38100</xdr:rowOff>
    </xdr:to>
    <xdr:graphicFrame macro="">
      <xdr:nvGraphicFramePr>
        <xdr:cNvPr id="4" name="Chart 3">
          <a:extLst>
            <a:ext uri="{FF2B5EF4-FFF2-40B4-BE49-F238E27FC236}">
              <a16:creationId xmlns:a16="http://schemas.microsoft.com/office/drawing/2014/main" id="{E5BB4398-54E9-D936-59E6-F0E525659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409575</xdr:colOff>
      <xdr:row>25</xdr:row>
      <xdr:rowOff>177800</xdr:rowOff>
    </xdr:from>
    <xdr:to>
      <xdr:col>41</xdr:col>
      <xdr:colOff>104775</xdr:colOff>
      <xdr:row>48</xdr:row>
      <xdr:rowOff>19050</xdr:rowOff>
    </xdr:to>
    <xdr:graphicFrame macro="">
      <xdr:nvGraphicFramePr>
        <xdr:cNvPr id="5" name="Chart 4">
          <a:extLst>
            <a:ext uri="{FF2B5EF4-FFF2-40B4-BE49-F238E27FC236}">
              <a16:creationId xmlns:a16="http://schemas.microsoft.com/office/drawing/2014/main" id="{C8772143-2121-3FBB-29A1-B1EB9DE7B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0</xdr:row>
      <xdr:rowOff>76200</xdr:rowOff>
    </xdr:from>
    <xdr:to>
      <xdr:col>7</xdr:col>
      <xdr:colOff>409575</xdr:colOff>
      <xdr:row>14</xdr:row>
      <xdr:rowOff>152400</xdr:rowOff>
    </xdr:to>
    <xdr:graphicFrame macro="">
      <xdr:nvGraphicFramePr>
        <xdr:cNvPr id="2" name="Chart 1">
          <a:extLst>
            <a:ext uri="{FF2B5EF4-FFF2-40B4-BE49-F238E27FC236}">
              <a16:creationId xmlns:a16="http://schemas.microsoft.com/office/drawing/2014/main" id="{163CC28E-1D9A-4124-8039-186C33015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523875</xdr:colOff>
      <xdr:row>0</xdr:row>
      <xdr:rowOff>85725</xdr:rowOff>
    </xdr:from>
    <xdr:to>
      <xdr:col>15</xdr:col>
      <xdr:colOff>219075</xdr:colOff>
      <xdr:row>14</xdr:row>
      <xdr:rowOff>161925</xdr:rowOff>
    </xdr:to>
    <xdr:graphicFrame macro="">
      <xdr:nvGraphicFramePr>
        <xdr:cNvPr id="3" name="Chart 2">
          <a:extLst>
            <a:ext uri="{FF2B5EF4-FFF2-40B4-BE49-F238E27FC236}">
              <a16:creationId xmlns:a16="http://schemas.microsoft.com/office/drawing/2014/main" id="{4B08F2CF-2530-4018-BCDF-BD7BF9EDA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304800</xdr:colOff>
      <xdr:row>0</xdr:row>
      <xdr:rowOff>85725</xdr:rowOff>
    </xdr:from>
    <xdr:to>
      <xdr:col>23</xdr:col>
      <xdr:colOff>0</xdr:colOff>
      <xdr:row>14</xdr:row>
      <xdr:rowOff>161925</xdr:rowOff>
    </xdr:to>
    <xdr:graphicFrame macro="">
      <xdr:nvGraphicFramePr>
        <xdr:cNvPr id="4" name="Chart 3">
          <a:extLst>
            <a:ext uri="{FF2B5EF4-FFF2-40B4-BE49-F238E27FC236}">
              <a16:creationId xmlns:a16="http://schemas.microsoft.com/office/drawing/2014/main" id="{D4EC3D14-0685-4BB1-B3CC-CFBD278F3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76200</xdr:colOff>
      <xdr:row>0</xdr:row>
      <xdr:rowOff>95250</xdr:rowOff>
    </xdr:from>
    <xdr:to>
      <xdr:col>30</xdr:col>
      <xdr:colOff>381000</xdr:colOff>
      <xdr:row>14</xdr:row>
      <xdr:rowOff>171450</xdr:rowOff>
    </xdr:to>
    <xdr:graphicFrame macro="">
      <xdr:nvGraphicFramePr>
        <xdr:cNvPr id="5" name="Chart 4">
          <a:extLst>
            <a:ext uri="{FF2B5EF4-FFF2-40B4-BE49-F238E27FC236}">
              <a16:creationId xmlns:a16="http://schemas.microsoft.com/office/drawing/2014/main" id="{E7940D0A-EB31-4445-9DB7-7F8D6317A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485775</xdr:colOff>
      <xdr:row>0</xdr:row>
      <xdr:rowOff>95250</xdr:rowOff>
    </xdr:from>
    <xdr:to>
      <xdr:col>38</xdr:col>
      <xdr:colOff>180975</xdr:colOff>
      <xdr:row>14</xdr:row>
      <xdr:rowOff>171450</xdr:rowOff>
    </xdr:to>
    <xdr:graphicFrame macro="">
      <xdr:nvGraphicFramePr>
        <xdr:cNvPr id="6" name="Chart 5">
          <a:extLst>
            <a:ext uri="{FF2B5EF4-FFF2-40B4-BE49-F238E27FC236}">
              <a16:creationId xmlns:a16="http://schemas.microsoft.com/office/drawing/2014/main" id="{B0E7BF7D-F193-4FD7-840C-A7B744A43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238125</xdr:colOff>
      <xdr:row>0</xdr:row>
      <xdr:rowOff>95250</xdr:rowOff>
    </xdr:from>
    <xdr:to>
      <xdr:col>45</xdr:col>
      <xdr:colOff>542925</xdr:colOff>
      <xdr:row>14</xdr:row>
      <xdr:rowOff>171450</xdr:rowOff>
    </xdr:to>
    <xdr:graphicFrame macro="">
      <xdr:nvGraphicFramePr>
        <xdr:cNvPr id="7" name="Chart 6">
          <a:extLst>
            <a:ext uri="{FF2B5EF4-FFF2-40B4-BE49-F238E27FC236}">
              <a16:creationId xmlns:a16="http://schemas.microsoft.com/office/drawing/2014/main" id="{40ACB710-2363-4B42-88C2-E9959E762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590550</xdr:colOff>
      <xdr:row>0</xdr:row>
      <xdr:rowOff>104775</xdr:rowOff>
    </xdr:from>
    <xdr:to>
      <xdr:col>53</xdr:col>
      <xdr:colOff>285750</xdr:colOff>
      <xdr:row>14</xdr:row>
      <xdr:rowOff>180975</xdr:rowOff>
    </xdr:to>
    <xdr:graphicFrame macro="">
      <xdr:nvGraphicFramePr>
        <xdr:cNvPr id="8" name="Chart 7">
          <a:extLst>
            <a:ext uri="{FF2B5EF4-FFF2-40B4-BE49-F238E27FC236}">
              <a16:creationId xmlns:a16="http://schemas.microsoft.com/office/drawing/2014/main" id="{67712018-18B5-43C6-A535-326D19A70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53</xdr:col>
      <xdr:colOff>333375</xdr:colOff>
      <xdr:row>0</xdr:row>
      <xdr:rowOff>114300</xdr:rowOff>
    </xdr:from>
    <xdr:to>
      <xdr:col>61</xdr:col>
      <xdr:colOff>28575</xdr:colOff>
      <xdr:row>15</xdr:row>
      <xdr:rowOff>0</xdr:rowOff>
    </xdr:to>
    <xdr:graphicFrame macro="">
      <xdr:nvGraphicFramePr>
        <xdr:cNvPr id="9" name="Chart 8">
          <a:extLst>
            <a:ext uri="{FF2B5EF4-FFF2-40B4-BE49-F238E27FC236}">
              <a16:creationId xmlns:a16="http://schemas.microsoft.com/office/drawing/2014/main" id="{D512879B-E1C4-4E7B-B357-ED30600C0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85725</xdr:colOff>
      <xdr:row>0</xdr:row>
      <xdr:rowOff>114300</xdr:rowOff>
    </xdr:from>
    <xdr:to>
      <xdr:col>68</xdr:col>
      <xdr:colOff>390525</xdr:colOff>
      <xdr:row>39</xdr:row>
      <xdr:rowOff>107950</xdr:rowOff>
    </xdr:to>
    <xdr:graphicFrame macro="">
      <xdr:nvGraphicFramePr>
        <xdr:cNvPr id="10" name="Chart 9">
          <a:extLst>
            <a:ext uri="{FF2B5EF4-FFF2-40B4-BE49-F238E27FC236}">
              <a16:creationId xmlns:a16="http://schemas.microsoft.com/office/drawing/2014/main" id="{B15B381C-2B53-44F5-81A5-95CD682F8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68</xdr:col>
      <xdr:colOff>466725</xdr:colOff>
      <xdr:row>0</xdr:row>
      <xdr:rowOff>85724</xdr:rowOff>
    </xdr:from>
    <xdr:to>
      <xdr:col>76</xdr:col>
      <xdr:colOff>161925</xdr:colOff>
      <xdr:row>36</xdr:row>
      <xdr:rowOff>171449</xdr:rowOff>
    </xdr:to>
    <xdr:graphicFrame macro="">
      <xdr:nvGraphicFramePr>
        <xdr:cNvPr id="11" name="Chart 10">
          <a:extLst>
            <a:ext uri="{FF2B5EF4-FFF2-40B4-BE49-F238E27FC236}">
              <a16:creationId xmlns:a16="http://schemas.microsoft.com/office/drawing/2014/main" id="{9A2299B2-8898-40EB-8ACE-E19577730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76</xdr:col>
      <xdr:colOff>238125</xdr:colOff>
      <xdr:row>0</xdr:row>
      <xdr:rowOff>95250</xdr:rowOff>
    </xdr:from>
    <xdr:to>
      <xdr:col>83</xdr:col>
      <xdr:colOff>542925</xdr:colOff>
      <xdr:row>14</xdr:row>
      <xdr:rowOff>171450</xdr:rowOff>
    </xdr:to>
    <xdr:graphicFrame macro="">
      <xdr:nvGraphicFramePr>
        <xdr:cNvPr id="12" name="Chart 11">
          <a:extLst>
            <a:ext uri="{FF2B5EF4-FFF2-40B4-BE49-F238E27FC236}">
              <a16:creationId xmlns:a16="http://schemas.microsoft.com/office/drawing/2014/main" id="{A14B3A4C-3687-4CE5-99FF-2A9AC3269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84</xdr:col>
      <xdr:colOff>0</xdr:colOff>
      <xdr:row>0</xdr:row>
      <xdr:rowOff>104775</xdr:rowOff>
    </xdr:from>
    <xdr:to>
      <xdr:col>91</xdr:col>
      <xdr:colOff>304800</xdr:colOff>
      <xdr:row>14</xdr:row>
      <xdr:rowOff>180975</xdr:rowOff>
    </xdr:to>
    <xdr:graphicFrame macro="">
      <xdr:nvGraphicFramePr>
        <xdr:cNvPr id="13" name="Chart 12">
          <a:extLst>
            <a:ext uri="{FF2B5EF4-FFF2-40B4-BE49-F238E27FC236}">
              <a16:creationId xmlns:a16="http://schemas.microsoft.com/office/drawing/2014/main" id="{76CA2A73-FE87-4255-978F-48A6A5981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91</xdr:col>
      <xdr:colOff>409575</xdr:colOff>
      <xdr:row>0</xdr:row>
      <xdr:rowOff>104775</xdr:rowOff>
    </xdr:from>
    <xdr:to>
      <xdr:col>99</xdr:col>
      <xdr:colOff>104775</xdr:colOff>
      <xdr:row>14</xdr:row>
      <xdr:rowOff>180975</xdr:rowOff>
    </xdr:to>
    <xdr:graphicFrame macro="">
      <xdr:nvGraphicFramePr>
        <xdr:cNvPr id="14" name="Chart 13">
          <a:extLst>
            <a:ext uri="{FF2B5EF4-FFF2-40B4-BE49-F238E27FC236}">
              <a16:creationId xmlns:a16="http://schemas.microsoft.com/office/drawing/2014/main" id="{3884D969-0576-409D-9C7F-1451E7C2F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99</xdr:col>
      <xdr:colOff>171450</xdr:colOff>
      <xdr:row>0</xdr:row>
      <xdr:rowOff>95250</xdr:rowOff>
    </xdr:from>
    <xdr:to>
      <xdr:col>106</xdr:col>
      <xdr:colOff>476250</xdr:colOff>
      <xdr:row>14</xdr:row>
      <xdr:rowOff>171450</xdr:rowOff>
    </xdr:to>
    <xdr:graphicFrame macro="">
      <xdr:nvGraphicFramePr>
        <xdr:cNvPr id="15" name="Chart 14">
          <a:extLst>
            <a:ext uri="{FF2B5EF4-FFF2-40B4-BE49-F238E27FC236}">
              <a16:creationId xmlns:a16="http://schemas.microsoft.com/office/drawing/2014/main" id="{5C97FF9D-C0A0-4F76-9BBB-44A89A0F2B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123825</xdr:colOff>
      <xdr:row>16</xdr:row>
      <xdr:rowOff>57150</xdr:rowOff>
    </xdr:from>
    <xdr:to>
      <xdr:col>7</xdr:col>
      <xdr:colOff>428625</xdr:colOff>
      <xdr:row>46</xdr:row>
      <xdr:rowOff>95250</xdr:rowOff>
    </xdr:to>
    <xdr:graphicFrame macro="">
      <xdr:nvGraphicFramePr>
        <xdr:cNvPr id="16" name="Chart 15">
          <a:extLst>
            <a:ext uri="{FF2B5EF4-FFF2-40B4-BE49-F238E27FC236}">
              <a16:creationId xmlns:a16="http://schemas.microsoft.com/office/drawing/2014/main" id="{ADFF34DB-0BBC-4F65-8AE3-EF3C889693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571500</xdr:colOff>
      <xdr:row>16</xdr:row>
      <xdr:rowOff>47624</xdr:rowOff>
    </xdr:from>
    <xdr:to>
      <xdr:col>15</xdr:col>
      <xdr:colOff>266700</xdr:colOff>
      <xdr:row>46</xdr:row>
      <xdr:rowOff>114299</xdr:rowOff>
    </xdr:to>
    <xdr:graphicFrame macro="">
      <xdr:nvGraphicFramePr>
        <xdr:cNvPr id="17" name="Chart 16">
          <a:extLst>
            <a:ext uri="{FF2B5EF4-FFF2-40B4-BE49-F238E27FC236}">
              <a16:creationId xmlns:a16="http://schemas.microsoft.com/office/drawing/2014/main" id="{50096A38-695A-4E65-AB7C-412CA6C3F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371475</xdr:colOff>
      <xdr:row>16</xdr:row>
      <xdr:rowOff>57150</xdr:rowOff>
    </xdr:from>
    <xdr:to>
      <xdr:col>23</xdr:col>
      <xdr:colOff>66675</xdr:colOff>
      <xdr:row>46</xdr:row>
      <xdr:rowOff>44450</xdr:rowOff>
    </xdr:to>
    <xdr:graphicFrame macro="">
      <xdr:nvGraphicFramePr>
        <xdr:cNvPr id="18" name="Chart 17">
          <a:extLst>
            <a:ext uri="{FF2B5EF4-FFF2-40B4-BE49-F238E27FC236}">
              <a16:creationId xmlns:a16="http://schemas.microsoft.com/office/drawing/2014/main" id="{177A6C3C-DEC0-4FBD-B544-5EE63CD6D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228600</xdr:colOff>
      <xdr:row>16</xdr:row>
      <xdr:rowOff>57150</xdr:rowOff>
    </xdr:from>
    <xdr:to>
      <xdr:col>30</xdr:col>
      <xdr:colOff>533400</xdr:colOff>
      <xdr:row>45</xdr:row>
      <xdr:rowOff>158750</xdr:rowOff>
    </xdr:to>
    <xdr:graphicFrame macro="">
      <xdr:nvGraphicFramePr>
        <xdr:cNvPr id="19" name="Chart 18">
          <a:extLst>
            <a:ext uri="{FF2B5EF4-FFF2-40B4-BE49-F238E27FC236}">
              <a16:creationId xmlns:a16="http://schemas.microsoft.com/office/drawing/2014/main" id="{6DACC43F-D679-4703-9DD3-2B04075A7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46496-6F74-4BF9-8A9C-21085C582C4C}">
  <dimension ref="B5:V18"/>
  <sheetViews>
    <sheetView workbookViewId="0">
      <selection activeCell="T10" sqref="T10"/>
    </sheetView>
  </sheetViews>
  <sheetFormatPr defaultRowHeight="15" x14ac:dyDescent="0.25"/>
  <cols>
    <col min="8" max="8" width="10.28515625" customWidth="1"/>
    <col min="12" max="12" width="10.28515625" bestFit="1" customWidth="1"/>
    <col min="13" max="13" width="11.42578125" bestFit="1" customWidth="1"/>
    <col min="15" max="15" width="10.28515625" bestFit="1" customWidth="1"/>
    <col min="16" max="16" width="11.42578125" bestFit="1" customWidth="1"/>
    <col min="18" max="18" width="10.28515625" bestFit="1" customWidth="1"/>
    <col min="19" max="19" width="11.42578125" bestFit="1" customWidth="1"/>
    <col min="21" max="21" width="10.28515625" bestFit="1" customWidth="1"/>
    <col min="22" max="22" width="11.42578125" bestFit="1" customWidth="1"/>
  </cols>
  <sheetData>
    <row r="5" spans="2:22" x14ac:dyDescent="0.25">
      <c r="B5" s="1" t="s">
        <v>0</v>
      </c>
      <c r="C5" s="2" t="s">
        <v>1</v>
      </c>
      <c r="D5" s="3" t="s">
        <v>2</v>
      </c>
      <c r="E5" s="4" t="s">
        <v>3</v>
      </c>
      <c r="K5" s="1" t="s">
        <v>0</v>
      </c>
      <c r="L5" s="1" t="s">
        <v>9</v>
      </c>
      <c r="M5" s="1" t="s">
        <v>10</v>
      </c>
      <c r="N5" s="2" t="s">
        <v>1</v>
      </c>
      <c r="O5" s="2" t="s">
        <v>9</v>
      </c>
      <c r="P5" s="2" t="s">
        <v>10</v>
      </c>
      <c r="Q5" s="3" t="s">
        <v>2</v>
      </c>
      <c r="R5" s="3" t="s">
        <v>9</v>
      </c>
      <c r="S5" s="3" t="s">
        <v>10</v>
      </c>
      <c r="T5" s="4" t="s">
        <v>3</v>
      </c>
      <c r="U5" s="4" t="s">
        <v>9</v>
      </c>
      <c r="V5" s="4" t="s">
        <v>10</v>
      </c>
    </row>
    <row r="6" spans="2:22" x14ac:dyDescent="0.25">
      <c r="B6" s="5"/>
      <c r="C6" s="6"/>
      <c r="D6" s="7"/>
      <c r="E6" s="8"/>
      <c r="K6" s="5"/>
      <c r="L6" s="5"/>
      <c r="M6" s="5"/>
      <c r="N6" s="6"/>
      <c r="O6" s="6"/>
      <c r="P6" s="6"/>
      <c r="Q6" s="7"/>
      <c r="R6" s="7"/>
      <c r="S6" s="7"/>
      <c r="T6" s="8"/>
      <c r="U6" s="8"/>
      <c r="V6" s="8"/>
    </row>
    <row r="7" spans="2:22" x14ac:dyDescent="0.25">
      <c r="B7" s="5" t="s">
        <v>19</v>
      </c>
      <c r="C7" s="6" t="s">
        <v>20</v>
      </c>
      <c r="D7" s="7" t="s">
        <v>22</v>
      </c>
      <c r="E7" s="8" t="s">
        <v>21</v>
      </c>
      <c r="G7" s="9" t="s">
        <v>19</v>
      </c>
      <c r="H7" s="9" t="s">
        <v>14</v>
      </c>
      <c r="I7" s="9" t="s">
        <v>4</v>
      </c>
      <c r="K7" s="5" t="s">
        <v>19</v>
      </c>
      <c r="L7" s="5" t="s">
        <v>14</v>
      </c>
      <c r="M7" s="5">
        <v>17</v>
      </c>
      <c r="N7" s="6" t="s">
        <v>20</v>
      </c>
      <c r="O7" s="6" t="s">
        <v>11</v>
      </c>
      <c r="P7" s="6">
        <v>21</v>
      </c>
      <c r="Q7" s="7" t="s">
        <v>22</v>
      </c>
      <c r="R7" s="7" t="s">
        <v>13</v>
      </c>
      <c r="S7" s="7">
        <v>25</v>
      </c>
      <c r="T7" s="8" t="s">
        <v>21</v>
      </c>
      <c r="U7" s="8" t="s">
        <v>12</v>
      </c>
      <c r="V7" s="8">
        <v>29</v>
      </c>
    </row>
    <row r="8" spans="2:22" x14ac:dyDescent="0.25">
      <c r="B8" s="5" t="s">
        <v>20</v>
      </c>
      <c r="C8" s="6" t="s">
        <v>21</v>
      </c>
      <c r="D8" s="7" t="s">
        <v>20</v>
      </c>
      <c r="E8" s="8" t="s">
        <v>19</v>
      </c>
      <c r="G8" s="9" t="s">
        <v>20</v>
      </c>
      <c r="H8" s="9" t="s">
        <v>11</v>
      </c>
      <c r="I8" s="9" t="s">
        <v>5</v>
      </c>
      <c r="K8" s="5" t="s">
        <v>20</v>
      </c>
      <c r="L8" s="5" t="s">
        <v>11</v>
      </c>
      <c r="M8" s="5">
        <v>18</v>
      </c>
      <c r="N8" s="6" t="s">
        <v>21</v>
      </c>
      <c r="O8" s="6" t="s">
        <v>12</v>
      </c>
      <c r="P8" s="6">
        <v>22</v>
      </c>
      <c r="Q8" s="7" t="s">
        <v>20</v>
      </c>
      <c r="R8" s="7" t="s">
        <v>11</v>
      </c>
      <c r="S8" s="7">
        <v>26</v>
      </c>
      <c r="T8" s="8" t="s">
        <v>19</v>
      </c>
      <c r="U8" s="8" t="s">
        <v>14</v>
      </c>
      <c r="V8" s="8">
        <v>30</v>
      </c>
    </row>
    <row r="9" spans="2:22" x14ac:dyDescent="0.25">
      <c r="B9" s="5" t="s">
        <v>21</v>
      </c>
      <c r="C9" s="6" t="s">
        <v>19</v>
      </c>
      <c r="D9" s="7" t="s">
        <v>21</v>
      </c>
      <c r="E9" s="8" t="s">
        <v>22</v>
      </c>
      <c r="G9" s="9" t="s">
        <v>21</v>
      </c>
      <c r="H9" s="9" t="s">
        <v>12</v>
      </c>
      <c r="I9" s="9" t="s">
        <v>6</v>
      </c>
      <c r="K9" s="5" t="s">
        <v>21</v>
      </c>
      <c r="L9" s="5" t="s">
        <v>12</v>
      </c>
      <c r="M9" s="5">
        <v>19</v>
      </c>
      <c r="N9" s="6" t="s">
        <v>19</v>
      </c>
      <c r="O9" s="6" t="s">
        <v>14</v>
      </c>
      <c r="P9" s="6">
        <v>23</v>
      </c>
      <c r="Q9" s="7" t="s">
        <v>21</v>
      </c>
      <c r="R9" s="7" t="s">
        <v>12</v>
      </c>
      <c r="S9" s="7">
        <v>27</v>
      </c>
      <c r="T9" s="8" t="s">
        <v>22</v>
      </c>
      <c r="U9" s="8" t="s">
        <v>13</v>
      </c>
      <c r="V9" s="8">
        <v>31</v>
      </c>
    </row>
    <row r="10" spans="2:22" x14ac:dyDescent="0.25">
      <c r="B10" s="5" t="s">
        <v>22</v>
      </c>
      <c r="C10" s="6" t="s">
        <v>22</v>
      </c>
      <c r="D10" s="7" t="s">
        <v>19</v>
      </c>
      <c r="E10" s="8" t="s">
        <v>20</v>
      </c>
      <c r="G10" s="9" t="s">
        <v>22</v>
      </c>
      <c r="H10" s="9" t="s">
        <v>13</v>
      </c>
      <c r="I10" s="9" t="s">
        <v>7</v>
      </c>
      <c r="K10" s="5" t="s">
        <v>22</v>
      </c>
      <c r="L10" s="5" t="s">
        <v>13</v>
      </c>
      <c r="M10" s="5">
        <v>20</v>
      </c>
      <c r="N10" s="6" t="s">
        <v>22</v>
      </c>
      <c r="O10" s="6" t="s">
        <v>13</v>
      </c>
      <c r="P10" s="6">
        <v>24</v>
      </c>
      <c r="Q10" s="7" t="s">
        <v>19</v>
      </c>
      <c r="R10" s="7" t="s">
        <v>14</v>
      </c>
      <c r="S10" s="7">
        <v>28</v>
      </c>
      <c r="T10" s="8" t="s">
        <v>20</v>
      </c>
      <c r="U10" s="8" t="s">
        <v>11</v>
      </c>
      <c r="V10" s="8">
        <v>32</v>
      </c>
    </row>
    <row r="12" spans="2:22" x14ac:dyDescent="0.25">
      <c r="B12" s="190" t="s">
        <v>8</v>
      </c>
      <c r="C12" s="190"/>
      <c r="D12" s="190"/>
      <c r="E12" s="190"/>
    </row>
    <row r="13" spans="2:22" x14ac:dyDescent="0.25">
      <c r="B13" s="1" t="s">
        <v>0</v>
      </c>
      <c r="C13" s="2" t="s">
        <v>1</v>
      </c>
      <c r="D13" s="3" t="s">
        <v>2</v>
      </c>
      <c r="E13" s="4" t="s">
        <v>3</v>
      </c>
    </row>
    <row r="14" spans="2:22" x14ac:dyDescent="0.25">
      <c r="B14" s="5"/>
      <c r="C14" s="6"/>
      <c r="D14" s="7"/>
      <c r="E14" s="8"/>
    </row>
    <row r="15" spans="2:22" x14ac:dyDescent="0.25">
      <c r="B15" s="5">
        <v>17</v>
      </c>
      <c r="C15" s="6">
        <v>21</v>
      </c>
      <c r="D15" s="7">
        <v>25</v>
      </c>
      <c r="E15" s="8">
        <v>29</v>
      </c>
    </row>
    <row r="16" spans="2:22" x14ac:dyDescent="0.25">
      <c r="B16" s="5">
        <v>18</v>
      </c>
      <c r="C16" s="6">
        <v>22</v>
      </c>
      <c r="D16" s="7">
        <v>26</v>
      </c>
      <c r="E16" s="8">
        <v>30</v>
      </c>
    </row>
    <row r="17" spans="2:5" x14ac:dyDescent="0.25">
      <c r="B17" s="5">
        <v>19</v>
      </c>
      <c r="C17" s="6">
        <v>23</v>
      </c>
      <c r="D17" s="7">
        <v>27</v>
      </c>
      <c r="E17" s="8">
        <v>31</v>
      </c>
    </row>
    <row r="18" spans="2:5" x14ac:dyDescent="0.25">
      <c r="B18" s="5">
        <v>20</v>
      </c>
      <c r="C18" s="6">
        <v>24</v>
      </c>
      <c r="D18" s="7">
        <v>28</v>
      </c>
      <c r="E18" s="8">
        <v>32</v>
      </c>
    </row>
  </sheetData>
  <mergeCells count="1">
    <mergeCell ref="B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EAD2-5798-4A03-BBE7-7CB87CA6A74A}">
  <dimension ref="A1:EQ18"/>
  <sheetViews>
    <sheetView workbookViewId="0">
      <selection activeCell="EL18" sqref="EL18"/>
    </sheetView>
  </sheetViews>
  <sheetFormatPr defaultRowHeight="15" x14ac:dyDescent="0.25"/>
  <cols>
    <col min="1" max="1" width="11.42578125" bestFit="1" customWidth="1"/>
    <col min="2" max="2" width="10.140625" customWidth="1"/>
    <col min="5" max="5" width="11.42578125" bestFit="1" customWidth="1"/>
    <col min="9" max="9" width="11.42578125" bestFit="1" customWidth="1"/>
    <col min="10" max="10" width="12" customWidth="1"/>
    <col min="11" max="11" width="12.5703125" bestFit="1" customWidth="1"/>
    <col min="12" max="12" width="12.85546875" customWidth="1"/>
    <col min="13" max="13" width="13.140625" customWidth="1"/>
    <col min="15" max="15" width="11.42578125" bestFit="1" customWidth="1"/>
    <col min="16" max="16" width="11.42578125" customWidth="1"/>
    <col min="17" max="17" width="13.140625" customWidth="1"/>
    <col min="18" max="18" width="12.5703125" bestFit="1" customWidth="1"/>
    <col min="19" max="19" width="12" customWidth="1"/>
    <col min="20" max="20" width="11.85546875" customWidth="1"/>
    <col min="22" max="22" width="11.42578125" bestFit="1" customWidth="1"/>
    <col min="23" max="23" width="10.42578125" bestFit="1" customWidth="1"/>
    <col min="24" max="24" width="10.85546875" bestFit="1" customWidth="1"/>
    <col min="25" max="25" width="12.5703125" bestFit="1" customWidth="1"/>
    <col min="26" max="26" width="11.42578125" customWidth="1"/>
    <col min="27" max="27" width="12.28515625" customWidth="1"/>
    <col min="29" max="29" width="11.42578125" bestFit="1" customWidth="1"/>
    <col min="30" max="30" width="10.42578125" bestFit="1" customWidth="1"/>
    <col min="31" max="31" width="13.140625" customWidth="1"/>
    <col min="32" max="32" width="12.5703125" bestFit="1" customWidth="1"/>
    <col min="33" max="33" width="12.7109375" customWidth="1"/>
    <col min="34" max="34" width="11.5703125" customWidth="1"/>
    <col min="36" max="36" width="11.42578125" bestFit="1" customWidth="1"/>
    <col min="37" max="37" width="10.42578125" bestFit="1" customWidth="1"/>
    <col min="38" max="38" width="12.5703125" customWidth="1"/>
    <col min="39" max="39" width="12.5703125" bestFit="1" customWidth="1"/>
    <col min="40" max="40" width="13.7109375" customWidth="1"/>
    <col min="41" max="41" width="11.42578125" customWidth="1"/>
    <col min="43" max="43" width="11.42578125" bestFit="1" customWidth="1"/>
    <col min="44" max="44" width="10.42578125" bestFit="1" customWidth="1"/>
    <col min="45" max="45" width="12" customWidth="1"/>
    <col min="46" max="46" width="12.5703125" bestFit="1" customWidth="1"/>
    <col min="47" max="47" width="12.5703125" customWidth="1"/>
    <col min="48" max="48" width="12.140625" customWidth="1"/>
    <col min="50" max="50" width="11.42578125" bestFit="1" customWidth="1"/>
    <col min="51" max="51" width="10.85546875" customWidth="1"/>
    <col min="52" max="52" width="12.42578125" customWidth="1"/>
    <col min="53" max="53" width="12.5703125" bestFit="1" customWidth="1"/>
    <col min="54" max="54" width="13.28515625" customWidth="1"/>
    <col min="55" max="55" width="12.28515625" customWidth="1"/>
    <col min="57" max="57" width="11.42578125" bestFit="1" customWidth="1"/>
    <col min="58" max="58" width="10.42578125" bestFit="1" customWidth="1"/>
    <col min="59" max="59" width="13.28515625" customWidth="1"/>
    <col min="60" max="60" width="12.5703125" bestFit="1" customWidth="1"/>
    <col min="61" max="61" width="12.140625" customWidth="1"/>
    <col min="62" max="62" width="12.85546875" customWidth="1"/>
    <col min="64" max="64" width="11.42578125" bestFit="1" customWidth="1"/>
    <col min="65" max="65" width="10.42578125" bestFit="1" customWidth="1"/>
    <col min="66" max="66" width="12.7109375" customWidth="1"/>
    <col min="67" max="67" width="12.28515625" customWidth="1"/>
    <col min="68" max="68" width="12.7109375" customWidth="1"/>
    <col min="69" max="69" width="13.7109375" customWidth="1"/>
    <col min="71" max="71" width="11.42578125" bestFit="1" customWidth="1"/>
    <col min="72" max="72" width="10.42578125" bestFit="1" customWidth="1"/>
    <col min="73" max="73" width="12.42578125" customWidth="1"/>
    <col min="74" max="74" width="12.5703125" bestFit="1" customWidth="1"/>
    <col min="76" max="76" width="12.85546875" customWidth="1"/>
    <col min="78" max="78" width="11.42578125" bestFit="1" customWidth="1"/>
    <col min="79" max="79" width="10.42578125" bestFit="1" customWidth="1"/>
    <col min="80" max="80" width="13.5703125" customWidth="1"/>
    <col min="81" max="81" width="12.5703125" bestFit="1" customWidth="1"/>
    <col min="85" max="85" width="11.42578125" bestFit="1" customWidth="1"/>
    <col min="86" max="86" width="10.42578125" bestFit="1" customWidth="1"/>
    <col min="87" max="87" width="14.140625" customWidth="1"/>
    <col min="88" max="88" width="12.42578125" customWidth="1"/>
    <col min="89" max="89" width="13.140625" customWidth="1"/>
    <col min="90" max="90" width="12.42578125" customWidth="1"/>
    <col min="92" max="92" width="11.42578125" bestFit="1" customWidth="1"/>
    <col min="93" max="93" width="10.42578125" bestFit="1" customWidth="1"/>
    <col min="94" max="94" width="15.7109375" customWidth="1"/>
    <col min="95" max="95" width="12.5703125" bestFit="1" customWidth="1"/>
    <col min="96" max="97" width="12.5703125" customWidth="1"/>
    <col min="99" max="99" width="11.42578125" bestFit="1" customWidth="1"/>
    <col min="100" max="100" width="10.42578125" bestFit="1" customWidth="1"/>
    <col min="101" max="101" width="11.7109375" customWidth="1"/>
    <col min="102" max="102" width="13.42578125" customWidth="1"/>
    <col min="103" max="103" width="14.5703125" customWidth="1"/>
    <col min="104" max="104" width="13.5703125" customWidth="1"/>
    <col min="106" max="106" width="11.42578125" bestFit="1" customWidth="1"/>
    <col min="107" max="107" width="10.42578125" bestFit="1" customWidth="1"/>
    <col min="108" max="108" width="12" customWidth="1"/>
    <col min="109" max="109" width="13.28515625" customWidth="1"/>
    <col min="110" max="110" width="13.7109375" customWidth="1"/>
    <col min="111" max="111" width="12.42578125" customWidth="1"/>
    <col min="113" max="113" width="11.42578125" bestFit="1" customWidth="1"/>
    <col min="114" max="114" width="10.42578125" bestFit="1" customWidth="1"/>
    <col min="115" max="115" width="10.85546875" bestFit="1" customWidth="1"/>
    <col min="116" max="116" width="14.85546875" customWidth="1"/>
    <col min="117" max="117" width="13.85546875" customWidth="1"/>
    <col min="118" max="118" width="15.140625" customWidth="1"/>
    <col min="120" max="120" width="11.42578125" bestFit="1" customWidth="1"/>
    <col min="121" max="121" width="10.42578125" bestFit="1" customWidth="1"/>
    <col min="122" max="122" width="13.42578125" customWidth="1"/>
    <col min="123" max="123" width="12.5703125" bestFit="1" customWidth="1"/>
    <col min="124" max="124" width="12.85546875" customWidth="1"/>
    <col min="125" max="125" width="14.28515625" customWidth="1"/>
    <col min="127" max="127" width="11.42578125" bestFit="1" customWidth="1"/>
    <col min="128" max="128" width="10.42578125" bestFit="1" customWidth="1"/>
    <col min="129" max="129" width="13.140625" customWidth="1"/>
    <col min="130" max="130" width="11.85546875" customWidth="1"/>
    <col min="131" max="131" width="14.7109375" customWidth="1"/>
    <col min="132" max="132" width="16.140625" customWidth="1"/>
    <col min="134" max="134" width="11.42578125" bestFit="1" customWidth="1"/>
    <col min="135" max="135" width="10.42578125" bestFit="1" customWidth="1"/>
    <col min="136" max="136" width="15" customWidth="1"/>
    <col min="137" max="137" width="12.5703125" bestFit="1" customWidth="1"/>
    <col min="138" max="138" width="14.140625" customWidth="1"/>
    <col min="139" max="139" width="14.42578125" customWidth="1"/>
    <col min="141" max="141" width="11.42578125" bestFit="1" customWidth="1"/>
    <col min="142" max="142" width="10.42578125" bestFit="1" customWidth="1"/>
    <col min="143" max="144" width="14.7109375" customWidth="1"/>
    <col min="145" max="146" width="14.5703125" customWidth="1"/>
    <col min="147" max="147" width="13.85546875" customWidth="1"/>
  </cols>
  <sheetData>
    <row r="1" spans="1:147" x14ac:dyDescent="0.25">
      <c r="B1" s="10" t="s">
        <v>15</v>
      </c>
      <c r="J1" s="12"/>
      <c r="K1" s="14" t="s">
        <v>23</v>
      </c>
      <c r="L1" s="12"/>
      <c r="M1" s="12"/>
      <c r="Q1" s="12" t="s">
        <v>28</v>
      </c>
      <c r="R1" s="14" t="s">
        <v>23</v>
      </c>
      <c r="S1" s="12"/>
      <c r="T1" s="12"/>
      <c r="X1" s="12" t="s">
        <v>28</v>
      </c>
      <c r="Y1" s="14" t="s">
        <v>23</v>
      </c>
      <c r="Z1" s="12"/>
      <c r="AA1" s="12"/>
      <c r="AE1" s="12" t="s">
        <v>28</v>
      </c>
      <c r="AF1" s="14" t="s">
        <v>23</v>
      </c>
      <c r="AG1" s="12"/>
      <c r="AH1" s="12"/>
      <c r="AL1" s="12" t="s">
        <v>37</v>
      </c>
      <c r="AM1" s="14" t="s">
        <v>23</v>
      </c>
      <c r="AN1" s="12"/>
      <c r="AO1" s="12"/>
      <c r="AS1" s="12" t="s">
        <v>40</v>
      </c>
      <c r="AT1" s="14" t="s">
        <v>23</v>
      </c>
      <c r="AU1" s="12"/>
      <c r="AV1" s="12"/>
      <c r="AZ1" s="12" t="s">
        <v>48</v>
      </c>
      <c r="BA1" s="14" t="s">
        <v>23</v>
      </c>
      <c r="BB1" s="12"/>
      <c r="BC1" s="12"/>
      <c r="BG1" s="12" t="s">
        <v>50</v>
      </c>
      <c r="BH1" s="14" t="s">
        <v>23</v>
      </c>
      <c r="BI1" s="12"/>
      <c r="BJ1" s="12"/>
      <c r="BN1" s="12" t="s">
        <v>50</v>
      </c>
      <c r="BO1" s="14" t="s">
        <v>23</v>
      </c>
      <c r="BP1" s="12"/>
      <c r="BQ1" s="12"/>
      <c r="BU1" s="12" t="s">
        <v>55</v>
      </c>
      <c r="BV1" s="14" t="s">
        <v>23</v>
      </c>
      <c r="BW1" s="12"/>
      <c r="BX1" s="12"/>
      <c r="CB1" s="12" t="s">
        <v>57</v>
      </c>
      <c r="CC1" s="14" t="s">
        <v>23</v>
      </c>
      <c r="CD1" s="12"/>
      <c r="CE1" s="12"/>
      <c r="CI1" s="12" t="s">
        <v>60</v>
      </c>
      <c r="CJ1" s="14" t="s">
        <v>23</v>
      </c>
      <c r="CK1" s="12"/>
      <c r="CL1" s="12"/>
      <c r="CP1" s="12" t="s">
        <v>62</v>
      </c>
      <c r="CQ1" s="14" t="s">
        <v>23</v>
      </c>
      <c r="CR1" s="12"/>
      <c r="CS1" s="12"/>
      <c r="CW1" s="12" t="s">
        <v>62</v>
      </c>
      <c r="CX1" s="14" t="s">
        <v>23</v>
      </c>
      <c r="CY1" s="12"/>
      <c r="CZ1" s="12"/>
      <c r="DD1" s="12" t="s">
        <v>62</v>
      </c>
      <c r="DE1" s="14" t="s">
        <v>23</v>
      </c>
      <c r="DF1" s="12"/>
      <c r="DG1" s="12"/>
      <c r="DK1" s="12"/>
      <c r="DL1" s="14" t="s">
        <v>23</v>
      </c>
      <c r="DM1" s="12"/>
      <c r="DN1" s="12"/>
      <c r="DR1" s="12"/>
      <c r="DS1" s="14" t="s">
        <v>23</v>
      </c>
      <c r="DT1" s="12"/>
      <c r="DU1" s="12"/>
      <c r="DY1" s="12"/>
      <c r="DZ1" s="14" t="s">
        <v>23</v>
      </c>
      <c r="EA1" s="12"/>
      <c r="EB1" s="12"/>
      <c r="EF1" s="12"/>
      <c r="EG1" s="14" t="s">
        <v>23</v>
      </c>
      <c r="EH1" s="12"/>
      <c r="EI1" s="12"/>
      <c r="EM1" s="12"/>
      <c r="EN1" s="12"/>
      <c r="EO1" s="14" t="s">
        <v>23</v>
      </c>
      <c r="EP1" s="12"/>
      <c r="EQ1" s="12"/>
    </row>
    <row r="2" spans="1:147" ht="45" x14ac:dyDescent="0.25">
      <c r="A2" s="3" t="s">
        <v>10</v>
      </c>
      <c r="B2" s="11" t="s">
        <v>16</v>
      </c>
      <c r="C2" s="11" t="s">
        <v>17</v>
      </c>
      <c r="E2" s="3" t="s">
        <v>10</v>
      </c>
      <c r="F2" s="11" t="s">
        <v>18</v>
      </c>
      <c r="G2" s="11" t="s">
        <v>17</v>
      </c>
      <c r="I2" s="3" t="s">
        <v>10</v>
      </c>
      <c r="J2" s="11" t="s">
        <v>27</v>
      </c>
      <c r="K2" s="11" t="s">
        <v>24</v>
      </c>
      <c r="L2" s="11" t="s">
        <v>25</v>
      </c>
      <c r="M2" s="11" t="s">
        <v>26</v>
      </c>
      <c r="O2" s="3" t="s">
        <v>10</v>
      </c>
      <c r="P2" s="3" t="s">
        <v>30</v>
      </c>
      <c r="Q2" s="11" t="s">
        <v>29</v>
      </c>
      <c r="R2" s="11" t="s">
        <v>24</v>
      </c>
      <c r="S2" s="11" t="s">
        <v>25</v>
      </c>
      <c r="T2" s="11" t="s">
        <v>26</v>
      </c>
      <c r="V2" s="3" t="s">
        <v>10</v>
      </c>
      <c r="W2" s="3" t="s">
        <v>30</v>
      </c>
      <c r="X2" s="11" t="s">
        <v>31</v>
      </c>
      <c r="Y2" s="11" t="s">
        <v>24</v>
      </c>
      <c r="Z2" s="11" t="s">
        <v>25</v>
      </c>
      <c r="AA2" s="11" t="s">
        <v>26</v>
      </c>
      <c r="AC2" s="3" t="s">
        <v>10</v>
      </c>
      <c r="AD2" s="3" t="s">
        <v>30</v>
      </c>
      <c r="AE2" s="11" t="s">
        <v>31</v>
      </c>
      <c r="AF2" s="11" t="s">
        <v>24</v>
      </c>
      <c r="AG2" s="11" t="s">
        <v>25</v>
      </c>
      <c r="AH2" s="11" t="s">
        <v>26</v>
      </c>
      <c r="AJ2" s="3" t="s">
        <v>10</v>
      </c>
      <c r="AK2" s="3" t="s">
        <v>30</v>
      </c>
      <c r="AL2" s="11" t="s">
        <v>36</v>
      </c>
      <c r="AM2" s="11" t="s">
        <v>24</v>
      </c>
      <c r="AN2" s="11" t="s">
        <v>25</v>
      </c>
      <c r="AO2" s="11" t="s">
        <v>26</v>
      </c>
      <c r="AQ2" s="3" t="s">
        <v>10</v>
      </c>
      <c r="AR2" s="3" t="s">
        <v>30</v>
      </c>
      <c r="AS2" s="11" t="s">
        <v>38</v>
      </c>
      <c r="AT2" s="11" t="s">
        <v>24</v>
      </c>
      <c r="AU2" s="11" t="s">
        <v>25</v>
      </c>
      <c r="AV2" s="11" t="s">
        <v>26</v>
      </c>
      <c r="AX2" s="3" t="s">
        <v>10</v>
      </c>
      <c r="AY2" s="3" t="s">
        <v>30</v>
      </c>
      <c r="AZ2" s="11" t="s">
        <v>47</v>
      </c>
      <c r="BA2" s="11" t="s">
        <v>24</v>
      </c>
      <c r="BB2" s="11" t="s">
        <v>25</v>
      </c>
      <c r="BC2" s="11" t="s">
        <v>26</v>
      </c>
      <c r="BE2" s="3" t="s">
        <v>10</v>
      </c>
      <c r="BF2" s="3" t="s">
        <v>30</v>
      </c>
      <c r="BG2" s="11" t="s">
        <v>49</v>
      </c>
      <c r="BH2" s="11" t="s">
        <v>24</v>
      </c>
      <c r="BI2" s="11" t="s">
        <v>25</v>
      </c>
      <c r="BJ2" s="11" t="s">
        <v>26</v>
      </c>
      <c r="BL2" s="3" t="s">
        <v>10</v>
      </c>
      <c r="BM2" s="3" t="s">
        <v>30</v>
      </c>
      <c r="BN2" s="11" t="s">
        <v>53</v>
      </c>
      <c r="BO2" s="11" t="s">
        <v>24</v>
      </c>
      <c r="BP2" s="11" t="s">
        <v>25</v>
      </c>
      <c r="BQ2" s="11" t="s">
        <v>26</v>
      </c>
      <c r="BS2" s="3" t="s">
        <v>10</v>
      </c>
      <c r="BT2" s="3" t="s">
        <v>30</v>
      </c>
      <c r="BU2" s="11" t="s">
        <v>54</v>
      </c>
      <c r="BV2" s="11" t="s">
        <v>24</v>
      </c>
      <c r="BW2" s="11" t="s">
        <v>25</v>
      </c>
      <c r="BX2" s="11" t="s">
        <v>26</v>
      </c>
      <c r="BZ2" s="3" t="s">
        <v>10</v>
      </c>
      <c r="CA2" s="3" t="s">
        <v>30</v>
      </c>
      <c r="CB2" s="11" t="s">
        <v>56</v>
      </c>
      <c r="CC2" s="11" t="s">
        <v>24</v>
      </c>
      <c r="CD2" s="11" t="s">
        <v>25</v>
      </c>
      <c r="CE2" s="11" t="s">
        <v>26</v>
      </c>
      <c r="CG2" s="3" t="s">
        <v>10</v>
      </c>
      <c r="CH2" s="3" t="s">
        <v>30</v>
      </c>
      <c r="CI2" s="11" t="s">
        <v>59</v>
      </c>
      <c r="CJ2" s="11" t="s">
        <v>24</v>
      </c>
      <c r="CK2" s="11" t="s">
        <v>25</v>
      </c>
      <c r="CL2" s="11" t="s">
        <v>26</v>
      </c>
      <c r="CN2" s="3" t="s">
        <v>10</v>
      </c>
      <c r="CO2" s="3" t="s">
        <v>30</v>
      </c>
      <c r="CP2" s="11" t="s">
        <v>61</v>
      </c>
      <c r="CQ2" s="11" t="s">
        <v>24</v>
      </c>
      <c r="CR2" s="11" t="s">
        <v>25</v>
      </c>
      <c r="CS2" s="11" t="s">
        <v>26</v>
      </c>
      <c r="CU2" s="3" t="s">
        <v>10</v>
      </c>
      <c r="CV2" s="3" t="s">
        <v>30</v>
      </c>
      <c r="CW2" s="11" t="s">
        <v>64</v>
      </c>
      <c r="CX2" s="11" t="s">
        <v>24</v>
      </c>
      <c r="CY2" s="11" t="s">
        <v>25</v>
      </c>
      <c r="CZ2" s="11" t="s">
        <v>26</v>
      </c>
      <c r="DB2" s="3" t="s">
        <v>10</v>
      </c>
      <c r="DC2" s="3" t="s">
        <v>30</v>
      </c>
      <c r="DD2" s="11" t="s">
        <v>67</v>
      </c>
      <c r="DE2" s="11" t="s">
        <v>24</v>
      </c>
      <c r="DF2" s="11" t="s">
        <v>25</v>
      </c>
      <c r="DG2" s="11" t="s">
        <v>26</v>
      </c>
      <c r="DI2" s="3" t="s">
        <v>10</v>
      </c>
      <c r="DJ2" s="3" t="s">
        <v>30</v>
      </c>
      <c r="DK2" s="11" t="s">
        <v>68</v>
      </c>
      <c r="DL2" s="11" t="s">
        <v>24</v>
      </c>
      <c r="DM2" s="11" t="s">
        <v>25</v>
      </c>
      <c r="DN2" s="11" t="s">
        <v>26</v>
      </c>
      <c r="DP2" s="3" t="s">
        <v>10</v>
      </c>
      <c r="DQ2" s="3" t="s">
        <v>30</v>
      </c>
      <c r="DR2" s="11" t="s">
        <v>69</v>
      </c>
      <c r="DS2" s="11" t="s">
        <v>24</v>
      </c>
      <c r="DT2" s="11" t="s">
        <v>25</v>
      </c>
      <c r="DU2" s="11" t="s">
        <v>26</v>
      </c>
      <c r="DW2" s="3" t="s">
        <v>10</v>
      </c>
      <c r="DX2" s="3" t="s">
        <v>30</v>
      </c>
      <c r="DY2" s="11" t="s">
        <v>72</v>
      </c>
      <c r="DZ2" s="11" t="s">
        <v>24</v>
      </c>
      <c r="EA2" s="11" t="s">
        <v>25</v>
      </c>
      <c r="EB2" s="11" t="s">
        <v>26</v>
      </c>
      <c r="ED2" s="3" t="s">
        <v>10</v>
      </c>
      <c r="EE2" s="3" t="s">
        <v>30</v>
      </c>
      <c r="EF2" s="11" t="s">
        <v>113</v>
      </c>
      <c r="EG2" s="11" t="s">
        <v>24</v>
      </c>
      <c r="EH2" s="11" t="s">
        <v>25</v>
      </c>
      <c r="EI2" s="11" t="s">
        <v>26</v>
      </c>
      <c r="EK2" s="3" t="s">
        <v>10</v>
      </c>
      <c r="EL2" s="3" t="s">
        <v>30</v>
      </c>
      <c r="EM2" s="11" t="s">
        <v>114</v>
      </c>
      <c r="EN2" s="11" t="s">
        <v>118</v>
      </c>
      <c r="EO2" s="11" t="s">
        <v>24</v>
      </c>
      <c r="EP2" s="11" t="s">
        <v>25</v>
      </c>
      <c r="EQ2" s="11" t="s">
        <v>26</v>
      </c>
    </row>
    <row r="3" spans="1:147" x14ac:dyDescent="0.25">
      <c r="A3" s="12">
        <v>17</v>
      </c>
      <c r="B3" s="12">
        <v>1433.3</v>
      </c>
      <c r="C3" s="13">
        <v>46266</v>
      </c>
      <c r="E3" s="12">
        <v>17</v>
      </c>
      <c r="F3" s="12">
        <v>2617.6999999999998</v>
      </c>
      <c r="G3" s="13">
        <v>46631</v>
      </c>
      <c r="I3" s="12">
        <v>17</v>
      </c>
      <c r="J3" s="12">
        <v>2474.6</v>
      </c>
      <c r="K3" s="12">
        <f>F3-B3</f>
        <v>1184.3999999999999</v>
      </c>
      <c r="L3" s="12">
        <f>J3-B3</f>
        <v>1041.3</v>
      </c>
      <c r="M3" s="15">
        <f>(L3/K3)*100</f>
        <v>87.917933130699097</v>
      </c>
      <c r="O3" s="12">
        <v>17</v>
      </c>
      <c r="P3" s="12"/>
      <c r="Q3" s="12">
        <v>2366.1</v>
      </c>
      <c r="R3" s="12">
        <v>1184.3999999999999</v>
      </c>
      <c r="S3" s="12">
        <f>Q3-B3</f>
        <v>932.8</v>
      </c>
      <c r="T3" s="15">
        <f>(S3/R3)*100</f>
        <v>78.757176629517062</v>
      </c>
      <c r="V3" s="12">
        <v>17</v>
      </c>
      <c r="W3" s="12" t="s">
        <v>32</v>
      </c>
      <c r="X3" s="12"/>
      <c r="Y3" s="12">
        <v>1184.3999999999999</v>
      </c>
      <c r="Z3" s="12"/>
      <c r="AA3" s="15"/>
      <c r="AC3" s="12">
        <v>17</v>
      </c>
      <c r="AD3" s="12" t="s">
        <v>35</v>
      </c>
      <c r="AE3" s="12"/>
      <c r="AF3" s="12">
        <v>1184.3999999999999</v>
      </c>
      <c r="AG3" s="12"/>
      <c r="AH3" s="15"/>
      <c r="AJ3" s="12">
        <v>17</v>
      </c>
      <c r="AK3" s="12" t="s">
        <v>35</v>
      </c>
      <c r="AL3" s="12">
        <v>2225.5</v>
      </c>
      <c r="AM3" s="12">
        <v>1184.3999999999999</v>
      </c>
      <c r="AN3" s="12">
        <f>AL3-B3</f>
        <v>792.2</v>
      </c>
      <c r="AO3" s="15">
        <f>(AN3/AM3)*100</f>
        <v>66.886187098953059</v>
      </c>
      <c r="AQ3" s="12">
        <v>17</v>
      </c>
      <c r="AR3" s="12" t="s">
        <v>39</v>
      </c>
      <c r="AS3" s="12">
        <v>2009.8</v>
      </c>
      <c r="AT3" s="12">
        <v>1184.3999999999999</v>
      </c>
      <c r="AU3" s="12">
        <f>AS3-B3</f>
        <v>576.5</v>
      </c>
      <c r="AV3" s="15">
        <f>(AU3/AT3)*100</f>
        <v>48.674434312732188</v>
      </c>
      <c r="AX3" s="12">
        <v>17</v>
      </c>
      <c r="AY3" s="12" t="s">
        <v>39</v>
      </c>
      <c r="AZ3" s="12">
        <v>2155.6999999999998</v>
      </c>
      <c r="BA3" s="12">
        <v>1184.3999999999999</v>
      </c>
      <c r="BB3" s="12">
        <f>AZ3-B3</f>
        <v>722.39999999999986</v>
      </c>
      <c r="BC3" s="15">
        <f>(BB3/BA3)*100</f>
        <v>60.99290780141844</v>
      </c>
      <c r="BE3" s="12">
        <v>17</v>
      </c>
      <c r="BF3" s="12" t="s">
        <v>39</v>
      </c>
      <c r="BG3" s="12">
        <v>2049.1999999999998</v>
      </c>
      <c r="BH3" s="12">
        <v>1184.3999999999999</v>
      </c>
      <c r="BI3" s="12">
        <f>BG3-B3</f>
        <v>615.89999999999986</v>
      </c>
      <c r="BJ3" s="15">
        <f>(BI3/BH3)*100</f>
        <v>52.001013171225928</v>
      </c>
      <c r="BL3" s="12">
        <v>17</v>
      </c>
      <c r="BM3" s="12" t="s">
        <v>51</v>
      </c>
      <c r="BN3" s="12"/>
      <c r="BO3" s="12">
        <v>1184.3999999999999</v>
      </c>
      <c r="BP3" s="12">
        <f>BN3-I3</f>
        <v>-17</v>
      </c>
      <c r="BQ3" s="15">
        <f>(BP3/BO3)*100</f>
        <v>-1.43532590341101</v>
      </c>
      <c r="BS3" s="12">
        <v>17</v>
      </c>
      <c r="BT3" s="12" t="s">
        <v>51</v>
      </c>
      <c r="BU3" s="12">
        <v>2070.5</v>
      </c>
      <c r="BV3" s="12">
        <v>1184.3999999999999</v>
      </c>
      <c r="BW3" s="12">
        <f>BU3-B3</f>
        <v>637.20000000000005</v>
      </c>
      <c r="BX3" s="15">
        <f>(BW3/BV3)*100</f>
        <v>53.799392097264445</v>
      </c>
      <c r="BZ3" s="12">
        <v>17</v>
      </c>
      <c r="CA3" s="12" t="s">
        <v>58</v>
      </c>
      <c r="CB3" s="12">
        <v>2108.6999999999998</v>
      </c>
      <c r="CC3" s="12">
        <v>1184.3999999999999</v>
      </c>
      <c r="CD3" s="12">
        <f>CB3-B3</f>
        <v>675.39999999999986</v>
      </c>
      <c r="CE3" s="15">
        <f>(CD3/CC3)*100</f>
        <v>57.024653833164464</v>
      </c>
      <c r="CG3" s="12">
        <v>17</v>
      </c>
      <c r="CH3" s="12"/>
      <c r="CI3" s="12">
        <v>2056.1999999999998</v>
      </c>
      <c r="CJ3" s="12">
        <v>1184.3999999999999</v>
      </c>
      <c r="CK3" s="12">
        <f>CI3-B3</f>
        <v>622.89999999999986</v>
      </c>
      <c r="CL3" s="15">
        <f>(CK3/CJ3)*100</f>
        <v>52.592029719689293</v>
      </c>
      <c r="CN3" s="12">
        <v>17</v>
      </c>
      <c r="CO3" s="12" t="s">
        <v>58</v>
      </c>
      <c r="CP3" s="12">
        <v>2153.8000000000002</v>
      </c>
      <c r="CQ3" s="12">
        <v>1184.3999999999999</v>
      </c>
      <c r="CR3" s="12">
        <f>CP3-B3</f>
        <v>720.50000000000023</v>
      </c>
      <c r="CS3" s="15">
        <f>(CR3/CQ3)*100</f>
        <v>60.832489023978411</v>
      </c>
      <c r="CU3" s="12">
        <v>17</v>
      </c>
      <c r="CV3" s="12" t="s">
        <v>58</v>
      </c>
      <c r="CW3" s="12">
        <v>2029.8</v>
      </c>
      <c r="CX3" s="12">
        <v>1184.3999999999999</v>
      </c>
      <c r="CY3" s="12">
        <f>CW3-B3</f>
        <v>596.5</v>
      </c>
      <c r="CZ3" s="15">
        <f>(CY3/CX3)*100</f>
        <v>50.363053022627504</v>
      </c>
      <c r="DB3" s="12">
        <v>17</v>
      </c>
      <c r="DC3" s="12" t="s">
        <v>65</v>
      </c>
      <c r="DD3" s="12">
        <v>2082.9</v>
      </c>
      <c r="DE3" s="12">
        <v>1184.3999999999999</v>
      </c>
      <c r="DF3" s="12">
        <f>DD3-B3</f>
        <v>649.60000000000014</v>
      </c>
      <c r="DG3" s="15">
        <f>(DF3/DE3)*100</f>
        <v>54.846335697399539</v>
      </c>
      <c r="DI3" s="12">
        <v>17</v>
      </c>
      <c r="DJ3" s="12" t="s">
        <v>65</v>
      </c>
      <c r="DK3" s="12">
        <v>1992.1</v>
      </c>
      <c r="DL3" s="12">
        <v>1184.3999999999999</v>
      </c>
      <c r="DM3" s="12">
        <f>DK3-B3</f>
        <v>558.79999999999995</v>
      </c>
      <c r="DN3" s="15">
        <f>(DM3/DL3)*100</f>
        <v>47.180006754474839</v>
      </c>
      <c r="DP3" s="12">
        <v>17</v>
      </c>
      <c r="DQ3" s="12" t="s">
        <v>70</v>
      </c>
      <c r="DR3" s="12">
        <v>2142.6</v>
      </c>
      <c r="DS3" s="12">
        <v>1184.3999999999999</v>
      </c>
      <c r="DT3" s="12">
        <f>DR3-B3</f>
        <v>709.3</v>
      </c>
      <c r="DU3" s="15">
        <f>(DT3/DS3)*100</f>
        <v>59.886862546437015</v>
      </c>
      <c r="DW3" s="12">
        <v>17</v>
      </c>
      <c r="DX3" s="12" t="s">
        <v>70</v>
      </c>
      <c r="DY3" s="12">
        <v>2069.6</v>
      </c>
      <c r="DZ3" s="12">
        <v>1184.3999999999999</v>
      </c>
      <c r="EA3" s="12">
        <f>DY3-B3</f>
        <v>636.29999999999995</v>
      </c>
      <c r="EB3" s="15">
        <f>(EA3/DZ3)*100</f>
        <v>53.723404255319153</v>
      </c>
      <c r="ED3" s="12">
        <v>17</v>
      </c>
      <c r="EE3" s="12" t="s">
        <v>70</v>
      </c>
      <c r="EF3" s="12">
        <v>2115.3000000000002</v>
      </c>
      <c r="EG3" s="12">
        <v>1184.3999999999999</v>
      </c>
      <c r="EH3" s="12">
        <f>EF3-B3</f>
        <v>682.00000000000023</v>
      </c>
      <c r="EI3" s="15">
        <f>(EH3/EG3)*100</f>
        <v>57.581898007429942</v>
      </c>
      <c r="EK3" s="12">
        <v>17</v>
      </c>
      <c r="EL3" s="12" t="s">
        <v>70</v>
      </c>
      <c r="EM3" s="12">
        <v>2182.5</v>
      </c>
      <c r="EN3" s="132">
        <f>EM3-0.4</f>
        <v>2182.1</v>
      </c>
      <c r="EO3" s="12">
        <v>1184.3999999999999</v>
      </c>
      <c r="EP3" s="12">
        <f>EN3-B3</f>
        <v>748.8</v>
      </c>
      <c r="EQ3" s="15">
        <f>(EP3/EO3)*100</f>
        <v>63.22188449848025</v>
      </c>
    </row>
    <row r="4" spans="1:147" x14ac:dyDescent="0.25">
      <c r="A4" s="12">
        <v>18</v>
      </c>
      <c r="B4" s="12">
        <v>1495.5</v>
      </c>
      <c r="E4" s="12">
        <v>18</v>
      </c>
      <c r="F4" s="12">
        <v>2682</v>
      </c>
      <c r="I4" s="12">
        <v>18</v>
      </c>
      <c r="J4" s="12">
        <v>2540.9</v>
      </c>
      <c r="K4" s="12">
        <f t="shared" ref="K4:K18" si="0">F4-B4</f>
        <v>1186.5</v>
      </c>
      <c r="L4" s="12">
        <f t="shared" ref="L4:L18" si="1">J4-B4</f>
        <v>1045.4000000000001</v>
      </c>
      <c r="M4" s="15">
        <f t="shared" ref="M4:M18" si="2">(L4/K4)*100</f>
        <v>88.1078803202697</v>
      </c>
      <c r="O4" s="12">
        <v>18</v>
      </c>
      <c r="P4" s="12"/>
      <c r="Q4" s="12">
        <v>2468.3000000000002</v>
      </c>
      <c r="R4" s="12">
        <v>1186.5</v>
      </c>
      <c r="S4" s="12">
        <f t="shared" ref="S4:S18" si="3">Q4-B4</f>
        <v>972.80000000000018</v>
      </c>
      <c r="T4" s="15">
        <f t="shared" ref="T4:T18" si="4">(S4/R4)*100</f>
        <v>81.989043404972634</v>
      </c>
      <c r="V4" s="12">
        <v>18</v>
      </c>
      <c r="W4" s="12" t="s">
        <v>32</v>
      </c>
      <c r="X4" s="12"/>
      <c r="Y4" s="12">
        <v>1186.5</v>
      </c>
      <c r="Z4" s="12"/>
      <c r="AA4" s="15"/>
      <c r="AC4" s="12">
        <v>18</v>
      </c>
      <c r="AD4" s="12" t="s">
        <v>32</v>
      </c>
      <c r="AE4" s="12"/>
      <c r="AF4" s="12">
        <v>1186.5</v>
      </c>
      <c r="AG4" s="12"/>
      <c r="AH4" s="15"/>
      <c r="AJ4" s="12">
        <v>18</v>
      </c>
      <c r="AK4" s="12" t="s">
        <v>32</v>
      </c>
      <c r="AL4" s="12">
        <v>2398.6999999999998</v>
      </c>
      <c r="AM4" s="12">
        <v>1186.5</v>
      </c>
      <c r="AN4" s="12">
        <f t="shared" ref="AN4:AN18" si="5">AL4-B4</f>
        <v>903.19999999999982</v>
      </c>
      <c r="AO4" s="15">
        <f t="shared" ref="AO4:AO18" si="6">(AN4/AM4)*100</f>
        <v>76.123050990307618</v>
      </c>
      <c r="AQ4" s="12">
        <v>18</v>
      </c>
      <c r="AR4" s="12" t="s">
        <v>39</v>
      </c>
      <c r="AS4" s="12">
        <v>2247.8000000000002</v>
      </c>
      <c r="AT4" s="12">
        <v>1186.5</v>
      </c>
      <c r="AU4" s="12">
        <f t="shared" ref="AU4:AU18" si="7">AS4-B4</f>
        <v>752.30000000000018</v>
      </c>
      <c r="AV4" s="15">
        <f t="shared" ref="AV4:AV18" si="8">(AU4/AT4)*100</f>
        <v>63.404972608512445</v>
      </c>
      <c r="AX4" s="12">
        <v>18</v>
      </c>
      <c r="AY4" s="12" t="s">
        <v>39</v>
      </c>
      <c r="AZ4" s="12">
        <v>2240.1999999999998</v>
      </c>
      <c r="BA4" s="12">
        <v>1186.5</v>
      </c>
      <c r="BB4" s="12">
        <f t="shared" ref="BB4:BB18" si="9">AZ4-B4</f>
        <v>744.69999999999982</v>
      </c>
      <c r="BC4" s="15">
        <f t="shared" ref="BC4:BC18" si="10">(BB4/BA4)*100</f>
        <v>62.764433206911065</v>
      </c>
      <c r="BE4" s="12">
        <v>18</v>
      </c>
      <c r="BF4" s="12" t="s">
        <v>39</v>
      </c>
      <c r="BG4" s="12">
        <v>2169.1</v>
      </c>
      <c r="BH4" s="12">
        <v>1186.5</v>
      </c>
      <c r="BI4" s="12">
        <f t="shared" ref="BI4:BI18" si="11">BG4-B4</f>
        <v>673.59999999999991</v>
      </c>
      <c r="BJ4" s="15">
        <f t="shared" ref="BJ4:BJ18" si="12">(BI4/BH4)*100</f>
        <v>56.772018541930038</v>
      </c>
      <c r="BL4" s="12">
        <v>18</v>
      </c>
      <c r="BM4" s="12" t="s">
        <v>51</v>
      </c>
      <c r="BN4" s="12"/>
      <c r="BO4" s="12">
        <v>1186.5</v>
      </c>
      <c r="BP4" s="12">
        <f t="shared" ref="BP4:BP18" si="13">BN4-I4</f>
        <v>-18</v>
      </c>
      <c r="BQ4" s="15">
        <f t="shared" ref="BQ4:BQ18" si="14">(BP4/BO4)*100</f>
        <v>-1.5170670037926675</v>
      </c>
      <c r="BS4" s="12">
        <v>18</v>
      </c>
      <c r="BT4" s="12" t="s">
        <v>51</v>
      </c>
      <c r="BU4" s="12">
        <v>2224.6999999999998</v>
      </c>
      <c r="BV4" s="12">
        <v>1186.5</v>
      </c>
      <c r="BW4" s="12">
        <f t="shared" ref="BW4:BW18" si="15">BU4-B4</f>
        <v>729.19999999999982</v>
      </c>
      <c r="BX4" s="15">
        <f t="shared" ref="BX4:BX18" si="16">(BW4/BV4)*100</f>
        <v>61.458069953645158</v>
      </c>
      <c r="BZ4" s="12">
        <v>18</v>
      </c>
      <c r="CA4" s="12" t="s">
        <v>58</v>
      </c>
      <c r="CB4" s="12">
        <v>2217.8000000000002</v>
      </c>
      <c r="CC4" s="12">
        <v>1186.5</v>
      </c>
      <c r="CD4" s="12">
        <f t="shared" ref="CD4:CD18" si="17">CB4-B4</f>
        <v>722.30000000000018</v>
      </c>
      <c r="CE4" s="15">
        <f t="shared" ref="CE4:CE18" si="18">(CD4/CC4)*100</f>
        <v>60.876527602191331</v>
      </c>
      <c r="CG4" s="12">
        <v>18</v>
      </c>
      <c r="CH4" s="12"/>
      <c r="CI4" s="12">
        <v>2182.5</v>
      </c>
      <c r="CJ4" s="12">
        <v>1186.5</v>
      </c>
      <c r="CK4" s="12">
        <f t="shared" ref="CK4:CK18" si="19">CI4-B4</f>
        <v>687</v>
      </c>
      <c r="CL4" s="15">
        <f t="shared" ref="CL4:CL18" si="20">(CK4/CJ4)*100</f>
        <v>57.901390644753484</v>
      </c>
      <c r="CN4" s="12">
        <v>18</v>
      </c>
      <c r="CO4" s="12" t="s">
        <v>58</v>
      </c>
      <c r="CP4" s="12">
        <v>2239.8000000000002</v>
      </c>
      <c r="CQ4" s="12">
        <v>1186.5</v>
      </c>
      <c r="CR4" s="12">
        <f t="shared" ref="CR4:CR18" si="21">CP4-B4</f>
        <v>744.30000000000018</v>
      </c>
      <c r="CS4" s="15">
        <f t="shared" ref="CS4:CS18" si="22">(CR4/CQ4)*100</f>
        <v>62.730720606826814</v>
      </c>
      <c r="CU4" s="12">
        <v>18</v>
      </c>
      <c r="CV4" s="12" t="s">
        <v>58</v>
      </c>
      <c r="CW4" s="12">
        <v>2150.6</v>
      </c>
      <c r="CX4" s="12">
        <v>1186.5</v>
      </c>
      <c r="CY4" s="12">
        <f t="shared" ref="CY4:CY18" si="23">CW4-B4</f>
        <v>655.09999999999991</v>
      </c>
      <c r="CZ4" s="15">
        <f t="shared" ref="CZ4:CZ18" si="24">(CY4/CX4)*100</f>
        <v>55.212810788032016</v>
      </c>
      <c r="DB4" s="12">
        <v>18</v>
      </c>
      <c r="DC4" s="12" t="s">
        <v>65</v>
      </c>
      <c r="DD4" s="12">
        <v>2207.5</v>
      </c>
      <c r="DE4" s="12">
        <v>1186.5</v>
      </c>
      <c r="DF4" s="12">
        <f t="shared" ref="DF4:DF18" si="25">DD4-B4</f>
        <v>712</v>
      </c>
      <c r="DG4" s="15">
        <f t="shared" ref="DG4:DG18" si="26">(DF4/DE4)*100</f>
        <v>60.008428150021075</v>
      </c>
      <c r="DI4" s="12">
        <v>18</v>
      </c>
      <c r="DJ4" s="12" t="s">
        <v>63</v>
      </c>
      <c r="DK4" s="12">
        <v>2116.6</v>
      </c>
      <c r="DL4" s="12">
        <v>1186.5</v>
      </c>
      <c r="DM4" s="12">
        <f t="shared" ref="DM4:DM18" si="27">DK4-B4</f>
        <v>621.09999999999991</v>
      </c>
      <c r="DN4" s="15">
        <f t="shared" ref="DN4:DN18" si="28">(DM4/DL4)*100</f>
        <v>52.347239780868094</v>
      </c>
      <c r="DP4" s="12">
        <v>18</v>
      </c>
      <c r="DQ4" s="12" t="s">
        <v>63</v>
      </c>
      <c r="DR4" s="12">
        <v>2205.3000000000002</v>
      </c>
      <c r="DS4" s="12">
        <v>1186.5</v>
      </c>
      <c r="DT4" s="12">
        <f t="shared" ref="DT4:DT18" si="29">DR4-B4</f>
        <v>709.80000000000018</v>
      </c>
      <c r="DU4" s="15">
        <f t="shared" ref="DU4:DU18" si="30">(DT4/DS4)*100</f>
        <v>59.823008849557539</v>
      </c>
      <c r="DW4" s="12">
        <v>18</v>
      </c>
      <c r="DX4" s="12" t="s">
        <v>63</v>
      </c>
      <c r="DY4" s="12">
        <v>2174.8000000000002</v>
      </c>
      <c r="DZ4" s="12">
        <v>1186.5</v>
      </c>
      <c r="EA4" s="12">
        <f t="shared" ref="EA4:EA18" si="31">DY4-B4</f>
        <v>679.30000000000018</v>
      </c>
      <c r="EB4" s="15">
        <f t="shared" ref="EB4:EB18" si="32">(EA4/DZ4)*100</f>
        <v>57.252423093131078</v>
      </c>
      <c r="ED4" s="12">
        <v>18</v>
      </c>
      <c r="EE4" s="12" t="s">
        <v>63</v>
      </c>
      <c r="EF4" s="12">
        <v>2208.3000000000002</v>
      </c>
      <c r="EG4" s="12">
        <v>1186.5</v>
      </c>
      <c r="EH4" s="12">
        <f t="shared" ref="EH4:EH18" si="33">EF4-B4</f>
        <v>712.80000000000018</v>
      </c>
      <c r="EI4" s="15">
        <f t="shared" ref="EI4:EI18" si="34">(EH4/EG4)*100</f>
        <v>60.075853350189647</v>
      </c>
      <c r="EK4" s="12">
        <v>18</v>
      </c>
      <c r="EL4" s="12" t="s">
        <v>63</v>
      </c>
      <c r="EM4" s="12">
        <f>2270-0.4</f>
        <v>2269.6</v>
      </c>
      <c r="EN4" s="132">
        <f t="shared" ref="EN4:EN18" si="35">EM4-0.4</f>
        <v>2269.1999999999998</v>
      </c>
      <c r="EO4" s="12">
        <v>1186.5</v>
      </c>
      <c r="EP4" s="12">
        <f t="shared" ref="EP4:EP18" si="36">EN4-B4</f>
        <v>773.69999999999982</v>
      </c>
      <c r="EQ4" s="15">
        <f t="shared" ref="EQ4:EQ18" si="37">(EP4/EO4)*100</f>
        <v>65.208596713021478</v>
      </c>
    </row>
    <row r="5" spans="1:147" x14ac:dyDescent="0.25">
      <c r="A5" s="12">
        <v>19</v>
      </c>
      <c r="B5" s="12">
        <v>1582.5</v>
      </c>
      <c r="E5" s="12">
        <v>19</v>
      </c>
      <c r="F5" s="12">
        <v>2860.4</v>
      </c>
      <c r="I5" s="12">
        <v>19</v>
      </c>
      <c r="J5" s="12">
        <v>2732.4</v>
      </c>
      <c r="K5" s="12">
        <f t="shared" si="0"/>
        <v>1277.9000000000001</v>
      </c>
      <c r="L5" s="12">
        <f t="shared" si="1"/>
        <v>1149.9000000000001</v>
      </c>
      <c r="M5" s="15">
        <f t="shared" si="2"/>
        <v>89.983566789263634</v>
      </c>
      <c r="O5" s="12">
        <v>19</v>
      </c>
      <c r="P5" s="12"/>
      <c r="Q5" s="12">
        <v>2721.9</v>
      </c>
      <c r="R5" s="12">
        <v>1277.9000000000001</v>
      </c>
      <c r="S5" s="12">
        <f t="shared" si="3"/>
        <v>1139.4000000000001</v>
      </c>
      <c r="T5" s="15">
        <f t="shared" si="4"/>
        <v>89.161906252445419</v>
      </c>
      <c r="V5" s="12">
        <v>19</v>
      </c>
      <c r="W5" s="12" t="s">
        <v>33</v>
      </c>
      <c r="X5" s="12"/>
      <c r="Y5" s="12">
        <v>1277.9000000000001</v>
      </c>
      <c r="Z5" s="12"/>
      <c r="AA5" s="15"/>
      <c r="AC5" s="12">
        <v>19</v>
      </c>
      <c r="AD5" s="12" t="s">
        <v>33</v>
      </c>
      <c r="AE5" s="12"/>
      <c r="AF5" s="12">
        <v>1277.9000000000001</v>
      </c>
      <c r="AG5" s="12"/>
      <c r="AH5" s="15"/>
      <c r="AJ5" s="12">
        <v>19</v>
      </c>
      <c r="AK5" s="12" t="s">
        <v>32</v>
      </c>
      <c r="AL5" s="12">
        <v>2697.4</v>
      </c>
      <c r="AM5" s="12">
        <v>1277.9000000000001</v>
      </c>
      <c r="AN5" s="12">
        <f t="shared" si="5"/>
        <v>1114.9000000000001</v>
      </c>
      <c r="AO5" s="15">
        <f t="shared" si="6"/>
        <v>87.244698333202905</v>
      </c>
      <c r="AQ5" s="12">
        <v>19</v>
      </c>
      <c r="AR5" s="12" t="s">
        <v>35</v>
      </c>
      <c r="AS5" s="12">
        <v>2294.5</v>
      </c>
      <c r="AT5" s="12">
        <v>1277.9000000000001</v>
      </c>
      <c r="AU5" s="12">
        <f t="shared" si="7"/>
        <v>712</v>
      </c>
      <c r="AV5" s="15">
        <f t="shared" si="8"/>
        <v>55.716409734721019</v>
      </c>
      <c r="AX5" s="12">
        <v>19</v>
      </c>
      <c r="AY5" s="12" t="s">
        <v>39</v>
      </c>
      <c r="AZ5" s="12">
        <v>2691.4</v>
      </c>
      <c r="BA5" s="12">
        <v>1277.9000000000001</v>
      </c>
      <c r="BB5" s="12">
        <f t="shared" si="9"/>
        <v>1108.9000000000001</v>
      </c>
      <c r="BC5" s="15">
        <f t="shared" si="10"/>
        <v>86.775178026449638</v>
      </c>
      <c r="BE5" s="12">
        <v>19</v>
      </c>
      <c r="BF5" s="12" t="s">
        <v>39</v>
      </c>
      <c r="BG5" s="12">
        <v>2617.6999999999998</v>
      </c>
      <c r="BH5" s="12">
        <v>1277.9000000000001</v>
      </c>
      <c r="BI5" s="12">
        <f t="shared" si="11"/>
        <v>1035.1999999999998</v>
      </c>
      <c r="BJ5" s="15">
        <f t="shared" si="12"/>
        <v>81.007903591830328</v>
      </c>
      <c r="BL5" s="12">
        <v>19</v>
      </c>
      <c r="BM5" s="12" t="s">
        <v>51</v>
      </c>
      <c r="BN5" s="12"/>
      <c r="BO5" s="12">
        <v>1277.9000000000001</v>
      </c>
      <c r="BP5" s="12">
        <f t="shared" si="13"/>
        <v>-19</v>
      </c>
      <c r="BQ5" s="15">
        <f t="shared" si="14"/>
        <v>-1.486814304718679</v>
      </c>
      <c r="BS5" s="12">
        <v>19</v>
      </c>
      <c r="BT5" s="12" t="s">
        <v>51</v>
      </c>
      <c r="BU5" s="12">
        <v>2540.8000000000002</v>
      </c>
      <c r="BV5" s="12">
        <v>1277.9000000000001</v>
      </c>
      <c r="BW5" s="12">
        <f t="shared" si="15"/>
        <v>958.30000000000018</v>
      </c>
      <c r="BX5" s="15">
        <f t="shared" si="16"/>
        <v>74.990218326942653</v>
      </c>
      <c r="BZ5" s="12">
        <v>19</v>
      </c>
      <c r="CA5" s="12" t="s">
        <v>51</v>
      </c>
      <c r="CB5" s="12">
        <v>2458</v>
      </c>
      <c r="CC5" s="12">
        <v>1277.9000000000001</v>
      </c>
      <c r="CD5" s="12">
        <f t="shared" si="17"/>
        <v>875.5</v>
      </c>
      <c r="CE5" s="15">
        <f t="shared" si="18"/>
        <v>68.510838093747552</v>
      </c>
      <c r="CG5" s="12">
        <v>19</v>
      </c>
      <c r="CH5" s="12"/>
      <c r="CI5" s="12">
        <v>2431.6</v>
      </c>
      <c r="CJ5" s="12">
        <v>1277.9000000000001</v>
      </c>
      <c r="CK5" s="12">
        <f t="shared" si="19"/>
        <v>849.09999999999991</v>
      </c>
      <c r="CL5" s="15">
        <f t="shared" si="20"/>
        <v>66.444948744033169</v>
      </c>
      <c r="CN5" s="12">
        <v>19</v>
      </c>
      <c r="CO5" s="12" t="s">
        <v>51</v>
      </c>
      <c r="CP5" s="12">
        <v>2382.6</v>
      </c>
      <c r="CQ5" s="12">
        <v>1277.9000000000001</v>
      </c>
      <c r="CR5" s="12">
        <f t="shared" si="21"/>
        <v>800.09999999999991</v>
      </c>
      <c r="CS5" s="15">
        <f t="shared" si="22"/>
        <v>62.610532905548155</v>
      </c>
      <c r="CU5" s="12">
        <v>19</v>
      </c>
      <c r="CV5" s="12" t="s">
        <v>51</v>
      </c>
      <c r="CW5" s="12">
        <v>2322.4</v>
      </c>
      <c r="CX5" s="12">
        <v>1277.9000000000001</v>
      </c>
      <c r="CY5" s="12">
        <f t="shared" si="23"/>
        <v>739.90000000000009</v>
      </c>
      <c r="CZ5" s="15">
        <f t="shared" si="24"/>
        <v>57.899679161123721</v>
      </c>
      <c r="DB5" s="12">
        <v>19</v>
      </c>
      <c r="DC5" s="12" t="s">
        <v>51</v>
      </c>
      <c r="DD5" s="12">
        <v>2407.3000000000002</v>
      </c>
      <c r="DE5" s="12">
        <v>1277.9000000000001</v>
      </c>
      <c r="DF5" s="12">
        <f t="shared" si="25"/>
        <v>824.80000000000018</v>
      </c>
      <c r="DG5" s="15">
        <f t="shared" si="26"/>
        <v>64.54339150168245</v>
      </c>
      <c r="DI5" s="12">
        <v>19</v>
      </c>
      <c r="DJ5" s="12" t="s">
        <v>51</v>
      </c>
      <c r="DK5" s="12">
        <v>2337</v>
      </c>
      <c r="DL5" s="12">
        <v>1277.9000000000001</v>
      </c>
      <c r="DM5" s="12">
        <f t="shared" si="27"/>
        <v>754.5</v>
      </c>
      <c r="DN5" s="15">
        <f t="shared" si="28"/>
        <v>59.042178574223335</v>
      </c>
      <c r="DP5" s="12">
        <v>19</v>
      </c>
      <c r="DQ5" s="12" t="s">
        <v>51</v>
      </c>
      <c r="DR5" s="12">
        <v>2386.4</v>
      </c>
      <c r="DS5" s="12">
        <v>1277.9000000000001</v>
      </c>
      <c r="DT5" s="12">
        <f t="shared" si="29"/>
        <v>803.90000000000009</v>
      </c>
      <c r="DU5" s="15">
        <f t="shared" si="30"/>
        <v>62.907895766491905</v>
      </c>
      <c r="DW5" s="12">
        <v>19</v>
      </c>
      <c r="DX5" s="12" t="s">
        <v>51</v>
      </c>
      <c r="DY5" s="12">
        <v>2368.9</v>
      </c>
      <c r="DZ5" s="12">
        <v>1277.9000000000001</v>
      </c>
      <c r="EA5" s="12">
        <f t="shared" si="31"/>
        <v>786.40000000000009</v>
      </c>
      <c r="EB5" s="15">
        <f t="shared" si="32"/>
        <v>61.53846153846154</v>
      </c>
      <c r="ED5" s="12">
        <v>19</v>
      </c>
      <c r="EE5" s="12" t="s">
        <v>51</v>
      </c>
      <c r="EF5" s="12">
        <v>2404.6999999999998</v>
      </c>
      <c r="EG5" s="12">
        <v>1277.9000000000001</v>
      </c>
      <c r="EH5" s="12">
        <f t="shared" si="33"/>
        <v>822.19999999999982</v>
      </c>
      <c r="EI5" s="15">
        <f t="shared" si="34"/>
        <v>64.339932702089342</v>
      </c>
      <c r="EK5" s="12">
        <v>19</v>
      </c>
      <c r="EL5" s="12" t="s">
        <v>51</v>
      </c>
      <c r="EM5" s="12">
        <v>2427.6999999999998</v>
      </c>
      <c r="EN5" s="132">
        <f t="shared" si="35"/>
        <v>2427.2999999999997</v>
      </c>
      <c r="EO5" s="12">
        <v>1277.9000000000001</v>
      </c>
      <c r="EP5" s="12">
        <f t="shared" si="36"/>
        <v>844.79999999999973</v>
      </c>
      <c r="EQ5" s="15">
        <f t="shared" si="37"/>
        <v>66.108459190859975</v>
      </c>
    </row>
    <row r="6" spans="1:147" x14ac:dyDescent="0.25">
      <c r="A6" s="12">
        <v>20</v>
      </c>
      <c r="B6" s="12">
        <v>1849.2</v>
      </c>
      <c r="E6" s="12">
        <v>20</v>
      </c>
      <c r="F6" s="12">
        <v>3204</v>
      </c>
      <c r="I6" s="12">
        <v>20</v>
      </c>
      <c r="J6" s="12">
        <v>3059.3</v>
      </c>
      <c r="K6" s="12">
        <f t="shared" si="0"/>
        <v>1354.8</v>
      </c>
      <c r="L6" s="12">
        <f t="shared" si="1"/>
        <v>1210.1000000000001</v>
      </c>
      <c r="M6" s="15">
        <f t="shared" si="2"/>
        <v>89.319456746383239</v>
      </c>
      <c r="O6" s="12">
        <v>20</v>
      </c>
      <c r="P6" s="12"/>
      <c r="Q6" s="12">
        <v>3005.3</v>
      </c>
      <c r="R6" s="12">
        <v>1354.8</v>
      </c>
      <c r="S6" s="12">
        <f t="shared" si="3"/>
        <v>1156.1000000000001</v>
      </c>
      <c r="T6" s="15">
        <f t="shared" si="4"/>
        <v>85.333628579864197</v>
      </c>
      <c r="V6" s="12">
        <v>20</v>
      </c>
      <c r="W6" s="12" t="s">
        <v>33</v>
      </c>
      <c r="X6" s="12"/>
      <c r="Y6" s="12">
        <v>1354.8</v>
      </c>
      <c r="Z6" s="12"/>
      <c r="AA6" s="15"/>
      <c r="AC6" s="12">
        <v>20</v>
      </c>
      <c r="AD6" s="12" t="s">
        <v>33</v>
      </c>
      <c r="AE6" s="12"/>
      <c r="AF6" s="12">
        <v>1354.8</v>
      </c>
      <c r="AG6" s="12"/>
      <c r="AH6" s="15"/>
      <c r="AJ6" s="12">
        <v>20</v>
      </c>
      <c r="AK6" s="12" t="s">
        <v>33</v>
      </c>
      <c r="AL6" s="12">
        <v>2930.9</v>
      </c>
      <c r="AM6" s="12">
        <v>1354.8</v>
      </c>
      <c r="AN6" s="12">
        <f t="shared" si="5"/>
        <v>1081.7</v>
      </c>
      <c r="AO6" s="15">
        <f t="shared" si="6"/>
        <v>79.842043105993511</v>
      </c>
      <c r="AQ6" s="12">
        <v>20</v>
      </c>
      <c r="AR6" s="12" t="s">
        <v>39</v>
      </c>
      <c r="AS6" s="12">
        <v>2749.3</v>
      </c>
      <c r="AT6" s="12">
        <v>1354.8</v>
      </c>
      <c r="AU6" s="12">
        <f t="shared" si="7"/>
        <v>900.10000000000014</v>
      </c>
      <c r="AV6" s="15">
        <f t="shared" si="8"/>
        <v>66.437850605255406</v>
      </c>
      <c r="AX6" s="12">
        <v>20</v>
      </c>
      <c r="AY6" s="12" t="s">
        <v>39</v>
      </c>
      <c r="AZ6" s="12">
        <v>2705.9</v>
      </c>
      <c r="BA6" s="12">
        <v>1354.8</v>
      </c>
      <c r="BB6" s="12">
        <f t="shared" si="9"/>
        <v>856.7</v>
      </c>
      <c r="BC6" s="15">
        <f t="shared" si="10"/>
        <v>63.234425745497489</v>
      </c>
      <c r="BE6" s="12">
        <v>20</v>
      </c>
      <c r="BF6" s="12" t="s">
        <v>39</v>
      </c>
      <c r="BG6" s="12">
        <v>2631.9</v>
      </c>
      <c r="BH6" s="12">
        <v>1354.8</v>
      </c>
      <c r="BI6" s="12">
        <f t="shared" si="11"/>
        <v>782.7</v>
      </c>
      <c r="BJ6" s="15">
        <f t="shared" si="12"/>
        <v>57.772364924712136</v>
      </c>
      <c r="BL6" s="12">
        <v>20</v>
      </c>
      <c r="BM6" s="12" t="s">
        <v>51</v>
      </c>
      <c r="BN6" s="12"/>
      <c r="BO6" s="12">
        <v>1354.8</v>
      </c>
      <c r="BP6" s="12">
        <f t="shared" si="13"/>
        <v>-20</v>
      </c>
      <c r="BQ6" s="15">
        <f t="shared" si="14"/>
        <v>-1.4762326542663124</v>
      </c>
      <c r="BS6" s="12">
        <v>20</v>
      </c>
      <c r="BT6" s="12" t="s">
        <v>51</v>
      </c>
      <c r="BU6" s="12">
        <v>2665.5</v>
      </c>
      <c r="BV6" s="12">
        <v>1354.8</v>
      </c>
      <c r="BW6" s="12">
        <f t="shared" si="15"/>
        <v>816.3</v>
      </c>
      <c r="BX6" s="15">
        <f t="shared" si="16"/>
        <v>60.252435783879541</v>
      </c>
      <c r="BZ6" s="12">
        <v>20</v>
      </c>
      <c r="CA6" s="12" t="s">
        <v>51</v>
      </c>
      <c r="CB6" s="12">
        <v>2670.6</v>
      </c>
      <c r="CC6" s="12">
        <v>1354.8</v>
      </c>
      <c r="CD6" s="12">
        <f t="shared" si="17"/>
        <v>821.39999999999986</v>
      </c>
      <c r="CE6" s="15">
        <f t="shared" si="18"/>
        <v>60.628875110717438</v>
      </c>
      <c r="CG6" s="12">
        <v>20</v>
      </c>
      <c r="CH6" s="12"/>
      <c r="CI6" s="12">
        <v>2632.7</v>
      </c>
      <c r="CJ6" s="12">
        <v>1354.8</v>
      </c>
      <c r="CK6" s="12">
        <f t="shared" si="19"/>
        <v>783.49999999999977</v>
      </c>
      <c r="CL6" s="15">
        <f t="shared" si="20"/>
        <v>57.831414230882771</v>
      </c>
      <c r="CN6" s="12">
        <v>20</v>
      </c>
      <c r="CO6" s="12" t="s">
        <v>63</v>
      </c>
      <c r="CP6" s="12">
        <v>2712.7</v>
      </c>
      <c r="CQ6" s="12">
        <v>1354.8</v>
      </c>
      <c r="CR6" s="12">
        <f t="shared" si="21"/>
        <v>863.49999999999977</v>
      </c>
      <c r="CS6" s="15">
        <f t="shared" si="22"/>
        <v>63.736344847948025</v>
      </c>
      <c r="CU6" s="12">
        <v>20</v>
      </c>
      <c r="CV6" s="12" t="s">
        <v>66</v>
      </c>
      <c r="CW6" s="12">
        <v>2614.8000000000002</v>
      </c>
      <c r="CX6" s="12">
        <v>1354.8</v>
      </c>
      <c r="CY6" s="12">
        <f t="shared" si="23"/>
        <v>765.60000000000014</v>
      </c>
      <c r="CZ6" s="15">
        <f t="shared" si="24"/>
        <v>56.510186005314445</v>
      </c>
      <c r="DB6" s="12">
        <v>20</v>
      </c>
      <c r="DC6" s="12" t="s">
        <v>66</v>
      </c>
      <c r="DD6" s="12">
        <v>2673.4</v>
      </c>
      <c r="DE6" s="12">
        <v>1354.8</v>
      </c>
      <c r="DF6" s="12">
        <f t="shared" si="25"/>
        <v>824.2</v>
      </c>
      <c r="DG6" s="15">
        <f t="shared" si="26"/>
        <v>60.83554768231474</v>
      </c>
      <c r="DI6" s="12">
        <v>20</v>
      </c>
      <c r="DJ6" s="12" t="s">
        <v>66</v>
      </c>
      <c r="DK6" s="12">
        <v>2564.9</v>
      </c>
      <c r="DL6" s="12">
        <v>1354.8</v>
      </c>
      <c r="DM6" s="12">
        <f t="shared" si="27"/>
        <v>715.7</v>
      </c>
      <c r="DN6" s="15">
        <f t="shared" si="28"/>
        <v>52.826985532919991</v>
      </c>
      <c r="DP6" s="12">
        <v>20</v>
      </c>
      <c r="DQ6" s="12" t="s">
        <v>66</v>
      </c>
      <c r="DR6" s="12">
        <v>2686.6</v>
      </c>
      <c r="DS6" s="12">
        <v>1354.8</v>
      </c>
      <c r="DT6" s="12">
        <f t="shared" si="29"/>
        <v>837.39999999999986</v>
      </c>
      <c r="DU6" s="15">
        <f t="shared" si="30"/>
        <v>61.809861234130494</v>
      </c>
      <c r="DW6" s="12">
        <v>20</v>
      </c>
      <c r="DX6" s="12" t="s">
        <v>66</v>
      </c>
      <c r="DY6" s="12">
        <v>2637.8</v>
      </c>
      <c r="DZ6" s="12">
        <v>1354.8</v>
      </c>
      <c r="EA6" s="12">
        <f t="shared" si="31"/>
        <v>788.60000000000014</v>
      </c>
      <c r="EB6" s="15">
        <f t="shared" si="32"/>
        <v>58.207853557720711</v>
      </c>
      <c r="ED6" s="12">
        <v>20</v>
      </c>
      <c r="EE6" s="12" t="s">
        <v>66</v>
      </c>
      <c r="EF6" s="12">
        <v>2684.1</v>
      </c>
      <c r="EG6" s="12">
        <v>1354.8</v>
      </c>
      <c r="EH6" s="12">
        <f t="shared" si="33"/>
        <v>834.89999999999986</v>
      </c>
      <c r="EI6" s="15">
        <f t="shared" si="34"/>
        <v>61.625332152347198</v>
      </c>
      <c r="EK6" s="12">
        <v>20</v>
      </c>
      <c r="EL6" s="12" t="s">
        <v>119</v>
      </c>
      <c r="EM6" s="12">
        <v>2728.6</v>
      </c>
      <c r="EN6" s="132">
        <f t="shared" si="35"/>
        <v>2728.2</v>
      </c>
      <c r="EO6" s="12">
        <v>1354.8</v>
      </c>
      <c r="EP6" s="12">
        <f t="shared" si="36"/>
        <v>878.99999999999977</v>
      </c>
      <c r="EQ6" s="15">
        <f t="shared" si="37"/>
        <v>64.880425155004417</v>
      </c>
    </row>
    <row r="7" spans="1:147" x14ac:dyDescent="0.25">
      <c r="A7" s="12">
        <v>21</v>
      </c>
      <c r="B7" s="12">
        <v>1508.3</v>
      </c>
      <c r="E7" s="12">
        <v>21</v>
      </c>
      <c r="F7" s="12">
        <v>2715.9</v>
      </c>
      <c r="I7" s="12">
        <v>21</v>
      </c>
      <c r="J7" s="12">
        <v>2559.1</v>
      </c>
      <c r="K7" s="12">
        <f t="shared" si="0"/>
        <v>1207.6000000000001</v>
      </c>
      <c r="L7" s="12">
        <f t="shared" si="1"/>
        <v>1050.8</v>
      </c>
      <c r="M7" s="15">
        <f t="shared" si="2"/>
        <v>87.015568068896982</v>
      </c>
      <c r="O7" s="12">
        <v>21</v>
      </c>
      <c r="P7" s="12"/>
      <c r="Q7" s="12">
        <v>2490</v>
      </c>
      <c r="R7" s="12">
        <v>1207.6000000000001</v>
      </c>
      <c r="S7" s="12">
        <f t="shared" si="3"/>
        <v>981.7</v>
      </c>
      <c r="T7" s="15">
        <f t="shared" si="4"/>
        <v>81.293474660483596</v>
      </c>
      <c r="V7" s="12">
        <v>21</v>
      </c>
      <c r="W7" s="12" t="s">
        <v>32</v>
      </c>
      <c r="X7" s="12"/>
      <c r="Y7" s="12">
        <v>1207.6000000000001</v>
      </c>
      <c r="Z7" s="12"/>
      <c r="AA7" s="15"/>
      <c r="AC7" s="12">
        <v>21</v>
      </c>
      <c r="AD7" s="12" t="s">
        <v>32</v>
      </c>
      <c r="AE7" s="12"/>
      <c r="AF7" s="12">
        <v>1207.6000000000001</v>
      </c>
      <c r="AG7" s="12"/>
      <c r="AH7" s="15"/>
      <c r="AJ7" s="12">
        <v>21</v>
      </c>
      <c r="AK7" s="12" t="s">
        <v>32</v>
      </c>
      <c r="AL7" s="12">
        <v>2413.1</v>
      </c>
      <c r="AM7" s="12">
        <v>1207.6000000000001</v>
      </c>
      <c r="AN7" s="12">
        <f t="shared" si="5"/>
        <v>904.8</v>
      </c>
      <c r="AO7" s="15">
        <f t="shared" si="6"/>
        <v>74.92547201059952</v>
      </c>
      <c r="AQ7" s="12">
        <v>21</v>
      </c>
      <c r="AR7" s="12" t="s">
        <v>35</v>
      </c>
      <c r="AS7" s="12">
        <v>2273.1999999999998</v>
      </c>
      <c r="AT7" s="12">
        <v>1207.6000000000001</v>
      </c>
      <c r="AU7" s="12">
        <f t="shared" si="7"/>
        <v>764.89999999999986</v>
      </c>
      <c r="AV7" s="15">
        <f t="shared" si="8"/>
        <v>63.340510102682991</v>
      </c>
      <c r="AX7" s="12">
        <v>21</v>
      </c>
      <c r="AY7" s="12" t="s">
        <v>39</v>
      </c>
      <c r="AZ7" s="12">
        <v>2265.9</v>
      </c>
      <c r="BA7" s="12">
        <v>1207.6000000000001</v>
      </c>
      <c r="BB7" s="12">
        <f t="shared" si="9"/>
        <v>757.60000000000014</v>
      </c>
      <c r="BC7" s="15">
        <f t="shared" si="10"/>
        <v>62.736005299768138</v>
      </c>
      <c r="BE7" s="12">
        <v>21</v>
      </c>
      <c r="BF7" s="12" t="s">
        <v>39</v>
      </c>
      <c r="BG7" s="12">
        <v>2206.6</v>
      </c>
      <c r="BH7" s="12">
        <v>1207.6000000000001</v>
      </c>
      <c r="BI7" s="12">
        <f t="shared" si="11"/>
        <v>698.3</v>
      </c>
      <c r="BJ7" s="15">
        <f t="shared" si="12"/>
        <v>57.825438887048684</v>
      </c>
      <c r="BL7" s="12">
        <v>21</v>
      </c>
      <c r="BM7" s="12" t="s">
        <v>39</v>
      </c>
      <c r="BN7" s="12"/>
      <c r="BO7" s="12">
        <v>1207.6000000000001</v>
      </c>
      <c r="BP7" s="12">
        <f t="shared" si="13"/>
        <v>-21</v>
      </c>
      <c r="BQ7" s="15">
        <f t="shared" si="14"/>
        <v>-1.7389864193441535</v>
      </c>
      <c r="BS7" s="12">
        <v>21</v>
      </c>
      <c r="BT7" s="12" t="s">
        <v>39</v>
      </c>
      <c r="BU7" s="12">
        <v>2366.6999999999998</v>
      </c>
      <c r="BV7" s="12">
        <v>1207.6000000000001</v>
      </c>
      <c r="BW7" s="12">
        <f t="shared" si="15"/>
        <v>858.39999999999986</v>
      </c>
      <c r="BX7" s="15">
        <f t="shared" si="16"/>
        <v>71.083140112620057</v>
      </c>
      <c r="BZ7" s="12">
        <v>21</v>
      </c>
      <c r="CA7" s="12" t="s">
        <v>51</v>
      </c>
      <c r="CB7" s="12">
        <v>2269.5</v>
      </c>
      <c r="CC7" s="12">
        <v>1207.6000000000001</v>
      </c>
      <c r="CD7" s="12">
        <f t="shared" si="17"/>
        <v>761.2</v>
      </c>
      <c r="CE7" s="15">
        <f t="shared" si="18"/>
        <v>63.034117257369985</v>
      </c>
      <c r="CG7" s="12">
        <v>21</v>
      </c>
      <c r="CH7" s="12"/>
      <c r="CI7" s="12">
        <v>2238.1</v>
      </c>
      <c r="CJ7" s="12">
        <v>1207.6000000000001</v>
      </c>
      <c r="CK7" s="12">
        <f t="shared" si="19"/>
        <v>729.8</v>
      </c>
      <c r="CL7" s="15">
        <f t="shared" si="20"/>
        <v>60.433918516064914</v>
      </c>
      <c r="CN7" s="12">
        <v>21</v>
      </c>
      <c r="CO7" s="12" t="s">
        <v>51</v>
      </c>
      <c r="CP7" s="12">
        <v>2285.3000000000002</v>
      </c>
      <c r="CQ7" s="12">
        <v>1207.6000000000001</v>
      </c>
      <c r="CR7" s="12">
        <f t="shared" si="21"/>
        <v>777.00000000000023</v>
      </c>
      <c r="CS7" s="15">
        <f t="shared" si="22"/>
        <v>64.342497515733697</v>
      </c>
      <c r="CU7" s="12">
        <v>21</v>
      </c>
      <c r="CV7" s="12" t="s">
        <v>51</v>
      </c>
      <c r="CW7" s="12">
        <v>2184.4</v>
      </c>
      <c r="CX7" s="12">
        <v>1207.6000000000001</v>
      </c>
      <c r="CY7" s="12">
        <f t="shared" si="23"/>
        <v>676.10000000000014</v>
      </c>
      <c r="CZ7" s="15">
        <f t="shared" si="24"/>
        <v>55.98708181517059</v>
      </c>
      <c r="DB7" s="12">
        <v>21</v>
      </c>
      <c r="DC7" s="12" t="s">
        <v>58</v>
      </c>
      <c r="DD7" s="12">
        <v>2247.6999999999998</v>
      </c>
      <c r="DE7" s="12">
        <v>1207.6000000000001</v>
      </c>
      <c r="DF7" s="12">
        <f t="shared" si="25"/>
        <v>739.39999999999986</v>
      </c>
      <c r="DG7" s="15">
        <f t="shared" si="26"/>
        <v>61.228883736336513</v>
      </c>
      <c r="DI7" s="12">
        <v>21</v>
      </c>
      <c r="DJ7" s="12" t="s">
        <v>58</v>
      </c>
      <c r="DK7" s="12">
        <v>2142</v>
      </c>
      <c r="DL7" s="12">
        <v>1207.6000000000001</v>
      </c>
      <c r="DM7" s="12">
        <f t="shared" si="27"/>
        <v>633.70000000000005</v>
      </c>
      <c r="DN7" s="15">
        <f t="shared" si="28"/>
        <v>52.475985425637631</v>
      </c>
      <c r="DP7" s="12">
        <v>21</v>
      </c>
      <c r="DQ7" s="12" t="s">
        <v>58</v>
      </c>
      <c r="DR7" s="12">
        <v>2234.6999999999998</v>
      </c>
      <c r="DS7" s="12">
        <v>1207.6000000000001</v>
      </c>
      <c r="DT7" s="12">
        <f t="shared" si="29"/>
        <v>726.39999999999986</v>
      </c>
      <c r="DU7" s="15">
        <f t="shared" si="30"/>
        <v>60.152368333885377</v>
      </c>
      <c r="DW7" s="12">
        <v>21</v>
      </c>
      <c r="DX7" s="12" t="s">
        <v>58</v>
      </c>
      <c r="DY7" s="12">
        <v>2207.8000000000002</v>
      </c>
      <c r="DZ7" s="12">
        <v>1207.6000000000001</v>
      </c>
      <c r="EA7" s="12">
        <f t="shared" si="31"/>
        <v>699.50000000000023</v>
      </c>
      <c r="EB7" s="15">
        <f t="shared" si="32"/>
        <v>57.924809539582654</v>
      </c>
      <c r="ED7" s="12">
        <v>21</v>
      </c>
      <c r="EE7" s="12" t="s">
        <v>58</v>
      </c>
      <c r="EF7" s="12">
        <v>2235</v>
      </c>
      <c r="EG7" s="12">
        <v>1207.6000000000001</v>
      </c>
      <c r="EH7" s="12">
        <f t="shared" si="33"/>
        <v>726.7</v>
      </c>
      <c r="EI7" s="15">
        <f t="shared" si="34"/>
        <v>60.177210997018882</v>
      </c>
      <c r="EK7" s="12">
        <v>21</v>
      </c>
      <c r="EL7" s="12" t="s">
        <v>70</v>
      </c>
      <c r="EM7" s="12">
        <v>2278.1</v>
      </c>
      <c r="EN7" s="132">
        <f t="shared" si="35"/>
        <v>2277.6999999999998</v>
      </c>
      <c r="EO7" s="12">
        <v>1207.6000000000001</v>
      </c>
      <c r="EP7" s="12">
        <f t="shared" si="36"/>
        <v>769.39999999999986</v>
      </c>
      <c r="EQ7" s="15">
        <f t="shared" si="37"/>
        <v>63.713150049685311</v>
      </c>
    </row>
    <row r="8" spans="1:147" x14ac:dyDescent="0.25">
      <c r="A8" s="12">
        <v>22</v>
      </c>
      <c r="B8" s="12">
        <v>1564.3</v>
      </c>
      <c r="E8" s="12">
        <v>22</v>
      </c>
      <c r="F8" s="12">
        <v>2830.4</v>
      </c>
      <c r="I8" s="12">
        <v>22</v>
      </c>
      <c r="J8" s="12">
        <v>2690.4</v>
      </c>
      <c r="K8" s="12">
        <f t="shared" si="0"/>
        <v>1266.1000000000001</v>
      </c>
      <c r="L8" s="12">
        <f t="shared" si="1"/>
        <v>1126.1000000000001</v>
      </c>
      <c r="M8" s="15">
        <f t="shared" si="2"/>
        <v>88.942421609667491</v>
      </c>
      <c r="O8" s="12">
        <v>22</v>
      </c>
      <c r="P8" s="12"/>
      <c r="Q8" s="12">
        <v>2675.5</v>
      </c>
      <c r="R8" s="12">
        <v>1266.1000000000001</v>
      </c>
      <c r="S8" s="12">
        <f t="shared" si="3"/>
        <v>1111.2</v>
      </c>
      <c r="T8" s="15">
        <f t="shared" si="4"/>
        <v>87.765579338124951</v>
      </c>
      <c r="V8" s="12">
        <v>22</v>
      </c>
      <c r="W8" s="12" t="s">
        <v>34</v>
      </c>
      <c r="X8" s="12"/>
      <c r="Y8" s="12">
        <v>1266.1000000000001</v>
      </c>
      <c r="Z8" s="12"/>
      <c r="AA8" s="15"/>
      <c r="AC8" s="12">
        <v>22</v>
      </c>
      <c r="AD8" s="12" t="s">
        <v>34</v>
      </c>
      <c r="AE8" s="12"/>
      <c r="AF8" s="12">
        <v>1266.1000000000001</v>
      </c>
      <c r="AG8" s="12"/>
      <c r="AH8" s="15"/>
      <c r="AJ8" s="12">
        <v>22</v>
      </c>
      <c r="AK8" s="12" t="s">
        <v>33</v>
      </c>
      <c r="AL8" s="12">
        <v>2629</v>
      </c>
      <c r="AM8" s="12">
        <v>1266.1000000000001</v>
      </c>
      <c r="AN8" s="12">
        <f t="shared" si="5"/>
        <v>1064.7</v>
      </c>
      <c r="AO8" s="15">
        <f t="shared" si="6"/>
        <v>84.092883658478783</v>
      </c>
      <c r="AQ8" s="12">
        <v>22</v>
      </c>
      <c r="AR8" s="12" t="s">
        <v>35</v>
      </c>
      <c r="AS8" s="12">
        <v>2483.4</v>
      </c>
      <c r="AT8" s="12">
        <v>1266.1000000000001</v>
      </c>
      <c r="AU8" s="12">
        <f t="shared" si="7"/>
        <v>919.10000000000014</v>
      </c>
      <c r="AV8" s="15">
        <f t="shared" si="8"/>
        <v>72.593002132532973</v>
      </c>
      <c r="AX8" s="12">
        <v>22</v>
      </c>
      <c r="AY8" s="12" t="s">
        <v>35</v>
      </c>
      <c r="AZ8" s="12">
        <v>2403.6999999999998</v>
      </c>
      <c r="BA8" s="12">
        <v>1266.1000000000001</v>
      </c>
      <c r="BB8" s="12">
        <f t="shared" si="9"/>
        <v>839.39999999999986</v>
      </c>
      <c r="BC8" s="15">
        <f t="shared" si="10"/>
        <v>66.298080720322233</v>
      </c>
      <c r="BE8" s="12">
        <v>22</v>
      </c>
      <c r="BF8" s="12" t="s">
        <v>35</v>
      </c>
      <c r="BG8" s="12">
        <v>2334.6</v>
      </c>
      <c r="BH8" s="12">
        <v>1266.1000000000001</v>
      </c>
      <c r="BI8" s="12">
        <f t="shared" si="11"/>
        <v>770.3</v>
      </c>
      <c r="BJ8" s="15">
        <f t="shared" si="12"/>
        <v>60.840375957665259</v>
      </c>
      <c r="BL8" s="12">
        <v>22</v>
      </c>
      <c r="BM8" s="12" t="s">
        <v>39</v>
      </c>
      <c r="BN8" s="12"/>
      <c r="BO8" s="12">
        <v>1266.1000000000001</v>
      </c>
      <c r="BP8" s="12">
        <f t="shared" si="13"/>
        <v>-22</v>
      </c>
      <c r="BQ8" s="15">
        <f t="shared" si="14"/>
        <v>-1.7376194613379667</v>
      </c>
      <c r="BS8" s="12">
        <v>22</v>
      </c>
      <c r="BT8" s="12" t="s">
        <v>39</v>
      </c>
      <c r="BU8" s="12">
        <v>2371.4</v>
      </c>
      <c r="BV8" s="12">
        <v>1266.1000000000001</v>
      </c>
      <c r="BW8" s="12">
        <f t="shared" si="15"/>
        <v>807.10000000000014</v>
      </c>
      <c r="BX8" s="15">
        <f t="shared" si="16"/>
        <v>63.746939420266969</v>
      </c>
      <c r="BZ8" s="12">
        <v>22</v>
      </c>
      <c r="CA8" s="12" t="s">
        <v>39</v>
      </c>
      <c r="CB8" s="12">
        <v>2356.6</v>
      </c>
      <c r="CC8" s="12">
        <v>1266.1000000000001</v>
      </c>
      <c r="CD8" s="12">
        <f t="shared" si="17"/>
        <v>792.3</v>
      </c>
      <c r="CE8" s="15">
        <f t="shared" si="18"/>
        <v>62.57799541900323</v>
      </c>
      <c r="CG8" s="12">
        <v>22</v>
      </c>
      <c r="CH8" s="12"/>
      <c r="CI8" s="12">
        <v>2329</v>
      </c>
      <c r="CJ8" s="12">
        <v>1266.1000000000001</v>
      </c>
      <c r="CK8" s="12">
        <f t="shared" si="19"/>
        <v>764.7</v>
      </c>
      <c r="CL8" s="15">
        <f t="shared" si="20"/>
        <v>60.398072822051965</v>
      </c>
      <c r="CN8" s="12">
        <v>22</v>
      </c>
      <c r="CO8" s="12" t="s">
        <v>51</v>
      </c>
      <c r="CP8" s="12">
        <v>2386.3000000000002</v>
      </c>
      <c r="CQ8" s="12">
        <v>1266.1000000000001</v>
      </c>
      <c r="CR8" s="12">
        <f t="shared" si="21"/>
        <v>822.00000000000023</v>
      </c>
      <c r="CS8" s="15">
        <f t="shared" si="22"/>
        <v>64.923781691809495</v>
      </c>
      <c r="CU8" s="12">
        <v>22</v>
      </c>
      <c r="CV8" s="12" t="s">
        <v>51</v>
      </c>
      <c r="CW8" s="12">
        <v>2303.4</v>
      </c>
      <c r="CX8" s="12">
        <v>1266.1000000000001</v>
      </c>
      <c r="CY8" s="12">
        <f t="shared" si="23"/>
        <v>739.10000000000014</v>
      </c>
      <c r="CZ8" s="15">
        <f t="shared" si="24"/>
        <v>58.376115630676885</v>
      </c>
      <c r="DB8" s="12">
        <v>22</v>
      </c>
      <c r="DC8" s="12" t="s">
        <v>51</v>
      </c>
      <c r="DD8" s="12">
        <v>2348.9</v>
      </c>
      <c r="DE8" s="12">
        <v>1266.1000000000001</v>
      </c>
      <c r="DF8" s="12">
        <f t="shared" si="25"/>
        <v>784.60000000000014</v>
      </c>
      <c r="DG8" s="15">
        <f t="shared" si="26"/>
        <v>61.96982860753495</v>
      </c>
      <c r="DI8" s="12">
        <v>22</v>
      </c>
      <c r="DJ8" s="12" t="s">
        <v>58</v>
      </c>
      <c r="DK8" s="12">
        <v>2260.1</v>
      </c>
      <c r="DL8" s="12">
        <v>1266.1000000000001</v>
      </c>
      <c r="DM8" s="12">
        <f t="shared" si="27"/>
        <v>695.8</v>
      </c>
      <c r="DN8" s="15">
        <f t="shared" si="28"/>
        <v>54.956164599952608</v>
      </c>
      <c r="DP8" s="12">
        <v>22</v>
      </c>
      <c r="DQ8" s="12" t="s">
        <v>58</v>
      </c>
      <c r="DR8" s="12">
        <v>2325.5</v>
      </c>
      <c r="DS8" s="12">
        <v>1266.1000000000001</v>
      </c>
      <c r="DT8" s="12">
        <f t="shared" si="29"/>
        <v>761.2</v>
      </c>
      <c r="DU8" s="15">
        <f t="shared" si="30"/>
        <v>60.121633362293657</v>
      </c>
      <c r="DW8" s="12">
        <v>22</v>
      </c>
      <c r="DX8" s="12" t="s">
        <v>58</v>
      </c>
      <c r="DY8" s="12">
        <v>2306.4</v>
      </c>
      <c r="DZ8" s="12">
        <v>1266.1000000000001</v>
      </c>
      <c r="EA8" s="12">
        <f t="shared" si="31"/>
        <v>742.10000000000014</v>
      </c>
      <c r="EB8" s="15">
        <f t="shared" si="32"/>
        <v>58.613063739041152</v>
      </c>
      <c r="ED8" s="12">
        <v>22</v>
      </c>
      <c r="EE8" s="12" t="s">
        <v>58</v>
      </c>
      <c r="EF8" s="12">
        <v>2342.6</v>
      </c>
      <c r="EG8" s="12">
        <v>1266.1000000000001</v>
      </c>
      <c r="EH8" s="12">
        <f t="shared" si="33"/>
        <v>778.3</v>
      </c>
      <c r="EI8" s="15">
        <f t="shared" si="34"/>
        <v>61.472237579969978</v>
      </c>
      <c r="EK8" s="12">
        <v>22</v>
      </c>
      <c r="EL8" s="12" t="s">
        <v>58</v>
      </c>
      <c r="EM8" s="12">
        <v>2385</v>
      </c>
      <c r="EN8" s="132">
        <f t="shared" si="35"/>
        <v>2384.6</v>
      </c>
      <c r="EO8" s="12">
        <v>1266.1000000000001</v>
      </c>
      <c r="EP8" s="12">
        <f t="shared" si="36"/>
        <v>820.3</v>
      </c>
      <c r="EQ8" s="15">
        <f t="shared" si="37"/>
        <v>64.789511097069735</v>
      </c>
    </row>
    <row r="9" spans="1:147" x14ac:dyDescent="0.25">
      <c r="A9" s="12">
        <v>23</v>
      </c>
      <c r="B9" s="12">
        <v>1694.5</v>
      </c>
      <c r="E9" s="12">
        <v>23</v>
      </c>
      <c r="F9" s="12">
        <v>3045.5</v>
      </c>
      <c r="I9" s="12">
        <v>23</v>
      </c>
      <c r="J9" s="12">
        <v>2897.9</v>
      </c>
      <c r="K9" s="12">
        <f t="shared" si="0"/>
        <v>1351</v>
      </c>
      <c r="L9" s="12">
        <f t="shared" si="1"/>
        <v>1203.4000000000001</v>
      </c>
      <c r="M9" s="15">
        <f t="shared" si="2"/>
        <v>89.07475943745375</v>
      </c>
      <c r="O9" s="12">
        <v>23</v>
      </c>
      <c r="P9" s="12"/>
      <c r="Q9" s="12">
        <v>2788.4</v>
      </c>
      <c r="R9" s="12">
        <v>1351</v>
      </c>
      <c r="S9" s="12">
        <f t="shared" si="3"/>
        <v>1093.9000000000001</v>
      </c>
      <c r="T9" s="15">
        <f t="shared" si="4"/>
        <v>80.969652109548491</v>
      </c>
      <c r="V9" s="12">
        <v>23</v>
      </c>
      <c r="W9" s="12" t="s">
        <v>32</v>
      </c>
      <c r="X9" s="12"/>
      <c r="Y9" s="12">
        <v>1351</v>
      </c>
      <c r="Z9" s="12"/>
      <c r="AA9" s="15"/>
      <c r="AC9" s="12">
        <v>23</v>
      </c>
      <c r="AD9" s="12" t="s">
        <v>32</v>
      </c>
      <c r="AE9" s="12"/>
      <c r="AF9" s="12">
        <v>1351</v>
      </c>
      <c r="AG9" s="12"/>
      <c r="AH9" s="15"/>
      <c r="AJ9" s="12">
        <v>23</v>
      </c>
      <c r="AK9" s="12" t="s">
        <v>32</v>
      </c>
      <c r="AL9" s="12">
        <v>2661.9</v>
      </c>
      <c r="AM9" s="12">
        <v>1351</v>
      </c>
      <c r="AN9" s="12">
        <f t="shared" si="5"/>
        <v>967.40000000000009</v>
      </c>
      <c r="AO9" s="15">
        <f t="shared" si="6"/>
        <v>71.606217616580309</v>
      </c>
      <c r="AQ9" s="12">
        <v>23</v>
      </c>
      <c r="AR9" s="12" t="s">
        <v>39</v>
      </c>
      <c r="AS9" s="12">
        <v>2444.4</v>
      </c>
      <c r="AT9" s="12">
        <v>1351</v>
      </c>
      <c r="AU9" s="12">
        <f t="shared" si="7"/>
        <v>749.90000000000009</v>
      </c>
      <c r="AV9" s="15">
        <f t="shared" si="8"/>
        <v>55.507031828275352</v>
      </c>
      <c r="AX9" s="12">
        <v>23</v>
      </c>
      <c r="AY9" s="12" t="s">
        <v>39</v>
      </c>
      <c r="AZ9" s="12">
        <v>2519.6</v>
      </c>
      <c r="BA9" s="12">
        <v>1351</v>
      </c>
      <c r="BB9" s="12">
        <f t="shared" si="9"/>
        <v>825.09999999999991</v>
      </c>
      <c r="BC9" s="15">
        <f t="shared" si="10"/>
        <v>61.073279052553652</v>
      </c>
      <c r="BE9" s="12">
        <v>23</v>
      </c>
      <c r="BF9" s="12" t="s">
        <v>39</v>
      </c>
      <c r="BG9" s="12">
        <v>2419.1999999999998</v>
      </c>
      <c r="BH9" s="12">
        <v>1351</v>
      </c>
      <c r="BI9" s="12">
        <f t="shared" si="11"/>
        <v>724.69999999999982</v>
      </c>
      <c r="BJ9" s="15">
        <f t="shared" si="12"/>
        <v>53.641746854182074</v>
      </c>
      <c r="BL9" s="12">
        <v>23</v>
      </c>
      <c r="BM9" s="12" t="s">
        <v>51</v>
      </c>
      <c r="BN9" s="12"/>
      <c r="BO9" s="12">
        <v>1351</v>
      </c>
      <c r="BP9" s="12">
        <f t="shared" si="13"/>
        <v>-23</v>
      </c>
      <c r="BQ9" s="15">
        <f t="shared" si="14"/>
        <v>-1.7024426350851223</v>
      </c>
      <c r="BS9" s="12">
        <v>23</v>
      </c>
      <c r="BT9" s="12" t="s">
        <v>51</v>
      </c>
      <c r="BU9" s="12">
        <v>2446.3000000000002</v>
      </c>
      <c r="BV9" s="12">
        <v>1351</v>
      </c>
      <c r="BW9" s="12">
        <f t="shared" si="15"/>
        <v>751.80000000000018</v>
      </c>
      <c r="BX9" s="15">
        <f t="shared" si="16"/>
        <v>55.647668393782403</v>
      </c>
      <c r="BZ9" s="12">
        <v>23</v>
      </c>
      <c r="CA9" s="12" t="s">
        <v>58</v>
      </c>
      <c r="CB9" s="12">
        <v>2474</v>
      </c>
      <c r="CC9" s="12">
        <v>1351</v>
      </c>
      <c r="CD9" s="12">
        <f t="shared" si="17"/>
        <v>779.5</v>
      </c>
      <c r="CE9" s="15">
        <f t="shared" si="18"/>
        <v>57.698001480384896</v>
      </c>
      <c r="CG9" s="12">
        <v>23</v>
      </c>
      <c r="CH9" s="12"/>
      <c r="CI9" s="12">
        <v>2423</v>
      </c>
      <c r="CJ9" s="12">
        <v>1351</v>
      </c>
      <c r="CK9" s="12">
        <f t="shared" si="19"/>
        <v>728.5</v>
      </c>
      <c r="CL9" s="15">
        <f t="shared" si="20"/>
        <v>53.923019985196149</v>
      </c>
      <c r="CN9" s="12">
        <v>23</v>
      </c>
      <c r="CO9" s="12" t="s">
        <v>58</v>
      </c>
      <c r="CP9" s="12">
        <v>2528.4</v>
      </c>
      <c r="CQ9" s="12">
        <v>1351</v>
      </c>
      <c r="CR9" s="12">
        <f t="shared" si="21"/>
        <v>833.90000000000009</v>
      </c>
      <c r="CS9" s="15">
        <f t="shared" si="22"/>
        <v>61.724648408586233</v>
      </c>
      <c r="CU9" s="12">
        <v>23</v>
      </c>
      <c r="CV9" s="12" t="s">
        <v>65</v>
      </c>
      <c r="CW9" s="12">
        <v>2404.3000000000002</v>
      </c>
      <c r="CX9" s="12">
        <v>1351</v>
      </c>
      <c r="CY9" s="12">
        <f t="shared" si="23"/>
        <v>709.80000000000018</v>
      </c>
      <c r="CZ9" s="15">
        <f t="shared" si="24"/>
        <v>52.538860103626959</v>
      </c>
      <c r="DB9" s="12">
        <v>23</v>
      </c>
      <c r="DC9" s="12" t="s">
        <v>65</v>
      </c>
      <c r="DD9" s="12">
        <v>2449.9</v>
      </c>
      <c r="DE9" s="12">
        <v>1351</v>
      </c>
      <c r="DF9" s="12">
        <f t="shared" si="25"/>
        <v>755.40000000000009</v>
      </c>
      <c r="DG9" s="15">
        <f t="shared" si="26"/>
        <v>55.914137675795715</v>
      </c>
      <c r="DI9" s="12">
        <v>23</v>
      </c>
      <c r="DJ9" s="12" t="s">
        <v>65</v>
      </c>
      <c r="DK9" s="12">
        <v>2354.1</v>
      </c>
      <c r="DL9" s="12">
        <v>1351</v>
      </c>
      <c r="DM9" s="12">
        <f t="shared" si="27"/>
        <v>659.59999999999991</v>
      </c>
      <c r="DN9" s="15">
        <f t="shared" si="28"/>
        <v>48.823094004441145</v>
      </c>
      <c r="DP9" s="12">
        <v>23</v>
      </c>
      <c r="DQ9" s="12" t="s">
        <v>70</v>
      </c>
      <c r="DR9" s="12">
        <v>2509.1999999999998</v>
      </c>
      <c r="DS9" s="12">
        <v>1351</v>
      </c>
      <c r="DT9" s="12">
        <f t="shared" si="29"/>
        <v>814.69999999999982</v>
      </c>
      <c r="DU9" s="15">
        <f t="shared" si="30"/>
        <v>60.30347890451516</v>
      </c>
      <c r="DW9" s="12">
        <v>23</v>
      </c>
      <c r="DX9" s="12" t="s">
        <v>70</v>
      </c>
      <c r="DY9" s="12">
        <v>2430.8000000000002</v>
      </c>
      <c r="DZ9" s="12">
        <v>1351</v>
      </c>
      <c r="EA9" s="12">
        <f t="shared" si="31"/>
        <v>736.30000000000018</v>
      </c>
      <c r="EB9" s="15">
        <f t="shared" si="32"/>
        <v>54.500370096225041</v>
      </c>
      <c r="ED9" s="12">
        <v>23</v>
      </c>
      <c r="EE9" s="12" t="s">
        <v>70</v>
      </c>
      <c r="EF9" s="12">
        <v>2486.4</v>
      </c>
      <c r="EG9" s="12">
        <v>1351</v>
      </c>
      <c r="EH9" s="12">
        <f t="shared" si="33"/>
        <v>791.90000000000009</v>
      </c>
      <c r="EI9" s="15">
        <f t="shared" si="34"/>
        <v>58.615840118430796</v>
      </c>
      <c r="EK9" s="12">
        <v>23</v>
      </c>
      <c r="EL9" s="12" t="s">
        <v>120</v>
      </c>
      <c r="EM9" s="12">
        <v>2540.6999999999998</v>
      </c>
      <c r="EN9" s="132">
        <f t="shared" si="35"/>
        <v>2540.2999999999997</v>
      </c>
      <c r="EO9" s="12">
        <v>1351</v>
      </c>
      <c r="EP9" s="12">
        <f t="shared" si="36"/>
        <v>845.79999999999973</v>
      </c>
      <c r="EQ9" s="15">
        <f t="shared" si="37"/>
        <v>62.60547742413025</v>
      </c>
    </row>
    <row r="10" spans="1:147" x14ac:dyDescent="0.25">
      <c r="A10" s="12">
        <v>24</v>
      </c>
      <c r="B10" s="12">
        <v>1623.4</v>
      </c>
      <c r="E10" s="12">
        <v>24</v>
      </c>
      <c r="F10" s="12">
        <v>2868.5</v>
      </c>
      <c r="I10" s="12">
        <v>24</v>
      </c>
      <c r="J10" s="12">
        <v>2728.7</v>
      </c>
      <c r="K10" s="12">
        <f t="shared" si="0"/>
        <v>1245.0999999999999</v>
      </c>
      <c r="L10" s="12">
        <f t="shared" si="1"/>
        <v>1105.2999999999997</v>
      </c>
      <c r="M10" s="15">
        <f t="shared" si="2"/>
        <v>88.771986185848505</v>
      </c>
      <c r="O10" s="12">
        <v>24</v>
      </c>
      <c r="P10" s="12"/>
      <c r="Q10" s="12">
        <v>2654.2</v>
      </c>
      <c r="R10" s="12">
        <v>1245.0999999999999</v>
      </c>
      <c r="S10" s="12">
        <f t="shared" si="3"/>
        <v>1030.7999999999997</v>
      </c>
      <c r="T10" s="15">
        <f t="shared" si="4"/>
        <v>82.78853104168337</v>
      </c>
      <c r="V10" s="12">
        <v>24</v>
      </c>
      <c r="W10" s="12" t="s">
        <v>33</v>
      </c>
      <c r="X10" s="12"/>
      <c r="Y10" s="12">
        <v>1245.0999999999999</v>
      </c>
      <c r="Z10" s="12"/>
      <c r="AA10" s="15"/>
      <c r="AC10" s="12">
        <v>24</v>
      </c>
      <c r="AD10" s="12" t="s">
        <v>33</v>
      </c>
      <c r="AE10" s="12"/>
      <c r="AF10" s="12">
        <v>1245.0999999999999</v>
      </c>
      <c r="AG10" s="12"/>
      <c r="AH10" s="15"/>
      <c r="AJ10" s="12">
        <v>24</v>
      </c>
      <c r="AK10" s="12" t="s">
        <v>32</v>
      </c>
      <c r="AL10" s="12">
        <v>2546.4</v>
      </c>
      <c r="AM10" s="12">
        <v>1245.0999999999999</v>
      </c>
      <c r="AN10" s="12">
        <f t="shared" si="5"/>
        <v>923</v>
      </c>
      <c r="AO10" s="15">
        <f t="shared" si="6"/>
        <v>74.130591920327689</v>
      </c>
      <c r="AQ10" s="12">
        <v>24</v>
      </c>
      <c r="AR10" s="12" t="s">
        <v>35</v>
      </c>
      <c r="AS10" s="12">
        <v>2340.8000000000002</v>
      </c>
      <c r="AT10" s="12">
        <v>1245.0999999999999</v>
      </c>
      <c r="AU10" s="12">
        <f t="shared" si="7"/>
        <v>717.40000000000009</v>
      </c>
      <c r="AV10" s="15">
        <f t="shared" si="8"/>
        <v>57.617862019114938</v>
      </c>
      <c r="AX10" s="12">
        <v>24</v>
      </c>
      <c r="AY10" s="12" t="s">
        <v>39</v>
      </c>
      <c r="AZ10" s="12">
        <v>2388</v>
      </c>
      <c r="BA10" s="12">
        <v>1245.0999999999999</v>
      </c>
      <c r="BB10" s="12">
        <f t="shared" si="9"/>
        <v>764.59999999999991</v>
      </c>
      <c r="BC10" s="15">
        <f t="shared" si="10"/>
        <v>61.408722190988676</v>
      </c>
      <c r="BE10" s="12">
        <v>24</v>
      </c>
      <c r="BF10" s="12" t="s">
        <v>39</v>
      </c>
      <c r="BG10" s="12">
        <v>2300.6999999999998</v>
      </c>
      <c r="BH10" s="12">
        <v>1245.0999999999999</v>
      </c>
      <c r="BI10" s="12">
        <f t="shared" si="11"/>
        <v>677.29999999999973</v>
      </c>
      <c r="BJ10" s="15">
        <f t="shared" si="12"/>
        <v>54.397237169705228</v>
      </c>
      <c r="BL10" s="12">
        <v>24</v>
      </c>
      <c r="BM10" s="12" t="s">
        <v>39</v>
      </c>
      <c r="BN10" s="12"/>
      <c r="BO10" s="12">
        <v>1245.0999999999999</v>
      </c>
      <c r="BP10" s="12">
        <f t="shared" si="13"/>
        <v>-24</v>
      </c>
      <c r="BQ10" s="15">
        <f t="shared" si="14"/>
        <v>-1.9275560195968198</v>
      </c>
      <c r="BS10" s="12">
        <v>24</v>
      </c>
      <c r="BT10" s="12" t="s">
        <v>39</v>
      </c>
      <c r="BU10" s="12">
        <v>2331.1999999999998</v>
      </c>
      <c r="BV10" s="12">
        <v>1245.0999999999999</v>
      </c>
      <c r="BW10" s="12">
        <f t="shared" si="15"/>
        <v>707.79999999999973</v>
      </c>
      <c r="BX10" s="15">
        <f t="shared" si="16"/>
        <v>56.846839611276188</v>
      </c>
      <c r="BZ10" s="12">
        <v>24</v>
      </c>
      <c r="CA10" s="12" t="s">
        <v>51</v>
      </c>
      <c r="CB10" s="12">
        <v>2354.1999999999998</v>
      </c>
      <c r="CC10" s="12">
        <v>1245.0999999999999</v>
      </c>
      <c r="CD10" s="12">
        <f t="shared" si="17"/>
        <v>730.79999999999973</v>
      </c>
      <c r="CE10" s="15">
        <f t="shared" si="18"/>
        <v>58.694080796723135</v>
      </c>
      <c r="CG10" s="12">
        <v>24</v>
      </c>
      <c r="CH10" s="12"/>
      <c r="CI10" s="12">
        <v>2311.5</v>
      </c>
      <c r="CJ10" s="12">
        <v>1245.0999999999999</v>
      </c>
      <c r="CK10" s="12">
        <f t="shared" si="19"/>
        <v>688.09999999999991</v>
      </c>
      <c r="CL10" s="15">
        <f t="shared" si="20"/>
        <v>55.264637378523808</v>
      </c>
      <c r="CN10" s="12">
        <v>24</v>
      </c>
      <c r="CO10" s="12" t="s">
        <v>51</v>
      </c>
      <c r="CP10" s="12">
        <v>2396.6</v>
      </c>
      <c r="CQ10" s="12">
        <v>1245.0999999999999</v>
      </c>
      <c r="CR10" s="12">
        <f t="shared" si="21"/>
        <v>773.19999999999982</v>
      </c>
      <c r="CS10" s="15">
        <f t="shared" si="22"/>
        <v>62.099429764677524</v>
      </c>
      <c r="CU10" s="12">
        <v>24</v>
      </c>
      <c r="CV10" s="12" t="s">
        <v>58</v>
      </c>
      <c r="CW10" s="12">
        <v>2275.6999999999998</v>
      </c>
      <c r="CX10" s="12">
        <v>1245.0999999999999</v>
      </c>
      <c r="CY10" s="12">
        <f t="shared" si="23"/>
        <v>652.29999999999973</v>
      </c>
      <c r="CZ10" s="15">
        <f t="shared" si="24"/>
        <v>52.38936631595854</v>
      </c>
      <c r="DB10" s="12">
        <v>24</v>
      </c>
      <c r="DC10" s="12" t="s">
        <v>63</v>
      </c>
      <c r="DD10" s="12">
        <v>2329</v>
      </c>
      <c r="DE10" s="12">
        <v>1245.0999999999999</v>
      </c>
      <c r="DF10" s="12">
        <f t="shared" si="25"/>
        <v>705.59999999999991</v>
      </c>
      <c r="DG10" s="15">
        <f t="shared" si="26"/>
        <v>56.670146976146498</v>
      </c>
      <c r="DI10" s="12">
        <v>24</v>
      </c>
      <c r="DJ10" s="12" t="s">
        <v>66</v>
      </c>
      <c r="DK10" s="12">
        <v>2227.4</v>
      </c>
      <c r="DL10" s="12">
        <v>1245.0999999999999</v>
      </c>
      <c r="DM10" s="12">
        <f t="shared" si="27"/>
        <v>604</v>
      </c>
      <c r="DN10" s="15">
        <f t="shared" si="28"/>
        <v>48.51015982651996</v>
      </c>
      <c r="DP10" s="12">
        <v>24</v>
      </c>
      <c r="DQ10" s="12" t="s">
        <v>66</v>
      </c>
      <c r="DR10" s="12">
        <v>2383.1999999999998</v>
      </c>
      <c r="DS10" s="12">
        <v>1245.0999999999999</v>
      </c>
      <c r="DT10" s="12">
        <f t="shared" si="29"/>
        <v>759.79999999999973</v>
      </c>
      <c r="DU10" s="15">
        <f t="shared" si="30"/>
        <v>61.023210987069298</v>
      </c>
      <c r="DW10" s="12">
        <v>24</v>
      </c>
      <c r="DX10" s="12" t="s">
        <v>66</v>
      </c>
      <c r="DY10" s="12">
        <v>2323.33</v>
      </c>
      <c r="DZ10" s="12">
        <v>1245.0999999999999</v>
      </c>
      <c r="EA10" s="12">
        <f t="shared" si="31"/>
        <v>699.92999999999984</v>
      </c>
      <c r="EB10" s="15">
        <f t="shared" si="32"/>
        <v>56.214761866516739</v>
      </c>
      <c r="ED10" s="12">
        <v>24</v>
      </c>
      <c r="EE10" s="12" t="s">
        <v>66</v>
      </c>
      <c r="EF10" s="12">
        <v>2363.5</v>
      </c>
      <c r="EG10" s="12">
        <v>1245.0999999999999</v>
      </c>
      <c r="EH10" s="12">
        <f t="shared" si="33"/>
        <v>740.09999999999991</v>
      </c>
      <c r="EI10" s="15">
        <f t="shared" si="34"/>
        <v>59.441008754316918</v>
      </c>
      <c r="EK10" s="12">
        <v>24</v>
      </c>
      <c r="EL10" s="12" t="s">
        <v>66</v>
      </c>
      <c r="EM10" s="12">
        <v>2425.5</v>
      </c>
      <c r="EN10" s="132">
        <f t="shared" si="35"/>
        <v>2425.1</v>
      </c>
      <c r="EO10" s="12">
        <v>1245.0999999999999</v>
      </c>
      <c r="EP10" s="12">
        <f t="shared" si="36"/>
        <v>801.69999999999982</v>
      </c>
      <c r="EQ10" s="15">
        <f t="shared" si="37"/>
        <v>64.38840253794875</v>
      </c>
    </row>
    <row r="11" spans="1:147" x14ac:dyDescent="0.25">
      <c r="A11" s="12">
        <v>25</v>
      </c>
      <c r="B11" s="12">
        <v>1579.9</v>
      </c>
      <c r="E11" s="12">
        <v>25</v>
      </c>
      <c r="F11" s="12">
        <v>2833.5</v>
      </c>
      <c r="I11" s="12">
        <v>25</v>
      </c>
      <c r="J11" s="12">
        <v>2693.3</v>
      </c>
      <c r="K11" s="12">
        <f t="shared" si="0"/>
        <v>1253.5999999999999</v>
      </c>
      <c r="L11" s="12">
        <f t="shared" si="1"/>
        <v>1113.4000000000001</v>
      </c>
      <c r="M11" s="15">
        <f t="shared" si="2"/>
        <v>88.816209317166567</v>
      </c>
      <c r="O11" s="12">
        <v>25</v>
      </c>
      <c r="P11" s="12"/>
      <c r="Q11" s="12">
        <v>2641.9</v>
      </c>
      <c r="R11" s="12">
        <v>1253.5999999999999</v>
      </c>
      <c r="S11" s="12">
        <f t="shared" si="3"/>
        <v>1062</v>
      </c>
      <c r="T11" s="15">
        <f t="shared" si="4"/>
        <v>84.716017868538614</v>
      </c>
      <c r="V11" s="12">
        <v>25</v>
      </c>
      <c r="W11" s="12" t="s">
        <v>33</v>
      </c>
      <c r="X11" s="12"/>
      <c r="Y11" s="12">
        <v>1253.5999999999999</v>
      </c>
      <c r="Z11" s="12"/>
      <c r="AA11" s="15"/>
      <c r="AC11" s="12">
        <v>25</v>
      </c>
      <c r="AD11" s="12" t="s">
        <v>33</v>
      </c>
      <c r="AE11" s="12"/>
      <c r="AF11" s="12">
        <v>1253.5999999999999</v>
      </c>
      <c r="AG11" s="12"/>
      <c r="AH11" s="15"/>
      <c r="AJ11" s="12">
        <v>25</v>
      </c>
      <c r="AK11" s="12" t="s">
        <v>32</v>
      </c>
      <c r="AL11" s="12">
        <v>2564.9</v>
      </c>
      <c r="AM11" s="12">
        <v>1253.5999999999999</v>
      </c>
      <c r="AN11" s="12">
        <f t="shared" si="5"/>
        <v>985</v>
      </c>
      <c r="AO11" s="15">
        <f t="shared" si="6"/>
        <v>78.573707721761338</v>
      </c>
      <c r="AQ11" s="12">
        <v>25</v>
      </c>
      <c r="AR11" s="12" t="s">
        <v>35</v>
      </c>
      <c r="AS11" s="12">
        <v>2378.8000000000002</v>
      </c>
      <c r="AT11" s="12">
        <v>1253.5999999999999</v>
      </c>
      <c r="AU11" s="12">
        <f t="shared" si="7"/>
        <v>798.90000000000009</v>
      </c>
      <c r="AV11" s="15">
        <f t="shared" si="8"/>
        <v>63.72846202935547</v>
      </c>
      <c r="AX11" s="12">
        <v>25</v>
      </c>
      <c r="AY11" s="12" t="s">
        <v>39</v>
      </c>
      <c r="AZ11" s="12">
        <v>2354.6</v>
      </c>
      <c r="BA11" s="12">
        <v>1253.5999999999999</v>
      </c>
      <c r="BB11" s="12">
        <f t="shared" si="9"/>
        <v>774.69999999999982</v>
      </c>
      <c r="BC11" s="15">
        <f t="shared" si="10"/>
        <v>61.79802169751116</v>
      </c>
      <c r="BE11" s="12">
        <v>25</v>
      </c>
      <c r="BF11" s="12" t="s">
        <v>39</v>
      </c>
      <c r="BG11" s="12">
        <v>2266.6</v>
      </c>
      <c r="BH11" s="12">
        <v>1253.5999999999999</v>
      </c>
      <c r="BI11" s="12">
        <f t="shared" si="11"/>
        <v>686.69999999999982</v>
      </c>
      <c r="BJ11" s="15">
        <f t="shared" si="12"/>
        <v>54.778238672622834</v>
      </c>
      <c r="BL11" s="12">
        <v>25</v>
      </c>
      <c r="BM11" s="12" t="s">
        <v>39</v>
      </c>
      <c r="BN11" s="12"/>
      <c r="BO11" s="12">
        <v>1253.5999999999999</v>
      </c>
      <c r="BP11" s="12">
        <f t="shared" si="13"/>
        <v>-25</v>
      </c>
      <c r="BQ11" s="15">
        <f t="shared" si="14"/>
        <v>-1.994256541161455</v>
      </c>
      <c r="BS11" s="12">
        <v>25</v>
      </c>
      <c r="BT11" s="12" t="s">
        <v>39</v>
      </c>
      <c r="BU11" s="12">
        <v>2289.9</v>
      </c>
      <c r="BV11" s="12">
        <v>1253.5999999999999</v>
      </c>
      <c r="BW11" s="12">
        <f t="shared" si="15"/>
        <v>710</v>
      </c>
      <c r="BX11" s="15">
        <f t="shared" si="16"/>
        <v>56.636885768985323</v>
      </c>
      <c r="BZ11" s="12">
        <v>25</v>
      </c>
      <c r="CA11" s="12" t="s">
        <v>51</v>
      </c>
      <c r="CB11" s="12">
        <v>2312.8000000000002</v>
      </c>
      <c r="CC11" s="12">
        <v>1253.5999999999999</v>
      </c>
      <c r="CD11" s="12">
        <f t="shared" si="17"/>
        <v>732.90000000000009</v>
      </c>
      <c r="CE11" s="15">
        <f t="shared" si="18"/>
        <v>58.463624760689228</v>
      </c>
      <c r="CG11" s="12">
        <v>25</v>
      </c>
      <c r="CH11" s="12"/>
      <c r="CI11" s="12">
        <v>2270.1</v>
      </c>
      <c r="CJ11" s="12">
        <v>1253.5999999999999</v>
      </c>
      <c r="CK11" s="12">
        <f t="shared" si="19"/>
        <v>690.19999999999982</v>
      </c>
      <c r="CL11" s="15">
        <f t="shared" si="20"/>
        <v>55.057434588385433</v>
      </c>
      <c r="CN11" s="12">
        <v>25</v>
      </c>
      <c r="CO11" s="12" t="s">
        <v>63</v>
      </c>
      <c r="CP11" s="12">
        <v>2355.1999999999998</v>
      </c>
      <c r="CQ11" s="12">
        <v>1253.5999999999999</v>
      </c>
      <c r="CR11" s="12">
        <f t="shared" si="21"/>
        <v>775.29999999999973</v>
      </c>
      <c r="CS11" s="15">
        <f t="shared" si="22"/>
        <v>61.845883854499029</v>
      </c>
      <c r="CU11" s="12">
        <v>25</v>
      </c>
      <c r="CV11" s="12" t="s">
        <v>66</v>
      </c>
      <c r="CW11" s="12">
        <v>2221.1</v>
      </c>
      <c r="CX11" s="12">
        <v>1253.5999999999999</v>
      </c>
      <c r="CY11" s="12">
        <f t="shared" si="23"/>
        <v>641.19999999999982</v>
      </c>
      <c r="CZ11" s="15">
        <f t="shared" si="24"/>
        <v>51.148691767708989</v>
      </c>
      <c r="DB11" s="12">
        <v>25</v>
      </c>
      <c r="DC11" s="12" t="s">
        <v>66</v>
      </c>
      <c r="DD11" s="12">
        <v>2274.1999999999998</v>
      </c>
      <c r="DE11" s="12">
        <v>1253.5999999999999</v>
      </c>
      <c r="DF11" s="12">
        <f t="shared" si="25"/>
        <v>694.29999999999973</v>
      </c>
      <c r="DG11" s="15">
        <f t="shared" si="26"/>
        <v>55.384492661135909</v>
      </c>
      <c r="DI11" s="12">
        <v>25</v>
      </c>
      <c r="DJ11" s="12" t="s">
        <v>66</v>
      </c>
      <c r="DK11" s="12">
        <v>2181.8000000000002</v>
      </c>
      <c r="DL11" s="12">
        <v>1253.5999999999999</v>
      </c>
      <c r="DM11" s="12">
        <f t="shared" si="27"/>
        <v>601.90000000000009</v>
      </c>
      <c r="DN11" s="15">
        <f t="shared" si="28"/>
        <v>48.013720485003205</v>
      </c>
      <c r="DP11" s="12">
        <v>25</v>
      </c>
      <c r="DQ11" s="12" t="s">
        <v>66</v>
      </c>
      <c r="DR11" s="12">
        <v>2337.9</v>
      </c>
      <c r="DS11" s="12">
        <v>1253.5999999999999</v>
      </c>
      <c r="DT11" s="12">
        <f t="shared" si="29"/>
        <v>758</v>
      </c>
      <c r="DU11" s="15">
        <f t="shared" si="30"/>
        <v>60.465858328015322</v>
      </c>
      <c r="DW11" s="12">
        <v>25</v>
      </c>
      <c r="DX11" s="12" t="s">
        <v>66</v>
      </c>
      <c r="DY11" s="12">
        <v>2294.6999999999998</v>
      </c>
      <c r="DZ11" s="12">
        <v>1253.5999999999999</v>
      </c>
      <c r="EA11" s="12">
        <f t="shared" si="31"/>
        <v>714.79999999999973</v>
      </c>
      <c r="EB11" s="15">
        <f t="shared" si="32"/>
        <v>57.019783024888305</v>
      </c>
      <c r="ED11" s="12">
        <v>25</v>
      </c>
      <c r="EE11" s="12" t="s">
        <v>66</v>
      </c>
      <c r="EF11" s="12">
        <v>2333.8000000000002</v>
      </c>
      <c r="EG11" s="12">
        <v>1253.5999999999999</v>
      </c>
      <c r="EH11" s="12">
        <f t="shared" si="33"/>
        <v>753.90000000000009</v>
      </c>
      <c r="EI11" s="15">
        <f t="shared" si="34"/>
        <v>60.138800255264847</v>
      </c>
      <c r="EK11" s="12">
        <v>25</v>
      </c>
      <c r="EL11" s="12" t="s">
        <v>119</v>
      </c>
      <c r="EM11" s="12">
        <v>2388.6</v>
      </c>
      <c r="EN11" s="132">
        <f t="shared" si="35"/>
        <v>2388.1999999999998</v>
      </c>
      <c r="EO11" s="12">
        <v>1253.5999999999999</v>
      </c>
      <c r="EP11" s="12">
        <f t="shared" si="36"/>
        <v>808.29999999999973</v>
      </c>
      <c r="EQ11" s="15">
        <f t="shared" si="37"/>
        <v>64.478302488832156</v>
      </c>
    </row>
    <row r="12" spans="1:147" x14ac:dyDescent="0.25">
      <c r="A12" s="12">
        <v>26</v>
      </c>
      <c r="B12" s="12">
        <v>1507</v>
      </c>
      <c r="E12" s="12">
        <v>26</v>
      </c>
      <c r="F12" s="12">
        <v>2723</v>
      </c>
      <c r="I12" s="12">
        <v>26</v>
      </c>
      <c r="J12" s="12">
        <v>2574.3000000000002</v>
      </c>
      <c r="K12" s="12">
        <f t="shared" si="0"/>
        <v>1216</v>
      </c>
      <c r="L12" s="12">
        <f t="shared" si="1"/>
        <v>1067.3000000000002</v>
      </c>
      <c r="M12" s="15">
        <f t="shared" si="2"/>
        <v>87.771381578947384</v>
      </c>
      <c r="O12" s="12">
        <v>26</v>
      </c>
      <c r="P12" s="12"/>
      <c r="Q12" s="12">
        <v>2506.8000000000002</v>
      </c>
      <c r="R12" s="12">
        <v>1216</v>
      </c>
      <c r="S12" s="12">
        <f t="shared" si="3"/>
        <v>999.80000000000018</v>
      </c>
      <c r="T12" s="15">
        <f t="shared" si="4"/>
        <v>82.220394736842124</v>
      </c>
      <c r="V12" s="12">
        <v>26</v>
      </c>
      <c r="W12" s="12" t="s">
        <v>33</v>
      </c>
      <c r="X12" s="12"/>
      <c r="Y12" s="12">
        <v>1216</v>
      </c>
      <c r="Z12" s="12"/>
      <c r="AA12" s="15"/>
      <c r="AC12" s="12">
        <v>26</v>
      </c>
      <c r="AD12" s="12" t="s">
        <v>32</v>
      </c>
      <c r="AE12" s="12"/>
      <c r="AF12" s="12">
        <v>1216</v>
      </c>
      <c r="AG12" s="12"/>
      <c r="AH12" s="15"/>
      <c r="AJ12" s="12">
        <v>26</v>
      </c>
      <c r="AK12" s="12" t="s">
        <v>32</v>
      </c>
      <c r="AL12" s="12">
        <v>2443.6</v>
      </c>
      <c r="AM12" s="12">
        <v>1216</v>
      </c>
      <c r="AN12" s="12">
        <f t="shared" si="5"/>
        <v>936.59999999999991</v>
      </c>
      <c r="AO12" s="15">
        <f t="shared" si="6"/>
        <v>77.023026315789465</v>
      </c>
      <c r="AQ12" s="12">
        <v>26</v>
      </c>
      <c r="AR12" s="12" t="s">
        <v>35</v>
      </c>
      <c r="AS12" s="12">
        <v>2314.1999999999998</v>
      </c>
      <c r="AT12" s="12">
        <v>1216</v>
      </c>
      <c r="AU12" s="12">
        <f t="shared" si="7"/>
        <v>807.19999999999982</v>
      </c>
      <c r="AV12" s="15">
        <f t="shared" si="8"/>
        <v>66.381578947368396</v>
      </c>
      <c r="AX12" s="12">
        <v>26</v>
      </c>
      <c r="AY12" s="12" t="s">
        <v>39</v>
      </c>
      <c r="AZ12" s="12">
        <v>2289.6</v>
      </c>
      <c r="BA12" s="12">
        <v>1216</v>
      </c>
      <c r="BB12" s="12">
        <f t="shared" si="9"/>
        <v>782.59999999999991</v>
      </c>
      <c r="BC12" s="15">
        <f t="shared" si="10"/>
        <v>64.358552631578931</v>
      </c>
      <c r="BE12" s="12">
        <v>26</v>
      </c>
      <c r="BF12" s="12" t="s">
        <v>39</v>
      </c>
      <c r="BG12" s="12">
        <v>2228.3000000000002</v>
      </c>
      <c r="BH12" s="12">
        <v>1216</v>
      </c>
      <c r="BI12" s="12">
        <f t="shared" si="11"/>
        <v>721.30000000000018</v>
      </c>
      <c r="BJ12" s="15">
        <f t="shared" si="12"/>
        <v>59.317434210526329</v>
      </c>
      <c r="BL12" s="12">
        <v>26</v>
      </c>
      <c r="BM12" s="12" t="s">
        <v>39</v>
      </c>
      <c r="BN12" s="12"/>
      <c r="BO12" s="12">
        <v>1216</v>
      </c>
      <c r="BP12" s="12">
        <f t="shared" si="13"/>
        <v>-26</v>
      </c>
      <c r="BQ12" s="15">
        <f t="shared" si="14"/>
        <v>-2.138157894736842</v>
      </c>
      <c r="BS12" s="12">
        <v>26</v>
      </c>
      <c r="BT12" s="12" t="s">
        <v>39</v>
      </c>
      <c r="BU12" s="12">
        <v>2279.4</v>
      </c>
      <c r="BV12" s="12">
        <v>1216</v>
      </c>
      <c r="BW12" s="12">
        <f t="shared" si="15"/>
        <v>772.40000000000009</v>
      </c>
      <c r="BX12" s="15">
        <f t="shared" si="16"/>
        <v>63.519736842105267</v>
      </c>
      <c r="BZ12" s="12">
        <v>26</v>
      </c>
      <c r="CA12" s="12" t="s">
        <v>51</v>
      </c>
      <c r="CB12" s="12">
        <v>2264.1999999999998</v>
      </c>
      <c r="CC12" s="12">
        <v>1216</v>
      </c>
      <c r="CD12" s="12">
        <f t="shared" si="17"/>
        <v>757.19999999999982</v>
      </c>
      <c r="CE12" s="15">
        <f t="shared" si="18"/>
        <v>62.269736842105253</v>
      </c>
      <c r="CG12" s="12">
        <v>26</v>
      </c>
      <c r="CH12" s="12"/>
      <c r="CI12" s="12">
        <v>2234.6999999999998</v>
      </c>
      <c r="CJ12" s="12">
        <v>1216</v>
      </c>
      <c r="CK12" s="12">
        <f t="shared" si="19"/>
        <v>727.69999999999982</v>
      </c>
      <c r="CL12" s="15">
        <f t="shared" si="20"/>
        <v>59.843749999999986</v>
      </c>
      <c r="CN12" s="12">
        <v>26</v>
      </c>
      <c r="CO12" s="12" t="s">
        <v>51</v>
      </c>
      <c r="CP12" s="12">
        <v>2176.3000000000002</v>
      </c>
      <c r="CQ12" s="12">
        <v>1216</v>
      </c>
      <c r="CR12" s="12">
        <f t="shared" si="21"/>
        <v>669.30000000000018</v>
      </c>
      <c r="CS12" s="15">
        <f t="shared" si="22"/>
        <v>55.041118421052651</v>
      </c>
      <c r="CU12" s="12">
        <v>26</v>
      </c>
      <c r="CV12" s="12" t="s">
        <v>58</v>
      </c>
      <c r="CW12" s="12">
        <v>2250.4</v>
      </c>
      <c r="CX12" s="12">
        <v>1216</v>
      </c>
      <c r="CY12" s="12">
        <f t="shared" si="23"/>
        <v>743.40000000000009</v>
      </c>
      <c r="CZ12" s="15">
        <f t="shared" si="24"/>
        <v>61.134868421052637</v>
      </c>
      <c r="DB12" s="12">
        <v>26</v>
      </c>
      <c r="DC12" s="12" t="s">
        <v>58</v>
      </c>
      <c r="DD12" s="12">
        <v>2242.1999999999998</v>
      </c>
      <c r="DE12" s="12">
        <v>1216</v>
      </c>
      <c r="DF12" s="12">
        <f t="shared" si="25"/>
        <v>735.19999999999982</v>
      </c>
      <c r="DG12" s="15">
        <f t="shared" si="26"/>
        <v>60.460526315789451</v>
      </c>
      <c r="DI12" s="12">
        <v>26</v>
      </c>
      <c r="DJ12" s="12" t="s">
        <v>65</v>
      </c>
      <c r="DK12" s="12">
        <v>2155.3000000000002</v>
      </c>
      <c r="DL12" s="12">
        <v>1216</v>
      </c>
      <c r="DM12" s="12">
        <f t="shared" si="27"/>
        <v>648.30000000000018</v>
      </c>
      <c r="DN12" s="15">
        <f t="shared" si="28"/>
        <v>53.314144736842117</v>
      </c>
      <c r="DP12" s="12">
        <v>26</v>
      </c>
      <c r="DQ12" s="12" t="s">
        <v>63</v>
      </c>
      <c r="DR12" s="12">
        <v>2234.3000000000002</v>
      </c>
      <c r="DS12" s="12">
        <v>1216</v>
      </c>
      <c r="DT12" s="12">
        <f t="shared" si="29"/>
        <v>727.30000000000018</v>
      </c>
      <c r="DU12" s="15">
        <f t="shared" si="30"/>
        <v>59.810855263157912</v>
      </c>
      <c r="DW12" s="12">
        <v>26</v>
      </c>
      <c r="DX12" s="12" t="s">
        <v>63</v>
      </c>
      <c r="DY12" s="12">
        <v>2213.6</v>
      </c>
      <c r="DZ12" s="12">
        <v>1216</v>
      </c>
      <c r="EA12" s="12">
        <f t="shared" si="31"/>
        <v>706.59999999999991</v>
      </c>
      <c r="EB12" s="15">
        <f t="shared" si="32"/>
        <v>58.108552631578938</v>
      </c>
      <c r="ED12" s="12">
        <v>26</v>
      </c>
      <c r="EE12" s="12" t="s">
        <v>63</v>
      </c>
      <c r="EF12" s="12">
        <v>2220.1</v>
      </c>
      <c r="EG12" s="12">
        <v>1216</v>
      </c>
      <c r="EH12" s="12">
        <f t="shared" si="33"/>
        <v>713.09999999999991</v>
      </c>
      <c r="EI12" s="15">
        <f t="shared" si="34"/>
        <v>58.64309210526315</v>
      </c>
      <c r="EK12" s="12">
        <v>26</v>
      </c>
      <c r="EL12" s="12" t="s">
        <v>63</v>
      </c>
      <c r="EM12" s="12">
        <v>2306.1999999999998</v>
      </c>
      <c r="EN12" s="132">
        <f t="shared" si="35"/>
        <v>2305.7999999999997</v>
      </c>
      <c r="EO12" s="12">
        <v>1216</v>
      </c>
      <c r="EP12" s="12">
        <f t="shared" si="36"/>
        <v>798.79999999999973</v>
      </c>
      <c r="EQ12" s="15">
        <f t="shared" si="37"/>
        <v>65.690789473684191</v>
      </c>
    </row>
    <row r="13" spans="1:147" x14ac:dyDescent="0.25">
      <c r="A13" s="12">
        <v>27</v>
      </c>
      <c r="B13" s="12">
        <v>1494.6</v>
      </c>
      <c r="E13" s="12">
        <v>27</v>
      </c>
      <c r="F13" s="12">
        <v>2735.4</v>
      </c>
      <c r="I13" s="12">
        <v>27</v>
      </c>
      <c r="J13" s="12">
        <v>2609.1999999999998</v>
      </c>
      <c r="K13" s="12">
        <f t="shared" si="0"/>
        <v>1240.8000000000002</v>
      </c>
      <c r="L13" s="12">
        <f t="shared" si="1"/>
        <v>1114.5999999999999</v>
      </c>
      <c r="M13" s="15">
        <f t="shared" si="2"/>
        <v>89.82914248871694</v>
      </c>
      <c r="O13" s="16">
        <v>27</v>
      </c>
      <c r="P13" s="16"/>
      <c r="Q13" s="16"/>
      <c r="R13" s="16">
        <v>1240.8000000000002</v>
      </c>
      <c r="S13" s="18">
        <f t="shared" si="3"/>
        <v>-1494.6</v>
      </c>
      <c r="T13" s="17">
        <f t="shared" si="4"/>
        <v>-120.45454545454544</v>
      </c>
      <c r="V13" s="16">
        <v>27</v>
      </c>
      <c r="W13" s="16"/>
      <c r="X13" s="16"/>
      <c r="Y13" s="16">
        <v>1240.8000000000002</v>
      </c>
      <c r="Z13" s="18"/>
      <c r="AA13" s="17"/>
      <c r="AC13" s="16">
        <v>27</v>
      </c>
      <c r="AD13" s="16"/>
      <c r="AE13" s="16"/>
      <c r="AF13" s="16">
        <v>1240.8000000000002</v>
      </c>
      <c r="AG13" s="18"/>
      <c r="AH13" s="17"/>
      <c r="AJ13" s="16">
        <v>27</v>
      </c>
      <c r="AK13" s="16"/>
      <c r="AL13" s="16"/>
      <c r="AM13" s="16">
        <v>1240.8000000000002</v>
      </c>
      <c r="AN13" s="18">
        <f t="shared" si="5"/>
        <v>-1494.6</v>
      </c>
      <c r="AO13" s="19">
        <f t="shared" si="6"/>
        <v>-120.45454545454544</v>
      </c>
      <c r="AQ13" s="16">
        <v>27</v>
      </c>
      <c r="AR13" s="16"/>
      <c r="AS13" s="16"/>
      <c r="AT13" s="16">
        <v>1240.8000000000002</v>
      </c>
      <c r="AU13" s="18">
        <f t="shared" si="7"/>
        <v>-1494.6</v>
      </c>
      <c r="AV13" s="19">
        <f t="shared" si="8"/>
        <v>-120.45454545454544</v>
      </c>
      <c r="AX13" s="16">
        <v>27</v>
      </c>
      <c r="AY13" s="16"/>
      <c r="AZ13" s="16"/>
      <c r="BA13" s="16">
        <v>1240.8000000000002</v>
      </c>
      <c r="BB13" s="18">
        <f t="shared" si="9"/>
        <v>-1494.6</v>
      </c>
      <c r="BC13" s="19">
        <f t="shared" si="10"/>
        <v>-120.45454545454544</v>
      </c>
      <c r="BE13" s="16">
        <v>27</v>
      </c>
      <c r="BF13" s="16"/>
      <c r="BG13" s="16"/>
      <c r="BH13" s="16">
        <v>1240.8000000000002</v>
      </c>
      <c r="BI13" s="18">
        <f t="shared" si="11"/>
        <v>-1494.6</v>
      </c>
      <c r="BJ13" s="19">
        <f t="shared" si="12"/>
        <v>-120.45454545454544</v>
      </c>
      <c r="BL13" s="16">
        <v>27</v>
      </c>
      <c r="BM13" s="16"/>
      <c r="BN13" s="16"/>
      <c r="BO13" s="16">
        <v>1240.8000000000002</v>
      </c>
      <c r="BP13" s="18">
        <f t="shared" si="13"/>
        <v>-27</v>
      </c>
      <c r="BQ13" s="19">
        <f t="shared" si="14"/>
        <v>-2.1760154738878139</v>
      </c>
      <c r="BS13" s="16">
        <v>27</v>
      </c>
      <c r="BT13" s="16"/>
      <c r="BU13" s="16"/>
      <c r="BV13" s="16">
        <v>1240.8000000000002</v>
      </c>
      <c r="BW13" s="18">
        <f t="shared" si="15"/>
        <v>-1494.6</v>
      </c>
      <c r="BX13" s="19">
        <f t="shared" si="16"/>
        <v>-120.45454545454544</v>
      </c>
      <c r="BZ13" s="16">
        <v>27</v>
      </c>
      <c r="CA13" s="16"/>
      <c r="CB13" s="16"/>
      <c r="CC13" s="16">
        <v>1240.8000000000002</v>
      </c>
      <c r="CD13" s="18">
        <f t="shared" si="17"/>
        <v>-1494.6</v>
      </c>
      <c r="CE13" s="19">
        <f t="shared" si="18"/>
        <v>-120.45454545454544</v>
      </c>
      <c r="CG13" s="16">
        <v>27</v>
      </c>
      <c r="CH13" s="16"/>
      <c r="CI13" s="16"/>
      <c r="CJ13" s="16">
        <v>1240.8000000000002</v>
      </c>
      <c r="CK13" s="18">
        <f t="shared" si="19"/>
        <v>-1494.6</v>
      </c>
      <c r="CL13" s="19">
        <f t="shared" si="20"/>
        <v>-120.45454545454544</v>
      </c>
      <c r="CN13" s="16">
        <v>27</v>
      </c>
      <c r="CO13" s="16"/>
      <c r="CP13" s="16"/>
      <c r="CQ13" s="16">
        <v>1240.8000000000002</v>
      </c>
      <c r="CR13" s="18">
        <f t="shared" si="21"/>
        <v>-1494.6</v>
      </c>
      <c r="CS13" s="19">
        <f t="shared" si="22"/>
        <v>-120.45454545454544</v>
      </c>
      <c r="CU13" s="16">
        <v>27</v>
      </c>
      <c r="CV13" s="16"/>
      <c r="CW13" s="16"/>
      <c r="CX13" s="16">
        <v>1240.8000000000002</v>
      </c>
      <c r="CY13" s="18">
        <f t="shared" si="23"/>
        <v>-1494.6</v>
      </c>
      <c r="CZ13" s="19">
        <f t="shared" si="24"/>
        <v>-120.45454545454544</v>
      </c>
      <c r="DB13" s="16">
        <v>27</v>
      </c>
      <c r="DC13" s="16"/>
      <c r="DD13" s="16"/>
      <c r="DE13" s="16">
        <v>1240.8000000000002</v>
      </c>
      <c r="DF13" s="18">
        <f t="shared" si="25"/>
        <v>-1494.6</v>
      </c>
      <c r="DG13" s="19">
        <f t="shared" si="26"/>
        <v>-120.45454545454544</v>
      </c>
      <c r="DI13" s="16">
        <v>27</v>
      </c>
      <c r="DJ13" s="16"/>
      <c r="DK13" s="16"/>
      <c r="DL13" s="16">
        <v>1240.8000000000002</v>
      </c>
      <c r="DM13" s="28">
        <f t="shared" si="27"/>
        <v>-1494.6</v>
      </c>
      <c r="DN13" s="19">
        <f t="shared" si="28"/>
        <v>-120.45454545454544</v>
      </c>
      <c r="DP13" s="16">
        <v>27</v>
      </c>
      <c r="DQ13" s="16"/>
      <c r="DR13" s="16"/>
      <c r="DS13" s="16">
        <v>1240.8000000000002</v>
      </c>
      <c r="DT13" s="29">
        <f t="shared" si="29"/>
        <v>-1494.6</v>
      </c>
      <c r="DU13" s="19">
        <f t="shared" si="30"/>
        <v>-120.45454545454544</v>
      </c>
      <c r="DW13" s="16">
        <v>27</v>
      </c>
      <c r="DX13" s="16"/>
      <c r="DY13" s="16"/>
      <c r="DZ13" s="16">
        <v>1240.8000000000002</v>
      </c>
      <c r="EA13" s="18">
        <f t="shared" si="31"/>
        <v>-1494.6</v>
      </c>
      <c r="EB13" s="19">
        <f t="shared" si="32"/>
        <v>-120.45454545454544</v>
      </c>
      <c r="ED13" s="16">
        <v>27</v>
      </c>
      <c r="EE13" s="16"/>
      <c r="EF13" s="16"/>
      <c r="EG13" s="16">
        <v>1240.8000000000002</v>
      </c>
      <c r="EH13" s="12">
        <f t="shared" si="33"/>
        <v>-1494.6</v>
      </c>
      <c r="EI13" s="19">
        <f t="shared" si="34"/>
        <v>-120.45454545454544</v>
      </c>
      <c r="EK13" s="16">
        <v>27</v>
      </c>
      <c r="EL13" s="16"/>
      <c r="EM13" s="16"/>
      <c r="EN13" s="132">
        <f t="shared" si="35"/>
        <v>-0.4</v>
      </c>
      <c r="EO13" s="16">
        <v>1240.8000000000002</v>
      </c>
      <c r="EP13" s="12">
        <f t="shared" si="36"/>
        <v>-1495</v>
      </c>
      <c r="EQ13" s="19">
        <f t="shared" si="37"/>
        <v>-120.48678272082525</v>
      </c>
    </row>
    <row r="14" spans="1:147" x14ac:dyDescent="0.25">
      <c r="A14" s="12">
        <v>28</v>
      </c>
      <c r="B14" s="12">
        <v>1433.8</v>
      </c>
      <c r="E14" s="12">
        <v>28</v>
      </c>
      <c r="F14" s="12">
        <v>2542.3000000000002</v>
      </c>
      <c r="I14" s="12">
        <v>28</v>
      </c>
      <c r="J14" s="12">
        <v>2410.6999999999998</v>
      </c>
      <c r="K14" s="12">
        <f t="shared" si="0"/>
        <v>1108.5000000000002</v>
      </c>
      <c r="L14" s="12">
        <f t="shared" si="1"/>
        <v>976.89999999999986</v>
      </c>
      <c r="M14" s="15">
        <f t="shared" si="2"/>
        <v>88.128101037437943</v>
      </c>
      <c r="O14" s="12">
        <v>28</v>
      </c>
      <c r="P14" s="12"/>
      <c r="Q14" s="12">
        <v>2346.6</v>
      </c>
      <c r="R14" s="12">
        <v>1108.5000000000002</v>
      </c>
      <c r="S14" s="12">
        <f t="shared" si="3"/>
        <v>912.8</v>
      </c>
      <c r="T14" s="15">
        <f t="shared" si="4"/>
        <v>82.345511953089741</v>
      </c>
      <c r="V14" s="12">
        <v>28</v>
      </c>
      <c r="W14" s="12" t="s">
        <v>33</v>
      </c>
      <c r="X14" s="12"/>
      <c r="Y14" s="12">
        <v>1108.5000000000002</v>
      </c>
      <c r="Z14" s="12"/>
      <c r="AA14" s="15"/>
      <c r="AC14" s="12">
        <v>28</v>
      </c>
      <c r="AD14" s="12" t="s">
        <v>32</v>
      </c>
      <c r="AE14" s="12"/>
      <c r="AF14" s="12">
        <v>1108.5000000000002</v>
      </c>
      <c r="AG14" s="12"/>
      <c r="AH14" s="15"/>
      <c r="AJ14" s="12">
        <v>28</v>
      </c>
      <c r="AK14" s="12" t="s">
        <v>32</v>
      </c>
      <c r="AL14" s="20">
        <v>2238.3000000000002</v>
      </c>
      <c r="AM14" s="12">
        <v>1108.5000000000002</v>
      </c>
      <c r="AN14" s="12">
        <f t="shared" si="5"/>
        <v>804.50000000000023</v>
      </c>
      <c r="AO14" s="15">
        <f t="shared" si="6"/>
        <v>72.575552548488957</v>
      </c>
      <c r="AQ14" s="12">
        <v>28</v>
      </c>
      <c r="AR14" s="12" t="s">
        <v>35</v>
      </c>
      <c r="AS14" s="20">
        <v>2015.2</v>
      </c>
      <c r="AT14" s="12">
        <v>1108.5000000000002</v>
      </c>
      <c r="AU14" s="12">
        <f t="shared" si="7"/>
        <v>581.40000000000009</v>
      </c>
      <c r="AV14" s="15">
        <f t="shared" si="8"/>
        <v>52.449255751014881</v>
      </c>
      <c r="AX14" s="12">
        <v>28</v>
      </c>
      <c r="AY14" s="12" t="s">
        <v>39</v>
      </c>
      <c r="AZ14" s="20">
        <v>2087.3000000000002</v>
      </c>
      <c r="BA14" s="12">
        <v>1108.5000000000002</v>
      </c>
      <c r="BB14" s="12">
        <f t="shared" si="9"/>
        <v>653.50000000000023</v>
      </c>
      <c r="BC14" s="15">
        <f t="shared" si="10"/>
        <v>58.953540820929199</v>
      </c>
      <c r="BE14" s="12">
        <v>28</v>
      </c>
      <c r="BF14" s="12" t="s">
        <v>39</v>
      </c>
      <c r="BG14" s="20">
        <v>1995.7</v>
      </c>
      <c r="BH14" s="12">
        <v>1108.5000000000002</v>
      </c>
      <c r="BI14" s="12">
        <f t="shared" si="11"/>
        <v>561.90000000000009</v>
      </c>
      <c r="BJ14" s="15">
        <f t="shared" si="12"/>
        <v>50.690121786197565</v>
      </c>
      <c r="BL14" s="12">
        <v>28</v>
      </c>
      <c r="BM14" s="12" t="s">
        <v>39</v>
      </c>
      <c r="BN14" s="20"/>
      <c r="BO14" s="12">
        <v>1108.5000000000002</v>
      </c>
      <c r="BP14" s="12">
        <f t="shared" si="13"/>
        <v>-28</v>
      </c>
      <c r="BQ14" s="15">
        <f t="shared" si="14"/>
        <v>-2.5259359494812803</v>
      </c>
      <c r="BS14" s="12">
        <v>28</v>
      </c>
      <c r="BT14" s="12" t="s">
        <v>39</v>
      </c>
      <c r="BU14" s="20">
        <v>2032.5</v>
      </c>
      <c r="BV14" s="12">
        <v>1108.5000000000002</v>
      </c>
      <c r="BW14" s="12">
        <f t="shared" si="15"/>
        <v>598.70000000000005</v>
      </c>
      <c r="BX14" s="15">
        <f t="shared" si="16"/>
        <v>54.009923319801523</v>
      </c>
      <c r="BZ14" s="12">
        <v>28</v>
      </c>
      <c r="CA14" s="12" t="s">
        <v>51</v>
      </c>
      <c r="CB14" s="20">
        <v>2063.3000000000002</v>
      </c>
      <c r="CC14" s="12">
        <v>1108.5000000000002</v>
      </c>
      <c r="CD14" s="12">
        <f t="shared" si="17"/>
        <v>629.50000000000023</v>
      </c>
      <c r="CE14" s="15">
        <f t="shared" si="18"/>
        <v>56.788452864230955</v>
      </c>
      <c r="CG14" s="12">
        <v>28</v>
      </c>
      <c r="CH14" s="12"/>
      <c r="CI14" s="20">
        <v>2018.2</v>
      </c>
      <c r="CJ14" s="12">
        <v>1108.5000000000002</v>
      </c>
      <c r="CK14" s="12">
        <f t="shared" si="19"/>
        <v>584.40000000000009</v>
      </c>
      <c r="CL14" s="15">
        <f t="shared" si="20"/>
        <v>52.719891745602169</v>
      </c>
      <c r="CN14" s="12">
        <v>28</v>
      </c>
      <c r="CO14" s="12" t="s">
        <v>51</v>
      </c>
      <c r="CP14" s="20">
        <v>2110.6</v>
      </c>
      <c r="CQ14" s="12">
        <v>1108.5000000000002</v>
      </c>
      <c r="CR14" s="12">
        <f t="shared" si="21"/>
        <v>676.8</v>
      </c>
      <c r="CS14" s="15">
        <f t="shared" si="22"/>
        <v>61.05548037889038</v>
      </c>
      <c r="CU14" s="12">
        <v>28</v>
      </c>
      <c r="CV14" s="12" t="s">
        <v>58</v>
      </c>
      <c r="CW14" s="20">
        <v>1979.6</v>
      </c>
      <c r="CX14" s="12">
        <v>1108.5000000000002</v>
      </c>
      <c r="CY14" s="12">
        <f t="shared" si="23"/>
        <v>545.79999999999995</v>
      </c>
      <c r="CZ14" s="15">
        <f t="shared" si="24"/>
        <v>49.237708615245815</v>
      </c>
      <c r="DB14" s="12">
        <v>28</v>
      </c>
      <c r="DC14" s="12" t="s">
        <v>58</v>
      </c>
      <c r="DD14" s="20">
        <v>2039.8</v>
      </c>
      <c r="DE14" s="12">
        <v>1108.5000000000002</v>
      </c>
      <c r="DF14" s="12">
        <f t="shared" si="25"/>
        <v>606</v>
      </c>
      <c r="DG14" s="15">
        <f t="shared" si="26"/>
        <v>54.668470906630574</v>
      </c>
      <c r="DI14" s="12">
        <v>28</v>
      </c>
      <c r="DJ14" s="12" t="s">
        <v>58</v>
      </c>
      <c r="DK14" s="20">
        <v>1949.3</v>
      </c>
      <c r="DL14" s="12">
        <v>1108.5000000000002</v>
      </c>
      <c r="DM14" s="12">
        <f t="shared" si="27"/>
        <v>515.5</v>
      </c>
      <c r="DN14" s="15">
        <f t="shared" si="28"/>
        <v>46.504285069914289</v>
      </c>
      <c r="DP14" s="12">
        <v>28</v>
      </c>
      <c r="DQ14" s="12" t="s">
        <v>65</v>
      </c>
      <c r="DR14" s="20">
        <v>2078.6</v>
      </c>
      <c r="DS14" s="12">
        <v>1108.5000000000002</v>
      </c>
      <c r="DT14" s="12">
        <f t="shared" si="29"/>
        <v>644.79999999999995</v>
      </c>
      <c r="DU14" s="15">
        <f t="shared" si="30"/>
        <v>58.168696436626057</v>
      </c>
      <c r="DW14" s="12">
        <v>28</v>
      </c>
      <c r="DX14" s="12" t="s">
        <v>65</v>
      </c>
      <c r="DY14" s="20">
        <v>2013.5</v>
      </c>
      <c r="DZ14" s="12">
        <v>1108.5000000000002</v>
      </c>
      <c r="EA14" s="12">
        <f t="shared" si="31"/>
        <v>579.70000000000005</v>
      </c>
      <c r="EB14" s="15">
        <f t="shared" si="32"/>
        <v>52.295895354082091</v>
      </c>
      <c r="ED14" s="12">
        <v>28</v>
      </c>
      <c r="EE14" s="12" t="s">
        <v>65</v>
      </c>
      <c r="EF14" s="20">
        <v>2052.1999999999998</v>
      </c>
      <c r="EG14" s="12">
        <v>1108.5000000000002</v>
      </c>
      <c r="EH14" s="12">
        <f t="shared" si="33"/>
        <v>618.39999999999986</v>
      </c>
      <c r="EI14" s="15">
        <f t="shared" si="34"/>
        <v>55.787099684257981</v>
      </c>
      <c r="EK14" s="12">
        <v>28</v>
      </c>
      <c r="EL14" s="12" t="s">
        <v>65</v>
      </c>
      <c r="EM14" s="20">
        <v>2111.5</v>
      </c>
      <c r="EN14" s="132">
        <f t="shared" si="35"/>
        <v>2111.1</v>
      </c>
      <c r="EO14" s="12">
        <v>1108.5000000000002</v>
      </c>
      <c r="EP14" s="12">
        <f t="shared" si="36"/>
        <v>677.3</v>
      </c>
      <c r="EQ14" s="15">
        <f t="shared" si="37"/>
        <v>61.10058637798825</v>
      </c>
    </row>
    <row r="15" spans="1:147" x14ac:dyDescent="0.25">
      <c r="A15" s="12">
        <v>29</v>
      </c>
      <c r="B15" s="12">
        <v>1523.3</v>
      </c>
      <c r="E15" s="12">
        <v>29</v>
      </c>
      <c r="F15" s="12">
        <v>2868.4</v>
      </c>
      <c r="I15" s="12">
        <v>29</v>
      </c>
      <c r="J15" s="12">
        <v>2726.9</v>
      </c>
      <c r="K15" s="12">
        <f t="shared" si="0"/>
        <v>1345.1000000000001</v>
      </c>
      <c r="L15" s="12">
        <f t="shared" si="1"/>
        <v>1203.6000000000001</v>
      </c>
      <c r="M15" s="15">
        <f t="shared" si="2"/>
        <v>89.480336034495579</v>
      </c>
      <c r="O15" s="18">
        <v>29</v>
      </c>
      <c r="P15" s="18"/>
      <c r="Q15" s="18"/>
      <c r="R15" s="18">
        <v>1345.1000000000001</v>
      </c>
      <c r="S15" s="18">
        <f t="shared" si="3"/>
        <v>-1523.3</v>
      </c>
      <c r="T15" s="19">
        <f t="shared" si="4"/>
        <v>-113.24808564419</v>
      </c>
      <c r="V15" s="18">
        <v>29</v>
      </c>
      <c r="W15" s="18"/>
      <c r="X15" s="18"/>
      <c r="Y15" s="18">
        <v>1345.1000000000001</v>
      </c>
      <c r="Z15" s="18"/>
      <c r="AA15" s="19"/>
      <c r="AC15" s="18">
        <v>29</v>
      </c>
      <c r="AD15" s="18"/>
      <c r="AE15" s="18"/>
      <c r="AF15" s="18">
        <v>1345.1000000000001</v>
      </c>
      <c r="AG15" s="18"/>
      <c r="AH15" s="19"/>
      <c r="AJ15" s="18">
        <v>29</v>
      </c>
      <c r="AK15" s="18"/>
      <c r="AL15" s="18"/>
      <c r="AM15" s="18">
        <v>1345.1000000000001</v>
      </c>
      <c r="AN15" s="18">
        <f t="shared" si="5"/>
        <v>-1523.3</v>
      </c>
      <c r="AO15" s="19">
        <f t="shared" si="6"/>
        <v>-113.24808564419</v>
      </c>
      <c r="AQ15" s="18">
        <v>29</v>
      </c>
      <c r="AR15" s="18"/>
      <c r="AS15" s="18"/>
      <c r="AT15" s="18">
        <v>1345.1000000000001</v>
      </c>
      <c r="AU15" s="18">
        <f t="shared" si="7"/>
        <v>-1523.3</v>
      </c>
      <c r="AV15" s="19">
        <f t="shared" si="8"/>
        <v>-113.24808564419</v>
      </c>
      <c r="AX15" s="18">
        <v>29</v>
      </c>
      <c r="AY15" s="18"/>
      <c r="AZ15" s="18"/>
      <c r="BA15" s="18">
        <v>1345.1000000000001</v>
      </c>
      <c r="BB15" s="18">
        <f t="shared" si="9"/>
        <v>-1523.3</v>
      </c>
      <c r="BC15" s="19">
        <f t="shared" si="10"/>
        <v>-113.24808564419</v>
      </c>
      <c r="BE15" s="18">
        <v>29</v>
      </c>
      <c r="BF15" s="18"/>
      <c r="BG15" s="18"/>
      <c r="BH15" s="18">
        <v>1345.1000000000001</v>
      </c>
      <c r="BI15" s="18">
        <f t="shared" si="11"/>
        <v>-1523.3</v>
      </c>
      <c r="BJ15" s="19">
        <f t="shared" si="12"/>
        <v>-113.24808564419</v>
      </c>
      <c r="BL15" s="18">
        <v>29</v>
      </c>
      <c r="BM15" s="18"/>
      <c r="BN15" s="18"/>
      <c r="BO15" s="18">
        <v>1345.1000000000001</v>
      </c>
      <c r="BP15" s="18">
        <f t="shared" si="13"/>
        <v>-29</v>
      </c>
      <c r="BQ15" s="19">
        <f t="shared" si="14"/>
        <v>-2.1559735335662777</v>
      </c>
      <c r="BS15" s="18">
        <v>29</v>
      </c>
      <c r="BT15" s="18"/>
      <c r="BU15" s="18"/>
      <c r="BV15" s="18">
        <v>1345.1000000000001</v>
      </c>
      <c r="BW15" s="18">
        <f t="shared" si="15"/>
        <v>-1523.3</v>
      </c>
      <c r="BX15" s="19">
        <f t="shared" si="16"/>
        <v>-113.24808564419</v>
      </c>
      <c r="BZ15" s="18">
        <v>29</v>
      </c>
      <c r="CA15" s="18"/>
      <c r="CB15" s="18"/>
      <c r="CC15" s="18">
        <v>1345.1000000000001</v>
      </c>
      <c r="CD15" s="18">
        <f t="shared" si="17"/>
        <v>-1523.3</v>
      </c>
      <c r="CE15" s="19">
        <f t="shared" si="18"/>
        <v>-113.24808564419</v>
      </c>
      <c r="CG15" s="18">
        <v>29</v>
      </c>
      <c r="CH15" s="18"/>
      <c r="CI15" s="18"/>
      <c r="CJ15" s="18">
        <v>1345.1000000000001</v>
      </c>
      <c r="CK15" s="18">
        <f t="shared" si="19"/>
        <v>-1523.3</v>
      </c>
      <c r="CL15" s="19">
        <f t="shared" si="20"/>
        <v>-113.24808564419</v>
      </c>
      <c r="CN15" s="18">
        <v>29</v>
      </c>
      <c r="CO15" s="18"/>
      <c r="CP15" s="18"/>
      <c r="CQ15" s="18">
        <v>1345.1000000000001</v>
      </c>
      <c r="CR15" s="18">
        <f t="shared" si="21"/>
        <v>-1523.3</v>
      </c>
      <c r="CS15" s="19">
        <f t="shared" si="22"/>
        <v>-113.24808564419</v>
      </c>
      <c r="CU15" s="18">
        <v>29</v>
      </c>
      <c r="CV15" s="18"/>
      <c r="CW15" s="18"/>
      <c r="CX15" s="18">
        <v>1345.1000000000001</v>
      </c>
      <c r="CY15" s="18">
        <f t="shared" si="23"/>
        <v>-1523.3</v>
      </c>
      <c r="CZ15" s="19">
        <f t="shared" si="24"/>
        <v>-113.24808564419</v>
      </c>
      <c r="DB15" s="18">
        <v>29</v>
      </c>
      <c r="DC15" s="18"/>
      <c r="DD15" s="18"/>
      <c r="DE15" s="18">
        <v>1345.1000000000001</v>
      </c>
      <c r="DF15" s="18">
        <f t="shared" si="25"/>
        <v>-1523.3</v>
      </c>
      <c r="DG15" s="19">
        <f t="shared" si="26"/>
        <v>-113.24808564419</v>
      </c>
      <c r="DI15" s="18">
        <v>29</v>
      </c>
      <c r="DJ15" s="18"/>
      <c r="DK15" s="18"/>
      <c r="DL15" s="18">
        <v>1345.1000000000001</v>
      </c>
      <c r="DM15" s="28">
        <f t="shared" si="27"/>
        <v>-1523.3</v>
      </c>
      <c r="DN15" s="19">
        <f t="shared" si="28"/>
        <v>-113.24808564419</v>
      </c>
      <c r="DP15" s="18">
        <v>29</v>
      </c>
      <c r="DQ15" s="18"/>
      <c r="DR15" s="18"/>
      <c r="DS15" s="18">
        <v>1345.1000000000001</v>
      </c>
      <c r="DT15" s="29">
        <f t="shared" si="29"/>
        <v>-1523.3</v>
      </c>
      <c r="DU15" s="19">
        <f t="shared" si="30"/>
        <v>-113.24808564419</v>
      </c>
      <c r="DW15" s="18">
        <v>29</v>
      </c>
      <c r="DX15" s="18"/>
      <c r="DY15" s="18"/>
      <c r="DZ15" s="18">
        <v>1345.1000000000001</v>
      </c>
      <c r="EA15" s="18">
        <f t="shared" si="31"/>
        <v>-1523.3</v>
      </c>
      <c r="EB15" s="19">
        <f t="shared" si="32"/>
        <v>-113.24808564419</v>
      </c>
      <c r="ED15" s="18">
        <v>29</v>
      </c>
      <c r="EE15" s="18"/>
      <c r="EF15" s="18"/>
      <c r="EG15" s="18">
        <v>1345.1000000000001</v>
      </c>
      <c r="EH15" s="12">
        <f t="shared" si="33"/>
        <v>-1523.3</v>
      </c>
      <c r="EI15" s="19">
        <f t="shared" si="34"/>
        <v>-113.24808564419</v>
      </c>
      <c r="EK15" s="18">
        <v>29</v>
      </c>
      <c r="EL15" s="18"/>
      <c r="EM15" s="18"/>
      <c r="EN15" s="132">
        <f t="shared" si="35"/>
        <v>-0.4</v>
      </c>
      <c r="EO15" s="18">
        <v>1345.1000000000001</v>
      </c>
      <c r="EP15" s="12">
        <f t="shared" si="36"/>
        <v>-1523.7</v>
      </c>
      <c r="EQ15" s="19">
        <f t="shared" si="37"/>
        <v>-113.27782321017024</v>
      </c>
    </row>
    <row r="16" spans="1:147" x14ac:dyDescent="0.25">
      <c r="A16" s="12">
        <v>30</v>
      </c>
      <c r="B16" s="12">
        <v>1480.6</v>
      </c>
      <c r="E16" s="12">
        <v>30</v>
      </c>
      <c r="F16" s="12">
        <v>2693.2</v>
      </c>
      <c r="I16" s="12">
        <v>30</v>
      </c>
      <c r="J16" s="12">
        <v>2534.6</v>
      </c>
      <c r="K16" s="12">
        <f t="shared" si="0"/>
        <v>1212.5999999999999</v>
      </c>
      <c r="L16" s="12">
        <f t="shared" si="1"/>
        <v>1054</v>
      </c>
      <c r="M16" s="15">
        <f t="shared" si="2"/>
        <v>86.92066633679697</v>
      </c>
      <c r="O16" s="12">
        <v>30</v>
      </c>
      <c r="P16" s="12"/>
      <c r="Q16" s="12">
        <v>2463.8000000000002</v>
      </c>
      <c r="R16" s="12">
        <v>1212.5999999999999</v>
      </c>
      <c r="S16" s="12">
        <f t="shared" si="3"/>
        <v>983.20000000000027</v>
      </c>
      <c r="T16" s="15">
        <f t="shared" si="4"/>
        <v>81.081972620814796</v>
      </c>
      <c r="V16" s="12">
        <v>30</v>
      </c>
      <c r="W16" s="12" t="s">
        <v>33</v>
      </c>
      <c r="X16" s="12"/>
      <c r="Y16" s="12">
        <v>1212.5999999999999</v>
      </c>
      <c r="Z16" s="12"/>
      <c r="AA16" s="15"/>
      <c r="AC16" s="12">
        <v>30</v>
      </c>
      <c r="AD16" s="12" t="s">
        <v>32</v>
      </c>
      <c r="AE16" s="12"/>
      <c r="AF16" s="12">
        <v>1212.5999999999999</v>
      </c>
      <c r="AG16" s="12"/>
      <c r="AH16" s="15"/>
      <c r="AJ16" s="12">
        <v>30</v>
      </c>
      <c r="AK16" s="12" t="s">
        <v>32</v>
      </c>
      <c r="AL16" s="12">
        <v>2385.9</v>
      </c>
      <c r="AM16" s="12">
        <v>1212.5999999999999</v>
      </c>
      <c r="AN16" s="12">
        <f t="shared" si="5"/>
        <v>905.30000000000018</v>
      </c>
      <c r="AO16" s="15">
        <f t="shared" si="6"/>
        <v>74.657760184727053</v>
      </c>
      <c r="AQ16" s="12">
        <v>30</v>
      </c>
      <c r="AR16" s="12" t="s">
        <v>35</v>
      </c>
      <c r="AS16" s="12">
        <v>2233.8000000000002</v>
      </c>
      <c r="AT16" s="12">
        <v>1212.5999999999999</v>
      </c>
      <c r="AU16" s="12">
        <f t="shared" si="7"/>
        <v>753.20000000000027</v>
      </c>
      <c r="AV16" s="15">
        <f t="shared" si="8"/>
        <v>62.114464786409393</v>
      </c>
      <c r="AX16" s="12">
        <v>30</v>
      </c>
      <c r="AY16" s="12" t="s">
        <v>39</v>
      </c>
      <c r="AZ16" s="12">
        <v>2242.1999999999998</v>
      </c>
      <c r="BA16" s="12">
        <v>1212.5999999999999</v>
      </c>
      <c r="BB16" s="12">
        <f t="shared" si="9"/>
        <v>761.59999999999991</v>
      </c>
      <c r="BC16" s="15">
        <f t="shared" si="10"/>
        <v>62.807191159491992</v>
      </c>
      <c r="BE16" s="12">
        <v>30</v>
      </c>
      <c r="BF16" s="12" t="s">
        <v>39</v>
      </c>
      <c r="BG16" s="12">
        <v>2165.8000000000002</v>
      </c>
      <c r="BH16" s="12">
        <v>1212.5999999999999</v>
      </c>
      <c r="BI16" s="12">
        <f t="shared" si="11"/>
        <v>685.20000000000027</v>
      </c>
      <c r="BJ16" s="15">
        <f t="shared" si="12"/>
        <v>56.506679861454757</v>
      </c>
      <c r="BL16" s="12">
        <v>30</v>
      </c>
      <c r="BM16" s="12" t="s">
        <v>39</v>
      </c>
      <c r="BN16" s="12"/>
      <c r="BO16" s="12">
        <v>1212.5999999999999</v>
      </c>
      <c r="BP16" s="12">
        <f t="shared" si="13"/>
        <v>-30</v>
      </c>
      <c r="BQ16" s="15">
        <f t="shared" si="14"/>
        <v>-2.4740227610094014</v>
      </c>
      <c r="BS16" s="12">
        <v>30</v>
      </c>
      <c r="BT16" s="12" t="s">
        <v>39</v>
      </c>
      <c r="BU16" s="12">
        <v>2196.4</v>
      </c>
      <c r="BV16" s="12">
        <v>1212.5999999999999</v>
      </c>
      <c r="BW16" s="12">
        <f t="shared" si="15"/>
        <v>715.80000000000018</v>
      </c>
      <c r="BX16" s="15">
        <f t="shared" si="16"/>
        <v>59.030183077684342</v>
      </c>
      <c r="BZ16" s="12">
        <v>30</v>
      </c>
      <c r="CA16" s="12" t="s">
        <v>51</v>
      </c>
      <c r="CB16" s="12">
        <v>2213.8000000000002</v>
      </c>
      <c r="CC16" s="12">
        <v>1212.5999999999999</v>
      </c>
      <c r="CD16" s="12">
        <f t="shared" si="17"/>
        <v>733.20000000000027</v>
      </c>
      <c r="CE16" s="15">
        <f t="shared" si="18"/>
        <v>60.465116279069797</v>
      </c>
      <c r="CG16" s="12">
        <v>30</v>
      </c>
      <c r="CH16" s="12"/>
      <c r="CI16" s="12">
        <v>2177.6999999999998</v>
      </c>
      <c r="CJ16" s="12">
        <v>1212.5999999999999</v>
      </c>
      <c r="CK16" s="12">
        <f t="shared" si="19"/>
        <v>697.09999999999991</v>
      </c>
      <c r="CL16" s="15">
        <f t="shared" si="20"/>
        <v>57.488042223321791</v>
      </c>
      <c r="CN16" s="12">
        <v>30</v>
      </c>
      <c r="CO16" s="12" t="s">
        <v>51</v>
      </c>
      <c r="CP16" s="12">
        <v>2238.9</v>
      </c>
      <c r="CQ16" s="12">
        <v>1212.5999999999999</v>
      </c>
      <c r="CR16" s="12">
        <f t="shared" si="21"/>
        <v>758.30000000000018</v>
      </c>
      <c r="CS16" s="15">
        <f t="shared" si="22"/>
        <v>62.53504865578099</v>
      </c>
      <c r="CU16" s="12">
        <v>30</v>
      </c>
      <c r="CV16" s="12" t="s">
        <v>58</v>
      </c>
      <c r="CW16" s="12">
        <v>2136.4</v>
      </c>
      <c r="CX16" s="12">
        <v>1212.5999999999999</v>
      </c>
      <c r="CY16" s="12">
        <f t="shared" si="23"/>
        <v>655.80000000000018</v>
      </c>
      <c r="CZ16" s="15">
        <f t="shared" si="24"/>
        <v>54.082137555665533</v>
      </c>
      <c r="DB16" s="12">
        <v>30</v>
      </c>
      <c r="DC16" s="12" t="s">
        <v>58</v>
      </c>
      <c r="DD16" s="12">
        <v>2214.5</v>
      </c>
      <c r="DE16" s="12">
        <v>1212.5999999999999</v>
      </c>
      <c r="DF16" s="12">
        <f t="shared" si="25"/>
        <v>733.90000000000009</v>
      </c>
      <c r="DG16" s="15">
        <f t="shared" si="26"/>
        <v>60.522843476826672</v>
      </c>
      <c r="DI16" s="12">
        <v>30</v>
      </c>
      <c r="DJ16" s="12" t="s">
        <v>58</v>
      </c>
      <c r="DK16" s="12">
        <v>2118.1999999999998</v>
      </c>
      <c r="DL16" s="12">
        <v>1212.5999999999999</v>
      </c>
      <c r="DM16" s="12">
        <f t="shared" si="27"/>
        <v>637.59999999999991</v>
      </c>
      <c r="DN16" s="15">
        <f t="shared" si="28"/>
        <v>52.581230413986468</v>
      </c>
      <c r="DP16" s="12">
        <v>30</v>
      </c>
      <c r="DQ16" s="12" t="s">
        <v>65</v>
      </c>
      <c r="DR16" s="12">
        <v>2205.3000000000002</v>
      </c>
      <c r="DS16" s="12">
        <v>1212.5999999999999</v>
      </c>
      <c r="DT16" s="12">
        <f t="shared" si="29"/>
        <v>724.70000000000027</v>
      </c>
      <c r="DU16" s="15">
        <f t="shared" si="30"/>
        <v>59.76414316345047</v>
      </c>
      <c r="DW16" s="12">
        <v>30</v>
      </c>
      <c r="DX16" s="12" t="s">
        <v>65</v>
      </c>
      <c r="DY16" s="12">
        <v>2192.9</v>
      </c>
      <c r="DZ16" s="12">
        <v>1212.5999999999999</v>
      </c>
      <c r="EA16" s="12">
        <f t="shared" si="31"/>
        <v>712.30000000000018</v>
      </c>
      <c r="EB16" s="15">
        <f t="shared" si="32"/>
        <v>58.741547088899907</v>
      </c>
      <c r="ED16" s="12">
        <v>30</v>
      </c>
      <c r="EE16" s="12" t="s">
        <v>65</v>
      </c>
      <c r="EF16" s="12">
        <v>2223.6</v>
      </c>
      <c r="EG16" s="12">
        <v>1212.5999999999999</v>
      </c>
      <c r="EH16" s="12">
        <f t="shared" si="33"/>
        <v>743</v>
      </c>
      <c r="EI16" s="15">
        <f t="shared" si="34"/>
        <v>61.273297047666176</v>
      </c>
      <c r="EK16" s="12">
        <v>30</v>
      </c>
      <c r="EL16" s="12" t="s">
        <v>65</v>
      </c>
      <c r="EM16" s="12">
        <v>2252.1999999999998</v>
      </c>
      <c r="EN16" s="132">
        <f t="shared" si="35"/>
        <v>2251.7999999999997</v>
      </c>
      <c r="EO16" s="12">
        <v>1212.5999999999999</v>
      </c>
      <c r="EP16" s="12">
        <f t="shared" si="36"/>
        <v>771.19999999999982</v>
      </c>
      <c r="EQ16" s="15">
        <f t="shared" si="37"/>
        <v>63.598878443014996</v>
      </c>
    </row>
    <row r="17" spans="1:147" x14ac:dyDescent="0.25">
      <c r="A17" s="12">
        <v>31</v>
      </c>
      <c r="B17" s="12">
        <v>1526.6</v>
      </c>
      <c r="E17" s="12">
        <v>31</v>
      </c>
      <c r="F17" s="12">
        <v>2778.7</v>
      </c>
      <c r="I17" s="12">
        <v>31</v>
      </c>
      <c r="J17" s="12">
        <v>2641.2</v>
      </c>
      <c r="K17" s="12">
        <f t="shared" si="0"/>
        <v>1252.0999999999999</v>
      </c>
      <c r="L17" s="12">
        <f t="shared" si="1"/>
        <v>1114.5999999999999</v>
      </c>
      <c r="M17" s="15">
        <f t="shared" si="2"/>
        <v>89.018449005670476</v>
      </c>
      <c r="O17" s="12">
        <v>31</v>
      </c>
      <c r="P17" s="12"/>
      <c r="Q17" s="12">
        <v>2616</v>
      </c>
      <c r="R17" s="12">
        <v>1252.0999999999999</v>
      </c>
      <c r="S17" s="12">
        <f t="shared" si="3"/>
        <v>1089.4000000000001</v>
      </c>
      <c r="T17" s="15">
        <f t="shared" si="4"/>
        <v>87.00583020525518</v>
      </c>
      <c r="V17" s="12">
        <v>31</v>
      </c>
      <c r="W17" s="12" t="s">
        <v>34</v>
      </c>
      <c r="X17" s="12"/>
      <c r="Y17" s="12">
        <v>1252.0999999999999</v>
      </c>
      <c r="Z17" s="12"/>
      <c r="AA17" s="15"/>
      <c r="AC17" s="12">
        <v>31</v>
      </c>
      <c r="AD17" s="12" t="s">
        <v>33</v>
      </c>
      <c r="AE17" s="12"/>
      <c r="AF17" s="12">
        <v>1252.0999999999999</v>
      </c>
      <c r="AG17" s="12"/>
      <c r="AH17" s="15"/>
      <c r="AJ17" s="12">
        <v>31</v>
      </c>
      <c r="AK17" s="12" t="s">
        <v>33</v>
      </c>
      <c r="AL17" s="12">
        <v>2573.8000000000002</v>
      </c>
      <c r="AM17" s="12">
        <v>1252.0999999999999</v>
      </c>
      <c r="AN17" s="12">
        <f t="shared" si="5"/>
        <v>1047.2000000000003</v>
      </c>
      <c r="AO17" s="15">
        <f t="shared" si="6"/>
        <v>83.635492372813701</v>
      </c>
      <c r="AQ17" s="12">
        <v>31</v>
      </c>
      <c r="AR17" s="12" t="s">
        <v>32</v>
      </c>
      <c r="AS17" s="12">
        <v>2478.1</v>
      </c>
      <c r="AT17" s="12">
        <v>1252.0999999999999</v>
      </c>
      <c r="AU17" s="12">
        <f t="shared" si="7"/>
        <v>951.5</v>
      </c>
      <c r="AV17" s="15">
        <f t="shared" si="8"/>
        <v>75.99233288076033</v>
      </c>
      <c r="AX17" s="12">
        <v>31</v>
      </c>
      <c r="AY17" s="12" t="s">
        <v>35</v>
      </c>
      <c r="AZ17" s="12">
        <v>2425.6</v>
      </c>
      <c r="BA17" s="12">
        <v>1252.0999999999999</v>
      </c>
      <c r="BB17" s="12">
        <f t="shared" si="9"/>
        <v>899</v>
      </c>
      <c r="BC17" s="15">
        <f t="shared" si="10"/>
        <v>71.799377046561787</v>
      </c>
      <c r="BE17" s="12">
        <v>31</v>
      </c>
      <c r="BF17" s="12" t="s">
        <v>35</v>
      </c>
      <c r="BG17" s="12">
        <v>2373.9</v>
      </c>
      <c r="BH17" s="12">
        <v>1252.0999999999999</v>
      </c>
      <c r="BI17" s="12">
        <f t="shared" si="11"/>
        <v>847.30000000000018</v>
      </c>
      <c r="BJ17" s="15">
        <f t="shared" si="12"/>
        <v>67.670313872693896</v>
      </c>
      <c r="BL17" s="12">
        <v>31</v>
      </c>
      <c r="BM17" s="12" t="s">
        <v>35</v>
      </c>
      <c r="BN17" s="12"/>
      <c r="BO17" s="12">
        <v>1252.0999999999999</v>
      </c>
      <c r="BP17" s="12">
        <f t="shared" si="13"/>
        <v>-31</v>
      </c>
      <c r="BQ17" s="15">
        <f t="shared" si="14"/>
        <v>-2.475840587812475</v>
      </c>
      <c r="BS17" s="12">
        <v>31</v>
      </c>
      <c r="BT17" s="12" t="s">
        <v>35</v>
      </c>
      <c r="BU17" s="12">
        <v>2352.1999999999998</v>
      </c>
      <c r="BV17" s="12">
        <v>1252.0999999999999</v>
      </c>
      <c r="BW17" s="12">
        <f t="shared" si="15"/>
        <v>825.59999999999991</v>
      </c>
      <c r="BX17" s="15">
        <f t="shared" si="16"/>
        <v>65.93722546122514</v>
      </c>
      <c r="BZ17" s="12">
        <v>31</v>
      </c>
      <c r="CA17" s="12" t="s">
        <v>39</v>
      </c>
      <c r="CB17" s="12">
        <v>2326</v>
      </c>
      <c r="CC17" s="12">
        <v>1252.0999999999999</v>
      </c>
      <c r="CD17" s="12">
        <f t="shared" si="17"/>
        <v>799.40000000000009</v>
      </c>
      <c r="CE17" s="15">
        <f t="shared" si="18"/>
        <v>63.844740835396543</v>
      </c>
      <c r="CG17" s="12">
        <v>31</v>
      </c>
      <c r="CH17" s="12"/>
      <c r="CI17" s="12">
        <v>2300.4</v>
      </c>
      <c r="CJ17" s="12">
        <v>1252.0999999999999</v>
      </c>
      <c r="CK17" s="12">
        <f t="shared" si="19"/>
        <v>773.80000000000018</v>
      </c>
      <c r="CL17" s="15">
        <f t="shared" si="20"/>
        <v>61.800175704815928</v>
      </c>
      <c r="CN17" s="12">
        <v>31</v>
      </c>
      <c r="CO17" s="12" t="s">
        <v>63</v>
      </c>
      <c r="CP17" s="12">
        <v>2347.3000000000002</v>
      </c>
      <c r="CQ17" s="12">
        <v>1252.0999999999999</v>
      </c>
      <c r="CR17" s="12">
        <f t="shared" si="21"/>
        <v>820.70000000000027</v>
      </c>
      <c r="CS17" s="15">
        <f t="shared" si="22"/>
        <v>65.545882916699966</v>
      </c>
      <c r="CU17" s="12">
        <v>31</v>
      </c>
      <c r="CV17" s="12" t="s">
        <v>66</v>
      </c>
      <c r="CW17" s="12">
        <v>2280.6</v>
      </c>
      <c r="CX17" s="12">
        <v>1252.0999999999999</v>
      </c>
      <c r="CY17" s="12">
        <f t="shared" si="23"/>
        <v>754</v>
      </c>
      <c r="CZ17" s="15">
        <f t="shared" si="24"/>
        <v>60.218832361632458</v>
      </c>
      <c r="DB17" s="12">
        <v>31</v>
      </c>
      <c r="DC17" s="12" t="s">
        <v>66</v>
      </c>
      <c r="DD17" s="12">
        <v>2328</v>
      </c>
      <c r="DE17" s="12">
        <v>1252.0999999999999</v>
      </c>
      <c r="DF17" s="12">
        <f t="shared" si="25"/>
        <v>801.40000000000009</v>
      </c>
      <c r="DG17" s="15">
        <f t="shared" si="26"/>
        <v>64.00447248622315</v>
      </c>
      <c r="DI17" s="12">
        <v>31</v>
      </c>
      <c r="DJ17" s="12" t="s">
        <v>66</v>
      </c>
      <c r="DK17" s="12">
        <v>2263.6</v>
      </c>
      <c r="DL17" s="12">
        <v>1252.0999999999999</v>
      </c>
      <c r="DM17" s="12">
        <f t="shared" si="27"/>
        <v>737</v>
      </c>
      <c r="DN17" s="15">
        <f t="shared" si="28"/>
        <v>58.861113329606262</v>
      </c>
      <c r="DP17" s="12">
        <v>31</v>
      </c>
      <c r="DQ17" s="12" t="s">
        <v>66</v>
      </c>
      <c r="DR17" s="12">
        <v>2301.6999999999998</v>
      </c>
      <c r="DS17" s="12">
        <v>1252.0999999999999</v>
      </c>
      <c r="DT17" s="12">
        <f t="shared" si="29"/>
        <v>775.09999999999991</v>
      </c>
      <c r="DU17" s="15">
        <f t="shared" si="30"/>
        <v>61.904001277853204</v>
      </c>
      <c r="DW17" s="12">
        <v>31</v>
      </c>
      <c r="DX17" s="12" t="s">
        <v>66</v>
      </c>
      <c r="DY17" s="12">
        <v>2314.5</v>
      </c>
      <c r="DZ17" s="12">
        <v>1252.0999999999999</v>
      </c>
      <c r="EA17" s="12">
        <f t="shared" si="31"/>
        <v>787.90000000000009</v>
      </c>
      <c r="EB17" s="15">
        <f t="shared" si="32"/>
        <v>62.92628384314353</v>
      </c>
      <c r="ED17" s="12">
        <v>31</v>
      </c>
      <c r="EE17" s="12" t="s">
        <v>66</v>
      </c>
      <c r="EF17" s="12">
        <v>2342.1999999999998</v>
      </c>
      <c r="EG17" s="12">
        <v>1252.0999999999999</v>
      </c>
      <c r="EH17" s="12">
        <f t="shared" si="33"/>
        <v>815.59999999999991</v>
      </c>
      <c r="EI17" s="15">
        <f t="shared" si="34"/>
        <v>65.13856720709208</v>
      </c>
      <c r="EK17" s="12">
        <v>31</v>
      </c>
      <c r="EL17" s="12" t="s">
        <v>119</v>
      </c>
      <c r="EM17" s="12">
        <v>2367.5</v>
      </c>
      <c r="EN17" s="132">
        <f t="shared" si="35"/>
        <v>2367.1</v>
      </c>
      <c r="EO17" s="12">
        <v>1252.0999999999999</v>
      </c>
      <c r="EP17" s="12">
        <f t="shared" si="36"/>
        <v>840.5</v>
      </c>
      <c r="EQ17" s="15">
        <f t="shared" si="37"/>
        <v>67.1272262598834</v>
      </c>
    </row>
    <row r="18" spans="1:147" x14ac:dyDescent="0.25">
      <c r="A18" s="12">
        <v>32</v>
      </c>
      <c r="B18" s="12">
        <v>1496.7</v>
      </c>
      <c r="E18" s="12">
        <v>32</v>
      </c>
      <c r="F18" s="12">
        <v>2803.8</v>
      </c>
      <c r="I18" s="12">
        <v>32</v>
      </c>
      <c r="J18" s="12">
        <v>2655.6</v>
      </c>
      <c r="K18" s="12">
        <f t="shared" si="0"/>
        <v>1307.1000000000001</v>
      </c>
      <c r="L18" s="12">
        <f t="shared" si="1"/>
        <v>1158.8999999999999</v>
      </c>
      <c r="M18" s="15">
        <f t="shared" si="2"/>
        <v>88.661923341748889</v>
      </c>
      <c r="O18" s="12">
        <v>32</v>
      </c>
      <c r="P18" s="12"/>
      <c r="Q18" s="12">
        <v>2613.6</v>
      </c>
      <c r="R18" s="12">
        <v>1307.1000000000001</v>
      </c>
      <c r="S18" s="12">
        <f t="shared" si="3"/>
        <v>1116.8999999999999</v>
      </c>
      <c r="T18" s="15">
        <f t="shared" si="4"/>
        <v>85.448703236171667</v>
      </c>
      <c r="V18" s="12">
        <v>32</v>
      </c>
      <c r="W18" s="12" t="s">
        <v>32</v>
      </c>
      <c r="X18" s="12"/>
      <c r="Y18" s="12">
        <v>1307.1000000000001</v>
      </c>
      <c r="Z18" s="12"/>
      <c r="AA18" s="15"/>
      <c r="AC18" s="12">
        <v>32</v>
      </c>
      <c r="AD18" s="12" t="s">
        <v>32</v>
      </c>
      <c r="AE18" s="12"/>
      <c r="AF18" s="12">
        <v>1307.1000000000001</v>
      </c>
      <c r="AG18" s="12"/>
      <c r="AH18" s="15"/>
      <c r="AJ18" s="12">
        <v>32</v>
      </c>
      <c r="AK18" s="12" t="s">
        <v>32</v>
      </c>
      <c r="AL18" s="12">
        <v>2549.3000000000002</v>
      </c>
      <c r="AM18" s="12">
        <v>1307.1000000000001</v>
      </c>
      <c r="AN18" s="12">
        <f t="shared" si="5"/>
        <v>1052.6000000000001</v>
      </c>
      <c r="AO18" s="15">
        <f t="shared" si="6"/>
        <v>80.529416265014149</v>
      </c>
      <c r="AQ18" s="12">
        <v>32</v>
      </c>
      <c r="AR18" s="12" t="s">
        <v>35</v>
      </c>
      <c r="AS18" s="12">
        <v>2406.6</v>
      </c>
      <c r="AT18" s="12">
        <v>1307.1000000000001</v>
      </c>
      <c r="AU18" s="12">
        <f t="shared" si="7"/>
        <v>909.89999999999986</v>
      </c>
      <c r="AV18" s="15">
        <f t="shared" si="8"/>
        <v>69.612118430112446</v>
      </c>
      <c r="AX18" s="12">
        <v>32</v>
      </c>
      <c r="AY18" s="12" t="s">
        <v>39</v>
      </c>
      <c r="AZ18" s="12">
        <v>2340.1999999999998</v>
      </c>
      <c r="BA18" s="12">
        <v>1307.1000000000001</v>
      </c>
      <c r="BB18" s="12">
        <f t="shared" si="9"/>
        <v>843.49999999999977</v>
      </c>
      <c r="BC18" s="15">
        <f t="shared" si="10"/>
        <v>64.532170453676059</v>
      </c>
      <c r="BE18" s="12">
        <v>32</v>
      </c>
      <c r="BF18" s="12" t="s">
        <v>39</v>
      </c>
      <c r="BG18" s="12">
        <v>2276.3000000000002</v>
      </c>
      <c r="BH18" s="12">
        <v>1307.1000000000001</v>
      </c>
      <c r="BI18" s="12">
        <f t="shared" si="11"/>
        <v>779.60000000000014</v>
      </c>
      <c r="BJ18" s="15">
        <f t="shared" si="12"/>
        <v>59.643485578762146</v>
      </c>
      <c r="BL18" s="12">
        <v>32</v>
      </c>
      <c r="BM18" s="12" t="s">
        <v>39</v>
      </c>
      <c r="BN18" s="12"/>
      <c r="BO18" s="12">
        <v>1307.1000000000001</v>
      </c>
      <c r="BP18" s="12">
        <f t="shared" si="13"/>
        <v>-32</v>
      </c>
      <c r="BQ18" s="15">
        <f t="shared" si="14"/>
        <v>-2.4481676994874144</v>
      </c>
      <c r="BS18" s="12">
        <v>32</v>
      </c>
      <c r="BT18" s="12" t="s">
        <v>39</v>
      </c>
      <c r="BU18" s="12">
        <v>2337.1999999999998</v>
      </c>
      <c r="BV18" s="12">
        <v>1307.1000000000001</v>
      </c>
      <c r="BW18" s="12">
        <f t="shared" si="15"/>
        <v>840.49999999999977</v>
      </c>
      <c r="BX18" s="15">
        <f t="shared" si="16"/>
        <v>64.302654731849103</v>
      </c>
      <c r="BZ18" s="12">
        <v>32</v>
      </c>
      <c r="CA18" s="12" t="s">
        <v>51</v>
      </c>
      <c r="CB18" s="12">
        <v>2318.8000000000002</v>
      </c>
      <c r="CC18" s="12">
        <v>1307.1000000000001</v>
      </c>
      <c r="CD18" s="12">
        <f t="shared" si="17"/>
        <v>822.10000000000014</v>
      </c>
      <c r="CE18" s="15">
        <f t="shared" si="18"/>
        <v>62.894958304643865</v>
      </c>
      <c r="CG18" s="12">
        <v>32</v>
      </c>
      <c r="CH18" s="12"/>
      <c r="CI18" s="12">
        <v>2287.8000000000002</v>
      </c>
      <c r="CJ18" s="12">
        <v>1307.1000000000001</v>
      </c>
      <c r="CK18" s="12">
        <f t="shared" si="19"/>
        <v>791.10000000000014</v>
      </c>
      <c r="CL18" s="15">
        <f t="shared" si="20"/>
        <v>60.523295845765432</v>
      </c>
      <c r="CN18" s="12">
        <v>32</v>
      </c>
      <c r="CO18" s="12" t="s">
        <v>51</v>
      </c>
      <c r="CP18" s="12">
        <v>2344.9</v>
      </c>
      <c r="CQ18" s="12">
        <v>1307.1000000000001</v>
      </c>
      <c r="CR18" s="12">
        <f t="shared" si="21"/>
        <v>848.2</v>
      </c>
      <c r="CS18" s="15">
        <f t="shared" si="22"/>
        <v>64.891745084538286</v>
      </c>
      <c r="CU18" s="12">
        <v>32</v>
      </c>
      <c r="CV18" s="12" t="s">
        <v>58</v>
      </c>
      <c r="CW18" s="12">
        <v>2259.8000000000002</v>
      </c>
      <c r="CX18" s="12">
        <v>1307.1000000000001</v>
      </c>
      <c r="CY18" s="12">
        <f t="shared" si="23"/>
        <v>763.10000000000014</v>
      </c>
      <c r="CZ18" s="15">
        <f t="shared" si="24"/>
        <v>58.381149108713949</v>
      </c>
      <c r="DB18" s="12">
        <v>32</v>
      </c>
      <c r="DC18" s="12" t="s">
        <v>58</v>
      </c>
      <c r="DD18" s="12">
        <v>2319.6999999999998</v>
      </c>
      <c r="DE18" s="12">
        <v>1307.1000000000001</v>
      </c>
      <c r="DF18" s="12">
        <f t="shared" si="25"/>
        <v>822.99999999999977</v>
      </c>
      <c r="DG18" s="15">
        <f t="shared" si="26"/>
        <v>62.963813021191925</v>
      </c>
      <c r="DI18" s="12">
        <v>32</v>
      </c>
      <c r="DJ18" s="12" t="s">
        <v>58</v>
      </c>
      <c r="DK18" s="12">
        <v>2222.1</v>
      </c>
      <c r="DL18" s="12">
        <v>1307.1000000000001</v>
      </c>
      <c r="DM18" s="12">
        <f t="shared" si="27"/>
        <v>725.39999999999986</v>
      </c>
      <c r="DN18" s="15">
        <f t="shared" si="28"/>
        <v>55.496901537755313</v>
      </c>
      <c r="DP18" s="12">
        <v>32</v>
      </c>
      <c r="DQ18" s="12" t="s">
        <v>65</v>
      </c>
      <c r="DR18" s="12">
        <v>2287.1</v>
      </c>
      <c r="DS18" s="12">
        <v>1307.1000000000001</v>
      </c>
      <c r="DT18" s="12">
        <f t="shared" si="29"/>
        <v>790.39999999999986</v>
      </c>
      <c r="DU18" s="15">
        <f t="shared" si="30"/>
        <v>60.469742177339135</v>
      </c>
      <c r="DW18" s="12">
        <v>32</v>
      </c>
      <c r="DX18" s="12" t="s">
        <v>65</v>
      </c>
      <c r="DY18" s="12">
        <v>2280.6999999999998</v>
      </c>
      <c r="DZ18" s="12">
        <v>1307.1000000000001</v>
      </c>
      <c r="EA18" s="12">
        <f t="shared" si="31"/>
        <v>783.99999999999977</v>
      </c>
      <c r="EB18" s="15">
        <f t="shared" si="32"/>
        <v>59.980108637441646</v>
      </c>
      <c r="ED18" s="12">
        <v>32</v>
      </c>
      <c r="EE18" s="12" t="s">
        <v>65</v>
      </c>
      <c r="EF18" s="12">
        <v>2310.29</v>
      </c>
      <c r="EG18" s="12">
        <v>1307.1000000000001</v>
      </c>
      <c r="EH18" s="12">
        <f t="shared" si="33"/>
        <v>813.58999999999992</v>
      </c>
      <c r="EI18" s="15">
        <f t="shared" si="34"/>
        <v>62.243898707061419</v>
      </c>
      <c r="EK18" s="12">
        <v>32</v>
      </c>
      <c r="EL18" s="12" t="s">
        <v>65</v>
      </c>
      <c r="EM18" s="12">
        <v>2355.5</v>
      </c>
      <c r="EN18" s="132">
        <f t="shared" si="35"/>
        <v>2355.1</v>
      </c>
      <c r="EO18" s="12">
        <v>1307.1000000000001</v>
      </c>
      <c r="EP18" s="12">
        <f t="shared" si="36"/>
        <v>858.39999999999986</v>
      </c>
      <c r="EQ18" s="15">
        <f t="shared" si="37"/>
        <v>65.672098538749893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706A-AE11-4782-993C-DE9641471994}">
  <dimension ref="A1:DA17"/>
  <sheetViews>
    <sheetView workbookViewId="0">
      <selection activeCell="CZ19" sqref="CZ19"/>
    </sheetView>
  </sheetViews>
  <sheetFormatPr defaultRowHeight="15" x14ac:dyDescent="0.25"/>
  <cols>
    <col min="1" max="1" width="11.42578125" bestFit="1" customWidth="1"/>
    <col min="2" max="2" width="12.5703125" bestFit="1" customWidth="1"/>
    <col min="3" max="3" width="11.5703125" bestFit="1" customWidth="1"/>
    <col min="4" max="4" width="18.85546875" bestFit="1" customWidth="1"/>
    <col min="5" max="5" width="11.140625" customWidth="1"/>
    <col min="6" max="6" width="9.7109375" customWidth="1"/>
    <col min="9" max="9" width="11.42578125" bestFit="1" customWidth="1"/>
    <col min="10" max="10" width="12.5703125" bestFit="1" customWidth="1"/>
    <col min="11" max="11" width="11.5703125" bestFit="1" customWidth="1"/>
    <col min="12" max="12" width="18.85546875" bestFit="1" customWidth="1"/>
    <col min="13" max="13" width="12.42578125" customWidth="1"/>
    <col min="14" max="14" width="11.140625" customWidth="1"/>
    <col min="17" max="17" width="11.42578125" bestFit="1" customWidth="1"/>
    <col min="18" max="18" width="12.5703125" bestFit="1" customWidth="1"/>
    <col min="19" max="19" width="11.5703125" bestFit="1" customWidth="1"/>
    <col min="20" max="20" width="18.85546875" bestFit="1" customWidth="1"/>
    <col min="21" max="22" width="13.7109375" customWidth="1"/>
    <col min="23" max="23" width="10.5703125" customWidth="1"/>
    <col min="26" max="26" width="11.42578125" bestFit="1" customWidth="1"/>
    <col min="27" max="27" width="12.5703125" bestFit="1" customWidth="1"/>
    <col min="28" max="28" width="11.5703125" bestFit="1" customWidth="1"/>
    <col min="29" max="29" width="18.85546875" bestFit="1" customWidth="1"/>
    <col min="30" max="30" width="11.7109375" customWidth="1"/>
    <col min="34" max="34" width="11.42578125" bestFit="1" customWidth="1"/>
    <col min="35" max="35" width="12.5703125" bestFit="1" customWidth="1"/>
    <col min="36" max="36" width="11.5703125" bestFit="1" customWidth="1"/>
    <col min="37" max="37" width="18.85546875" bestFit="1" customWidth="1"/>
    <col min="38" max="38" width="11.5703125" customWidth="1"/>
    <col min="42" max="42" width="11.42578125" bestFit="1" customWidth="1"/>
    <col min="43" max="43" width="12.5703125" bestFit="1" customWidth="1"/>
    <col min="44" max="44" width="11.5703125" bestFit="1" customWidth="1"/>
    <col min="45" max="45" width="18.85546875" bestFit="1" customWidth="1"/>
    <col min="46" max="46" width="12.28515625" customWidth="1"/>
    <col min="50" max="50" width="11.42578125" bestFit="1" customWidth="1"/>
    <col min="51" max="51" width="12.5703125" bestFit="1" customWidth="1"/>
    <col min="52" max="52" width="11.5703125" bestFit="1" customWidth="1"/>
    <col min="53" max="53" width="19.7109375" customWidth="1"/>
    <col min="54" max="54" width="12.28515625" customWidth="1"/>
    <col min="58" max="58" width="11.42578125" bestFit="1" customWidth="1"/>
    <col min="59" max="59" width="12.5703125" bestFit="1" customWidth="1"/>
    <col min="60" max="60" width="11.5703125" bestFit="1" customWidth="1"/>
    <col min="61" max="61" width="18.85546875" bestFit="1" customWidth="1"/>
    <col min="62" max="62" width="11.85546875" customWidth="1"/>
    <col min="66" max="66" width="11.42578125" bestFit="1" customWidth="1"/>
    <col min="67" max="67" width="12.5703125" bestFit="1" customWidth="1"/>
    <col min="68" max="68" width="11.5703125" bestFit="1" customWidth="1"/>
    <col min="69" max="69" width="18.85546875" bestFit="1" customWidth="1"/>
    <col min="70" max="70" width="14.42578125" customWidth="1"/>
    <col min="71" max="71" width="11.5703125" customWidth="1"/>
    <col min="74" max="74" width="11.42578125" bestFit="1" customWidth="1"/>
    <col min="75" max="75" width="12.5703125" bestFit="1" customWidth="1"/>
    <col min="76" max="76" width="11.5703125" bestFit="1" customWidth="1"/>
    <col min="77" max="77" width="18.85546875" bestFit="1" customWidth="1"/>
    <col min="78" max="79" width="13.7109375" customWidth="1"/>
    <col min="80" max="80" width="15.28515625" customWidth="1"/>
    <col min="81" max="81" width="10" customWidth="1"/>
    <col min="83" max="83" width="11.42578125" bestFit="1" customWidth="1"/>
    <col min="84" max="84" width="12.5703125" bestFit="1" customWidth="1"/>
    <col min="85" max="85" width="11.5703125" bestFit="1" customWidth="1"/>
    <col min="86" max="86" width="18.85546875" bestFit="1" customWidth="1"/>
    <col min="87" max="87" width="14.5703125" customWidth="1"/>
    <col min="91" max="91" width="11.42578125" bestFit="1" customWidth="1"/>
    <col min="92" max="92" width="12.5703125" bestFit="1" customWidth="1"/>
    <col min="93" max="93" width="11.5703125" bestFit="1" customWidth="1"/>
    <col min="94" max="94" width="18.85546875" bestFit="1" customWidth="1"/>
    <col min="95" max="95" width="14.28515625" customWidth="1"/>
    <col min="99" max="99" width="11.42578125" bestFit="1" customWidth="1"/>
    <col min="100" max="100" width="12.5703125" bestFit="1" customWidth="1"/>
    <col min="101" max="101" width="11.5703125" bestFit="1" customWidth="1"/>
    <col min="102" max="102" width="18.85546875" bestFit="1" customWidth="1"/>
    <col min="103" max="103" width="14.140625" customWidth="1"/>
    <col min="104" max="104" width="14.5703125" customWidth="1"/>
  </cols>
  <sheetData>
    <row r="1" spans="1:105" ht="30" x14ac:dyDescent="0.25">
      <c r="A1" s="3" t="s">
        <v>10</v>
      </c>
      <c r="B1" s="3" t="s">
        <v>23</v>
      </c>
      <c r="C1" s="3" t="s">
        <v>41</v>
      </c>
      <c r="D1" s="3" t="s">
        <v>25</v>
      </c>
      <c r="E1" s="21" t="s">
        <v>42</v>
      </c>
      <c r="F1" s="11" t="s">
        <v>43</v>
      </c>
      <c r="G1" s="11" t="s">
        <v>44</v>
      </c>
      <c r="I1" s="3" t="s">
        <v>10</v>
      </c>
      <c r="J1" s="3" t="s">
        <v>23</v>
      </c>
      <c r="K1" s="3" t="s">
        <v>41</v>
      </c>
      <c r="L1" s="3" t="s">
        <v>25</v>
      </c>
      <c r="M1" s="21" t="s">
        <v>42</v>
      </c>
      <c r="N1" s="11" t="s">
        <v>43</v>
      </c>
      <c r="O1" s="11" t="s">
        <v>44</v>
      </c>
      <c r="Q1" s="3" t="s">
        <v>10</v>
      </c>
      <c r="R1" s="3" t="s">
        <v>23</v>
      </c>
      <c r="S1" s="3" t="s">
        <v>41</v>
      </c>
      <c r="T1" s="3" t="s">
        <v>25</v>
      </c>
      <c r="U1" s="21" t="s">
        <v>42</v>
      </c>
      <c r="V1" s="21" t="s">
        <v>52</v>
      </c>
      <c r="W1" s="11" t="s">
        <v>43</v>
      </c>
      <c r="X1" s="11" t="s">
        <v>44</v>
      </c>
      <c r="Z1" s="3" t="s">
        <v>10</v>
      </c>
      <c r="AA1" s="3" t="s">
        <v>23</v>
      </c>
      <c r="AB1" s="3" t="s">
        <v>41</v>
      </c>
      <c r="AC1" s="3" t="s">
        <v>25</v>
      </c>
      <c r="AD1" s="21" t="s">
        <v>42</v>
      </c>
      <c r="AE1" s="11" t="s">
        <v>43</v>
      </c>
      <c r="AF1" s="11" t="s">
        <v>44</v>
      </c>
      <c r="AH1" s="3" t="s">
        <v>10</v>
      </c>
      <c r="AI1" s="3" t="s">
        <v>23</v>
      </c>
      <c r="AJ1" s="3" t="s">
        <v>41</v>
      </c>
      <c r="AK1" s="3" t="s">
        <v>25</v>
      </c>
      <c r="AL1" s="21" t="s">
        <v>42</v>
      </c>
      <c r="AM1" s="11" t="s">
        <v>43</v>
      </c>
      <c r="AN1" s="11" t="s">
        <v>44</v>
      </c>
      <c r="AP1" s="3" t="s">
        <v>10</v>
      </c>
      <c r="AQ1" s="3" t="s">
        <v>23</v>
      </c>
      <c r="AR1" s="3" t="s">
        <v>41</v>
      </c>
      <c r="AS1" s="3" t="s">
        <v>25</v>
      </c>
      <c r="AT1" s="21" t="s">
        <v>42</v>
      </c>
      <c r="AU1" s="11" t="s">
        <v>43</v>
      </c>
      <c r="AV1" s="11" t="s">
        <v>44</v>
      </c>
      <c r="AX1" s="3" t="s">
        <v>10</v>
      </c>
      <c r="AY1" s="3" t="s">
        <v>23</v>
      </c>
      <c r="AZ1" s="3" t="s">
        <v>41</v>
      </c>
      <c r="BA1" s="3" t="s">
        <v>25</v>
      </c>
      <c r="BB1" s="21" t="s">
        <v>42</v>
      </c>
      <c r="BC1" s="11" t="s">
        <v>43</v>
      </c>
      <c r="BD1" s="11" t="s">
        <v>44</v>
      </c>
      <c r="BF1" s="3" t="s">
        <v>10</v>
      </c>
      <c r="BG1" s="3" t="s">
        <v>23</v>
      </c>
      <c r="BH1" s="3" t="s">
        <v>41</v>
      </c>
      <c r="BI1" s="3" t="s">
        <v>25</v>
      </c>
      <c r="BJ1" s="21" t="s">
        <v>42</v>
      </c>
      <c r="BK1" s="11" t="s">
        <v>43</v>
      </c>
      <c r="BL1" s="11" t="s">
        <v>44</v>
      </c>
      <c r="BN1" s="3" t="s">
        <v>10</v>
      </c>
      <c r="BO1" s="3" t="s">
        <v>23</v>
      </c>
      <c r="BP1" s="3" t="s">
        <v>41</v>
      </c>
      <c r="BQ1" s="3" t="s">
        <v>25</v>
      </c>
      <c r="BR1" s="21" t="s">
        <v>42</v>
      </c>
      <c r="BS1" s="11" t="s">
        <v>43</v>
      </c>
      <c r="BT1" s="11" t="s">
        <v>44</v>
      </c>
      <c r="BV1" s="3" t="s">
        <v>10</v>
      </c>
      <c r="BW1" s="3" t="s">
        <v>23</v>
      </c>
      <c r="BX1" s="3" t="s">
        <v>41</v>
      </c>
      <c r="BY1" s="3" t="s">
        <v>25</v>
      </c>
      <c r="BZ1" s="21" t="s">
        <v>42</v>
      </c>
      <c r="CA1" s="21" t="s">
        <v>71</v>
      </c>
      <c r="CB1" s="11" t="s">
        <v>43</v>
      </c>
      <c r="CC1" s="11" t="s">
        <v>44</v>
      </c>
      <c r="CE1" s="3" t="s">
        <v>10</v>
      </c>
      <c r="CF1" s="3" t="s">
        <v>23</v>
      </c>
      <c r="CG1" s="3" t="s">
        <v>41</v>
      </c>
      <c r="CH1" s="3" t="s">
        <v>25</v>
      </c>
      <c r="CI1" s="21" t="s">
        <v>42</v>
      </c>
      <c r="CJ1" s="11" t="s">
        <v>43</v>
      </c>
      <c r="CK1" s="11" t="s">
        <v>44</v>
      </c>
      <c r="CM1" s="3" t="s">
        <v>10</v>
      </c>
      <c r="CN1" s="3" t="s">
        <v>23</v>
      </c>
      <c r="CO1" s="3" t="s">
        <v>41</v>
      </c>
      <c r="CP1" s="3" t="s">
        <v>25</v>
      </c>
      <c r="CQ1" s="21" t="s">
        <v>42</v>
      </c>
      <c r="CR1" s="11" t="s">
        <v>43</v>
      </c>
      <c r="CS1" s="11" t="s">
        <v>44</v>
      </c>
      <c r="CU1" s="3" t="s">
        <v>10</v>
      </c>
      <c r="CV1" s="3" t="s">
        <v>23</v>
      </c>
      <c r="CW1" s="3" t="s">
        <v>41</v>
      </c>
      <c r="CX1" s="3" t="s">
        <v>25</v>
      </c>
      <c r="CY1" s="21" t="s">
        <v>42</v>
      </c>
      <c r="CZ1" s="11" t="s">
        <v>43</v>
      </c>
      <c r="DA1" s="11" t="s">
        <v>44</v>
      </c>
    </row>
    <row r="2" spans="1:105" x14ac:dyDescent="0.25">
      <c r="A2" s="23">
        <v>17</v>
      </c>
      <c r="B2" s="23">
        <v>1184.3999999999999</v>
      </c>
      <c r="C2" s="23">
        <f>(B2*70)/100</f>
        <v>829.07999999999981</v>
      </c>
      <c r="D2" s="23">
        <v>576.5</v>
      </c>
      <c r="E2" s="23">
        <f>C2-D2</f>
        <v>252.57999999999981</v>
      </c>
      <c r="F2" s="25">
        <v>45587</v>
      </c>
      <c r="G2" s="23"/>
      <c r="I2" s="23">
        <v>17</v>
      </c>
      <c r="J2" s="23">
        <v>1184.3999999999999</v>
      </c>
      <c r="K2" s="23">
        <f>(J2*70)/100</f>
        <v>829.07999999999981</v>
      </c>
      <c r="L2" s="23">
        <v>615.89999999999986</v>
      </c>
      <c r="M2" s="23">
        <f>K2-L2</f>
        <v>213.17999999999995</v>
      </c>
      <c r="N2" s="25">
        <v>45590</v>
      </c>
      <c r="O2" s="23"/>
      <c r="Q2" s="23">
        <v>17</v>
      </c>
      <c r="R2" s="23">
        <v>1184.3999999999999</v>
      </c>
      <c r="S2" s="23">
        <f>(R2*70)/100</f>
        <v>829.07999999999981</v>
      </c>
      <c r="T2" s="23"/>
      <c r="U2" s="23">
        <f>S2-T2</f>
        <v>829.07999999999981</v>
      </c>
      <c r="V2" s="23">
        <v>100</v>
      </c>
      <c r="W2" s="25">
        <v>45592</v>
      </c>
      <c r="X2" s="23"/>
      <c r="Z2" s="23">
        <v>17</v>
      </c>
      <c r="AA2" s="23">
        <v>1184.3999999999999</v>
      </c>
      <c r="AB2" s="23">
        <f>(AA2*70)/100</f>
        <v>829.07999999999981</v>
      </c>
      <c r="AC2" s="23">
        <v>637.20000000000005</v>
      </c>
      <c r="AD2" s="23">
        <f>AB2-AC2</f>
        <v>191.87999999999977</v>
      </c>
      <c r="AE2" s="25">
        <v>45593</v>
      </c>
      <c r="AF2" s="23"/>
      <c r="AH2" s="23">
        <v>17</v>
      </c>
      <c r="AI2" s="23">
        <v>1184.3999999999999</v>
      </c>
      <c r="AJ2" s="23">
        <f>(AI2*70)/100</f>
        <v>829.07999999999981</v>
      </c>
      <c r="AK2" s="23">
        <v>622.89999999999986</v>
      </c>
      <c r="AL2" s="23">
        <f>AJ2-AK2</f>
        <v>206.17999999999995</v>
      </c>
      <c r="AM2" s="25">
        <v>45595</v>
      </c>
      <c r="AN2" s="23"/>
      <c r="AP2" s="12">
        <v>17</v>
      </c>
      <c r="AQ2" s="12">
        <v>1184.3999999999999</v>
      </c>
      <c r="AR2" s="12">
        <f>(AQ2*70)/100</f>
        <v>829.07999999999981</v>
      </c>
      <c r="AS2" s="12">
        <v>720.50000000000023</v>
      </c>
      <c r="AT2" s="12">
        <f>AR2-AS2</f>
        <v>108.57999999999959</v>
      </c>
      <c r="AU2" s="22">
        <v>45596</v>
      </c>
      <c r="AV2" s="12"/>
      <c r="AX2" s="23">
        <v>17</v>
      </c>
      <c r="AY2" s="23">
        <v>1184.3999999999999</v>
      </c>
      <c r="AZ2" s="23">
        <f>(AY2*70)/100</f>
        <v>829.07999999999981</v>
      </c>
      <c r="BA2" s="23">
        <v>596.5</v>
      </c>
      <c r="BB2" s="23">
        <f>AZ2-BA2</f>
        <v>232.57999999999981</v>
      </c>
      <c r="BC2" s="25">
        <v>45597</v>
      </c>
      <c r="BD2" s="23"/>
      <c r="BF2" s="23">
        <v>17</v>
      </c>
      <c r="BG2" s="23">
        <v>1184.3999999999999</v>
      </c>
      <c r="BH2" s="23">
        <f>(BG2*70)/100</f>
        <v>829.07999999999981</v>
      </c>
      <c r="BI2" s="23">
        <v>649.60000000000014</v>
      </c>
      <c r="BJ2" s="23">
        <f>BH2-BI2</f>
        <v>179.47999999999968</v>
      </c>
      <c r="BK2" s="25">
        <v>45598</v>
      </c>
      <c r="BL2" s="23"/>
      <c r="BN2" s="23">
        <v>17</v>
      </c>
      <c r="BO2" s="23">
        <v>1184.3999999999999</v>
      </c>
      <c r="BP2" s="23">
        <f>(BO2*70)/100</f>
        <v>829.07999999999981</v>
      </c>
      <c r="BQ2" s="23">
        <v>558.79999999999995</v>
      </c>
      <c r="BR2" s="23">
        <f>BP2-BQ2</f>
        <v>270.27999999999986</v>
      </c>
      <c r="BS2" s="25">
        <v>45600</v>
      </c>
      <c r="BT2" s="23"/>
      <c r="BV2" s="23">
        <v>17</v>
      </c>
      <c r="BW2" s="23">
        <v>1184.3999999999999</v>
      </c>
      <c r="BX2" s="23">
        <f>(BW2*70)/100</f>
        <v>829.07999999999981</v>
      </c>
      <c r="BY2" s="23">
        <v>709.3</v>
      </c>
      <c r="BZ2" s="23">
        <f>BX2-BY2</f>
        <v>119.77999999999986</v>
      </c>
      <c r="CA2" s="23">
        <f>BZ2-75</f>
        <v>44.779999999999859</v>
      </c>
      <c r="CB2" s="25">
        <v>45601</v>
      </c>
      <c r="CC2" s="23"/>
      <c r="CE2" s="23">
        <v>17</v>
      </c>
      <c r="CF2" s="23">
        <v>1184.3999999999999</v>
      </c>
      <c r="CG2" s="23">
        <f>(CF2*70)/100</f>
        <v>829.07999999999981</v>
      </c>
      <c r="CH2" s="23">
        <v>636.29999999999995</v>
      </c>
      <c r="CI2" s="23">
        <f>CG2-CH2</f>
        <v>192.77999999999986</v>
      </c>
      <c r="CJ2" s="25">
        <v>45602</v>
      </c>
      <c r="CK2" s="23"/>
      <c r="CM2" s="23">
        <v>17</v>
      </c>
      <c r="CN2" s="23">
        <v>1184.3999999999999</v>
      </c>
      <c r="CO2" s="23">
        <f>(CN2*70)/100</f>
        <v>829.07999999999981</v>
      </c>
      <c r="CP2" s="23">
        <v>682.00000000000023</v>
      </c>
      <c r="CQ2" s="23">
        <f>CO2-CP2</f>
        <v>147.07999999999959</v>
      </c>
      <c r="CR2" s="25">
        <v>45603</v>
      </c>
      <c r="CS2" s="23"/>
      <c r="CU2" s="23">
        <v>17</v>
      </c>
      <c r="CV2" s="23">
        <v>1184.3999999999999</v>
      </c>
      <c r="CW2" s="23">
        <f>(CV2*70)/100</f>
        <v>829.07999999999981</v>
      </c>
      <c r="CX2" s="23">
        <v>748.8</v>
      </c>
      <c r="CY2" s="23">
        <f>CW2-CX2</f>
        <v>80.279999999999859</v>
      </c>
      <c r="CZ2" s="25">
        <v>45604</v>
      </c>
      <c r="DA2" s="23"/>
    </row>
    <row r="3" spans="1:105" x14ac:dyDescent="0.25">
      <c r="A3" s="23">
        <v>18</v>
      </c>
      <c r="B3" s="23">
        <v>1186.5</v>
      </c>
      <c r="C3" s="23">
        <f t="shared" ref="C3:C17" si="0">(B3*70)/100</f>
        <v>830.55</v>
      </c>
      <c r="D3" s="23">
        <v>752.30000000000018</v>
      </c>
      <c r="E3" s="23">
        <f t="shared" ref="E3:E17" si="1">C3-D3</f>
        <v>78.249999999999773</v>
      </c>
      <c r="F3" s="25" t="s">
        <v>45</v>
      </c>
      <c r="G3" s="24">
        <v>0.66666666666666663</v>
      </c>
      <c r="I3" s="23">
        <v>18</v>
      </c>
      <c r="J3" s="23">
        <v>1186.5</v>
      </c>
      <c r="K3" s="23">
        <f t="shared" ref="K3:K17" si="2">(J3*70)/100</f>
        <v>830.55</v>
      </c>
      <c r="L3" s="23">
        <v>673.59999999999991</v>
      </c>
      <c r="M3" s="23">
        <f t="shared" ref="M3:M17" si="3">K3-L3</f>
        <v>156.95000000000005</v>
      </c>
      <c r="N3" s="25" t="s">
        <v>45</v>
      </c>
      <c r="O3" s="24">
        <v>0.625</v>
      </c>
      <c r="Q3" s="23">
        <v>18</v>
      </c>
      <c r="R3" s="23">
        <v>1186.5</v>
      </c>
      <c r="S3" s="23">
        <f t="shared" ref="S3:S17" si="4">(R3*70)/100</f>
        <v>830.55</v>
      </c>
      <c r="T3" s="23"/>
      <c r="U3" s="23">
        <f t="shared" ref="U3:U17" si="5">S3-T3</f>
        <v>830.55</v>
      </c>
      <c r="V3" s="23">
        <v>100</v>
      </c>
      <c r="W3" s="25" t="s">
        <v>45</v>
      </c>
      <c r="X3" s="24"/>
      <c r="Z3" s="23">
        <v>18</v>
      </c>
      <c r="AA3" s="23">
        <v>1186.5</v>
      </c>
      <c r="AB3" s="23">
        <f t="shared" ref="AB3:AB17" si="6">(AA3*70)/100</f>
        <v>830.55</v>
      </c>
      <c r="AC3" s="23">
        <v>729.19999999999982</v>
      </c>
      <c r="AD3" s="23">
        <f t="shared" ref="AD3:AD17" si="7">AB3-AC3</f>
        <v>101.35000000000014</v>
      </c>
      <c r="AE3" s="25" t="s">
        <v>45</v>
      </c>
      <c r="AF3" s="24">
        <v>11</v>
      </c>
      <c r="AH3" s="23">
        <v>18</v>
      </c>
      <c r="AI3" s="23">
        <v>1186.5</v>
      </c>
      <c r="AJ3" s="23">
        <f t="shared" ref="AJ3:AJ17" si="8">(AI3*70)/100</f>
        <v>830.55</v>
      </c>
      <c r="AK3" s="23">
        <v>687</v>
      </c>
      <c r="AL3" s="23">
        <f t="shared" ref="AL3:AL17" si="9">AJ3-AK3</f>
        <v>143.54999999999995</v>
      </c>
      <c r="AM3" s="25" t="s">
        <v>45</v>
      </c>
      <c r="AN3" s="24"/>
      <c r="AP3" s="12">
        <v>18</v>
      </c>
      <c r="AQ3" s="12">
        <v>1186.5</v>
      </c>
      <c r="AR3" s="12">
        <f t="shared" ref="AR3:AR17" si="10">(AQ3*70)/100</f>
        <v>830.55</v>
      </c>
      <c r="AS3" s="12">
        <v>744.30000000000018</v>
      </c>
      <c r="AT3" s="12">
        <f t="shared" ref="AT3:AT17" si="11">AR3-AS3</f>
        <v>86.249999999999773</v>
      </c>
      <c r="AU3" s="22" t="s">
        <v>45</v>
      </c>
      <c r="AV3" s="27">
        <v>0.39513888888888887</v>
      </c>
      <c r="AX3" s="23">
        <v>18</v>
      </c>
      <c r="AY3" s="23">
        <v>1186.5</v>
      </c>
      <c r="AZ3" s="23">
        <f t="shared" ref="AZ3:AZ17" si="12">(AY3*70)/100</f>
        <v>830.55</v>
      </c>
      <c r="BA3" s="23">
        <v>655.09999999999991</v>
      </c>
      <c r="BB3" s="23">
        <f t="shared" ref="BB3:BB17" si="13">AZ3-BA3</f>
        <v>175.45000000000005</v>
      </c>
      <c r="BC3" s="25" t="s">
        <v>45</v>
      </c>
      <c r="BD3" s="24"/>
      <c r="BF3" s="23">
        <v>18</v>
      </c>
      <c r="BG3" s="23">
        <v>1186.5</v>
      </c>
      <c r="BH3" s="23">
        <f t="shared" ref="BH3:BH17" si="14">(BG3*70)/100</f>
        <v>830.55</v>
      </c>
      <c r="BI3" s="23">
        <v>712</v>
      </c>
      <c r="BJ3" s="23">
        <f t="shared" ref="BJ3:BJ17" si="15">BH3-BI3</f>
        <v>118.54999999999995</v>
      </c>
      <c r="BK3" s="25" t="s">
        <v>45</v>
      </c>
      <c r="BL3" s="24"/>
      <c r="BN3" s="23">
        <v>18</v>
      </c>
      <c r="BO3" s="23">
        <v>1186.5</v>
      </c>
      <c r="BP3" s="23">
        <f t="shared" ref="BP3:BP17" si="16">(BO3*70)/100</f>
        <v>830.55</v>
      </c>
      <c r="BQ3" s="23">
        <v>621.09999999999991</v>
      </c>
      <c r="BR3" s="23">
        <f t="shared" ref="BR3:BR17" si="17">BP3-BQ3</f>
        <v>209.45000000000005</v>
      </c>
      <c r="BS3" s="25" t="s">
        <v>45</v>
      </c>
      <c r="BT3" s="24"/>
      <c r="BV3" s="23">
        <v>18</v>
      </c>
      <c r="BW3" s="23">
        <v>1186.5</v>
      </c>
      <c r="BX3" s="23">
        <f t="shared" ref="BX3:BX17" si="18">(BW3*70)/100</f>
        <v>830.55</v>
      </c>
      <c r="BY3" s="23">
        <v>709.80000000000018</v>
      </c>
      <c r="BZ3" s="23">
        <f t="shared" ref="BZ3:BZ17" si="19">BX3-BY3</f>
        <v>120.74999999999977</v>
      </c>
      <c r="CA3" s="23">
        <f t="shared" ref="CA3:CA17" si="20">BZ3-75</f>
        <v>45.749999999999773</v>
      </c>
      <c r="CB3" s="25" t="s">
        <v>45</v>
      </c>
      <c r="CC3" s="24"/>
      <c r="CE3" s="23">
        <v>18</v>
      </c>
      <c r="CF3" s="23">
        <v>1186.5</v>
      </c>
      <c r="CG3" s="23">
        <f t="shared" ref="CG3:CG17" si="21">(CF3*70)/100</f>
        <v>830.55</v>
      </c>
      <c r="CH3" s="23">
        <v>679.30000000000018</v>
      </c>
      <c r="CI3" s="23">
        <f t="shared" ref="CI3:CI17" si="22">CG3-CH3</f>
        <v>151.24999999999977</v>
      </c>
      <c r="CJ3" s="25" t="s">
        <v>45</v>
      </c>
      <c r="CK3" s="24"/>
      <c r="CM3" s="23">
        <v>18</v>
      </c>
      <c r="CN3" s="23">
        <v>1186.5</v>
      </c>
      <c r="CO3" s="23">
        <f t="shared" ref="CO3:CO17" si="23">(CN3*70)/100</f>
        <v>830.55</v>
      </c>
      <c r="CP3" s="23">
        <v>712.80000000000018</v>
      </c>
      <c r="CQ3" s="23">
        <f t="shared" ref="CQ3:CQ17" si="24">CO3-CP3</f>
        <v>117.74999999999977</v>
      </c>
      <c r="CR3" s="25" t="s">
        <v>45</v>
      </c>
      <c r="CS3" s="24">
        <v>0.34722222222222221</v>
      </c>
      <c r="CU3" s="23">
        <v>18</v>
      </c>
      <c r="CV3" s="23">
        <v>1186.5</v>
      </c>
      <c r="CW3" s="23">
        <f t="shared" ref="CW3:CW17" si="25">(CV3*70)/100</f>
        <v>830.55</v>
      </c>
      <c r="CX3" s="23">
        <v>773.69999999999982</v>
      </c>
      <c r="CY3" s="23">
        <f t="shared" ref="CY3:CY17" si="26">CW3-CX3</f>
        <v>56.850000000000136</v>
      </c>
      <c r="CZ3" s="25" t="s">
        <v>45</v>
      </c>
      <c r="DA3" s="24"/>
    </row>
    <row r="4" spans="1:105" x14ac:dyDescent="0.25">
      <c r="A4" s="23">
        <v>19</v>
      </c>
      <c r="B4" s="23">
        <v>1277.9000000000001</v>
      </c>
      <c r="C4" s="23">
        <f t="shared" si="0"/>
        <v>894.53</v>
      </c>
      <c r="D4" s="23">
        <v>712</v>
      </c>
      <c r="E4" s="23">
        <f t="shared" si="1"/>
        <v>182.52999999999997</v>
      </c>
      <c r="F4" s="25" t="s">
        <v>46</v>
      </c>
      <c r="G4" s="24">
        <v>0.68055555555555558</v>
      </c>
      <c r="I4" s="12">
        <v>19</v>
      </c>
      <c r="J4" s="12">
        <v>1277.9000000000001</v>
      </c>
      <c r="K4" s="12">
        <f t="shared" si="2"/>
        <v>894.53</v>
      </c>
      <c r="L4" s="12">
        <v>1035.1999999999998</v>
      </c>
      <c r="M4" s="12">
        <f t="shared" si="3"/>
        <v>-140.66999999999985</v>
      </c>
      <c r="N4" s="22" t="s">
        <v>46</v>
      </c>
      <c r="O4" s="27">
        <v>0.64027777777777772</v>
      </c>
      <c r="Q4" s="23">
        <v>19</v>
      </c>
      <c r="R4" s="23">
        <v>1277.9000000000001</v>
      </c>
      <c r="S4" s="23">
        <f t="shared" si="4"/>
        <v>894.53</v>
      </c>
      <c r="T4" s="23"/>
      <c r="U4" s="23">
        <f t="shared" si="5"/>
        <v>894.53</v>
      </c>
      <c r="V4" s="23">
        <v>100</v>
      </c>
      <c r="W4" s="25" t="s">
        <v>46</v>
      </c>
      <c r="X4" s="24"/>
      <c r="Z4" s="12">
        <v>19</v>
      </c>
      <c r="AA4" s="12">
        <v>1277.9000000000001</v>
      </c>
      <c r="AB4" s="12">
        <f t="shared" si="6"/>
        <v>894.53</v>
      </c>
      <c r="AC4" s="12">
        <v>958.30000000000018</v>
      </c>
      <c r="AD4" s="12">
        <f t="shared" si="7"/>
        <v>-63.770000000000209</v>
      </c>
      <c r="AE4" s="22" t="s">
        <v>46</v>
      </c>
      <c r="AF4" s="27">
        <v>0.46736111111111112</v>
      </c>
      <c r="AH4" s="12">
        <v>19</v>
      </c>
      <c r="AI4" s="12">
        <v>1277.9000000000001</v>
      </c>
      <c r="AJ4" s="12">
        <f t="shared" si="8"/>
        <v>894.53</v>
      </c>
      <c r="AK4" s="12">
        <v>849.09999999999991</v>
      </c>
      <c r="AL4" s="12">
        <f t="shared" si="9"/>
        <v>45.430000000000064</v>
      </c>
      <c r="AM4" s="22" t="s">
        <v>46</v>
      </c>
      <c r="AN4" s="27"/>
      <c r="AP4" s="12">
        <v>19</v>
      </c>
      <c r="AQ4" s="12">
        <v>1277.9000000000001</v>
      </c>
      <c r="AR4" s="12">
        <f t="shared" si="10"/>
        <v>894.53</v>
      </c>
      <c r="AS4" s="12">
        <v>800.09999999999991</v>
      </c>
      <c r="AT4" s="12">
        <f t="shared" si="11"/>
        <v>94.430000000000064</v>
      </c>
      <c r="AU4" s="22" t="s">
        <v>46</v>
      </c>
      <c r="AV4" s="27"/>
      <c r="AX4" s="23">
        <v>19</v>
      </c>
      <c r="AY4" s="23">
        <v>1277.9000000000001</v>
      </c>
      <c r="AZ4" s="23">
        <f t="shared" si="12"/>
        <v>894.53</v>
      </c>
      <c r="BA4" s="23">
        <v>739.90000000000009</v>
      </c>
      <c r="BB4" s="23">
        <f t="shared" si="13"/>
        <v>154.62999999999988</v>
      </c>
      <c r="BC4" s="25" t="s">
        <v>46</v>
      </c>
      <c r="BD4" s="24"/>
      <c r="BF4" s="23">
        <v>19</v>
      </c>
      <c r="BG4" s="23">
        <v>1277.9000000000001</v>
      </c>
      <c r="BH4" s="23">
        <f t="shared" si="14"/>
        <v>894.53</v>
      </c>
      <c r="BI4" s="23">
        <v>824.80000000000018</v>
      </c>
      <c r="BJ4" s="23">
        <f t="shared" si="15"/>
        <v>69.729999999999791</v>
      </c>
      <c r="BK4" s="25" t="s">
        <v>46</v>
      </c>
      <c r="BL4" s="24"/>
      <c r="BN4" s="23">
        <v>19</v>
      </c>
      <c r="BO4" s="23">
        <v>1277.9000000000001</v>
      </c>
      <c r="BP4" s="23">
        <f t="shared" si="16"/>
        <v>894.53</v>
      </c>
      <c r="BQ4" s="23">
        <v>754.5</v>
      </c>
      <c r="BR4" s="23">
        <f t="shared" si="17"/>
        <v>140.02999999999997</v>
      </c>
      <c r="BS4" s="25" t="s">
        <v>46</v>
      </c>
      <c r="BT4" s="24"/>
      <c r="BV4" s="23">
        <v>19</v>
      </c>
      <c r="BW4" s="23">
        <v>1277.9000000000001</v>
      </c>
      <c r="BX4" s="23">
        <f t="shared" si="18"/>
        <v>894.53</v>
      </c>
      <c r="BY4" s="23">
        <v>803.90000000000009</v>
      </c>
      <c r="BZ4" s="23">
        <f t="shared" si="19"/>
        <v>90.629999999999882</v>
      </c>
      <c r="CA4" s="23">
        <f t="shared" si="20"/>
        <v>15.629999999999882</v>
      </c>
      <c r="CB4" s="25" t="s">
        <v>46</v>
      </c>
      <c r="CC4" s="24"/>
      <c r="CE4" s="23">
        <v>19</v>
      </c>
      <c r="CF4" s="23">
        <v>1277.9000000000001</v>
      </c>
      <c r="CG4" s="23">
        <f t="shared" si="21"/>
        <v>894.53</v>
      </c>
      <c r="CH4" s="23">
        <v>786.40000000000009</v>
      </c>
      <c r="CI4" s="23">
        <f t="shared" si="22"/>
        <v>108.12999999999988</v>
      </c>
      <c r="CJ4" s="25" t="s">
        <v>46</v>
      </c>
      <c r="CK4" s="24"/>
      <c r="CM4" s="23">
        <v>19</v>
      </c>
      <c r="CN4" s="23">
        <v>1277.9000000000001</v>
      </c>
      <c r="CO4" s="23">
        <f t="shared" si="23"/>
        <v>894.53</v>
      </c>
      <c r="CP4" s="23">
        <v>822.19999999999982</v>
      </c>
      <c r="CQ4" s="23">
        <f t="shared" si="24"/>
        <v>72.330000000000155</v>
      </c>
      <c r="CR4" s="25" t="s">
        <v>46</v>
      </c>
      <c r="CS4" s="24"/>
      <c r="CU4" s="23">
        <v>19</v>
      </c>
      <c r="CV4" s="23">
        <v>1277.9000000000001</v>
      </c>
      <c r="CW4" s="23">
        <f t="shared" si="25"/>
        <v>894.53</v>
      </c>
      <c r="CX4" s="23">
        <v>844.79999999999973</v>
      </c>
      <c r="CY4" s="23">
        <f t="shared" si="26"/>
        <v>49.730000000000246</v>
      </c>
      <c r="CZ4" s="25" t="s">
        <v>46</v>
      </c>
      <c r="DA4" s="24"/>
    </row>
    <row r="5" spans="1:105" x14ac:dyDescent="0.25">
      <c r="A5" s="23">
        <v>20</v>
      </c>
      <c r="B5" s="23">
        <v>1354.8</v>
      </c>
      <c r="C5" s="23">
        <f t="shared" si="0"/>
        <v>948.36</v>
      </c>
      <c r="D5" s="23">
        <v>900.10000000000014</v>
      </c>
      <c r="E5" s="23">
        <f t="shared" si="1"/>
        <v>48.259999999999877</v>
      </c>
      <c r="F5" s="25"/>
      <c r="G5" s="23"/>
      <c r="I5" s="23">
        <v>20</v>
      </c>
      <c r="J5" s="23">
        <v>1354.8</v>
      </c>
      <c r="K5" s="23">
        <f t="shared" si="2"/>
        <v>948.36</v>
      </c>
      <c r="L5" s="23">
        <v>782.7</v>
      </c>
      <c r="M5" s="23">
        <f t="shared" si="3"/>
        <v>165.65999999999997</v>
      </c>
      <c r="N5" s="25"/>
      <c r="O5" s="23"/>
      <c r="Q5" s="23">
        <v>20</v>
      </c>
      <c r="R5" s="23">
        <v>1354.8</v>
      </c>
      <c r="S5" s="23">
        <f t="shared" si="4"/>
        <v>948.36</v>
      </c>
      <c r="T5" s="23"/>
      <c r="U5" s="23">
        <f t="shared" si="5"/>
        <v>948.36</v>
      </c>
      <c r="V5" s="23">
        <v>100</v>
      </c>
      <c r="W5" s="25"/>
      <c r="X5" s="23"/>
      <c r="Z5" s="23">
        <v>20</v>
      </c>
      <c r="AA5" s="23">
        <v>1354.8</v>
      </c>
      <c r="AB5" s="23">
        <f t="shared" si="6"/>
        <v>948.36</v>
      </c>
      <c r="AC5" s="23">
        <v>816.3</v>
      </c>
      <c r="AD5" s="23">
        <f t="shared" si="7"/>
        <v>132.06000000000006</v>
      </c>
      <c r="AE5" s="25"/>
      <c r="AF5" s="23"/>
      <c r="AH5" s="23">
        <v>20</v>
      </c>
      <c r="AI5" s="23">
        <v>1354.8</v>
      </c>
      <c r="AJ5" s="23">
        <f t="shared" si="8"/>
        <v>948.36</v>
      </c>
      <c r="AK5" s="23">
        <v>783.49999999999977</v>
      </c>
      <c r="AL5" s="23">
        <f t="shared" si="9"/>
        <v>164.86000000000024</v>
      </c>
      <c r="AM5" s="25"/>
      <c r="AN5" s="23"/>
      <c r="AP5" s="12">
        <v>20</v>
      </c>
      <c r="AQ5" s="12">
        <v>1354.8</v>
      </c>
      <c r="AR5" s="12">
        <f t="shared" si="10"/>
        <v>948.36</v>
      </c>
      <c r="AS5" s="12">
        <v>863.49999999999977</v>
      </c>
      <c r="AT5" s="12">
        <f t="shared" si="11"/>
        <v>84.860000000000241</v>
      </c>
      <c r="AU5" s="22"/>
      <c r="AV5" s="12"/>
      <c r="AX5" s="23">
        <v>20</v>
      </c>
      <c r="AY5" s="23">
        <v>1354.8</v>
      </c>
      <c r="AZ5" s="23">
        <f t="shared" si="12"/>
        <v>948.36</v>
      </c>
      <c r="BA5" s="23">
        <v>765.60000000000014</v>
      </c>
      <c r="BB5" s="23">
        <f t="shared" si="13"/>
        <v>182.75999999999988</v>
      </c>
      <c r="BC5" s="25"/>
      <c r="BD5" s="23"/>
      <c r="BF5" s="23">
        <v>20</v>
      </c>
      <c r="BG5" s="23">
        <v>1354.8</v>
      </c>
      <c r="BH5" s="23">
        <f t="shared" si="14"/>
        <v>948.36</v>
      </c>
      <c r="BI5" s="23">
        <v>824.2</v>
      </c>
      <c r="BJ5" s="23">
        <f t="shared" si="15"/>
        <v>124.15999999999997</v>
      </c>
      <c r="BK5" s="25"/>
      <c r="BL5" s="23"/>
      <c r="BN5" s="23">
        <v>20</v>
      </c>
      <c r="BO5" s="23">
        <v>1354.8</v>
      </c>
      <c r="BP5" s="23">
        <f t="shared" si="16"/>
        <v>948.36</v>
      </c>
      <c r="BQ5" s="23">
        <v>715.7</v>
      </c>
      <c r="BR5" s="23">
        <f t="shared" si="17"/>
        <v>232.65999999999997</v>
      </c>
      <c r="BS5" s="25"/>
      <c r="BT5" s="23"/>
      <c r="BV5" s="23">
        <v>20</v>
      </c>
      <c r="BW5" s="23">
        <v>1354.8</v>
      </c>
      <c r="BX5" s="23">
        <f t="shared" si="18"/>
        <v>948.36</v>
      </c>
      <c r="BY5" s="23">
        <v>837.39999999999986</v>
      </c>
      <c r="BZ5" s="23">
        <f t="shared" si="19"/>
        <v>110.96000000000015</v>
      </c>
      <c r="CA5" s="23">
        <f t="shared" si="20"/>
        <v>35.96000000000015</v>
      </c>
      <c r="CB5" s="25"/>
      <c r="CC5" s="23"/>
      <c r="CE5" s="23">
        <v>20</v>
      </c>
      <c r="CF5" s="23">
        <v>1354.8</v>
      </c>
      <c r="CG5" s="23">
        <f t="shared" si="21"/>
        <v>948.36</v>
      </c>
      <c r="CH5" s="23">
        <v>788.60000000000014</v>
      </c>
      <c r="CI5" s="23">
        <f t="shared" si="22"/>
        <v>159.75999999999988</v>
      </c>
      <c r="CJ5" s="25"/>
      <c r="CK5" s="23"/>
      <c r="CM5" s="23">
        <v>20</v>
      </c>
      <c r="CN5" s="23">
        <v>1354.8</v>
      </c>
      <c r="CO5" s="23">
        <f t="shared" si="23"/>
        <v>948.36</v>
      </c>
      <c r="CP5" s="23">
        <v>834.89999999999986</v>
      </c>
      <c r="CQ5" s="23">
        <f t="shared" si="24"/>
        <v>113.46000000000015</v>
      </c>
      <c r="CR5" s="25"/>
      <c r="CS5" s="23"/>
      <c r="CU5" s="23">
        <v>20</v>
      </c>
      <c r="CV5" s="23">
        <v>1354.8</v>
      </c>
      <c r="CW5" s="23">
        <f t="shared" si="25"/>
        <v>948.36</v>
      </c>
      <c r="CX5" s="23">
        <v>878.99999999999977</v>
      </c>
      <c r="CY5" s="23">
        <f t="shared" si="26"/>
        <v>69.360000000000241</v>
      </c>
      <c r="CZ5" s="25"/>
      <c r="DA5" s="23"/>
    </row>
    <row r="6" spans="1:105" x14ac:dyDescent="0.25">
      <c r="A6" s="23">
        <v>21</v>
      </c>
      <c r="B6" s="23">
        <v>1207.6000000000001</v>
      </c>
      <c r="C6" s="23">
        <f t="shared" si="0"/>
        <v>845.32000000000016</v>
      </c>
      <c r="D6" s="23">
        <v>764.89999999999986</v>
      </c>
      <c r="E6" s="23">
        <f t="shared" si="1"/>
        <v>80.4200000000003</v>
      </c>
      <c r="F6" s="25"/>
      <c r="G6" s="23"/>
      <c r="I6" s="23">
        <v>21</v>
      </c>
      <c r="J6" s="23">
        <v>1207.6000000000001</v>
      </c>
      <c r="K6" s="23">
        <f t="shared" si="2"/>
        <v>845.32000000000016</v>
      </c>
      <c r="L6" s="23">
        <v>698.3</v>
      </c>
      <c r="M6" s="23">
        <f t="shared" si="3"/>
        <v>147.02000000000021</v>
      </c>
      <c r="N6" s="25"/>
      <c r="O6" s="23"/>
      <c r="Q6" s="23">
        <v>21</v>
      </c>
      <c r="R6" s="23">
        <v>1207.6000000000001</v>
      </c>
      <c r="S6" s="23">
        <f t="shared" si="4"/>
        <v>845.32000000000016</v>
      </c>
      <c r="T6" s="23"/>
      <c r="U6" s="23">
        <f t="shared" si="5"/>
        <v>845.32000000000016</v>
      </c>
      <c r="V6" s="23">
        <v>100</v>
      </c>
      <c r="W6" s="25"/>
      <c r="X6" s="23"/>
      <c r="Z6" s="12">
        <v>21</v>
      </c>
      <c r="AA6" s="12">
        <v>1207.6000000000001</v>
      </c>
      <c r="AB6" s="12">
        <f t="shared" si="6"/>
        <v>845.32000000000016</v>
      </c>
      <c r="AC6" s="12">
        <v>858.39999999999986</v>
      </c>
      <c r="AD6" s="12">
        <f t="shared" si="7"/>
        <v>-13.0799999999997</v>
      </c>
      <c r="AE6" s="22"/>
      <c r="AF6" s="12"/>
      <c r="AH6" s="23">
        <v>21</v>
      </c>
      <c r="AI6" s="23">
        <v>1207.6000000000001</v>
      </c>
      <c r="AJ6" s="23">
        <f t="shared" si="8"/>
        <v>845.32000000000016</v>
      </c>
      <c r="AK6" s="23">
        <v>729.8</v>
      </c>
      <c r="AL6" s="23">
        <f t="shared" si="9"/>
        <v>115.52000000000021</v>
      </c>
      <c r="AM6" s="25"/>
      <c r="AN6" s="23"/>
      <c r="AP6" s="12">
        <v>21</v>
      </c>
      <c r="AQ6" s="12">
        <v>1207.6000000000001</v>
      </c>
      <c r="AR6" s="12">
        <f t="shared" si="10"/>
        <v>845.32000000000016</v>
      </c>
      <c r="AS6" s="12">
        <v>777.00000000000023</v>
      </c>
      <c r="AT6" s="12">
        <f t="shared" si="11"/>
        <v>68.319999999999936</v>
      </c>
      <c r="AU6" s="22"/>
      <c r="AV6" s="12"/>
      <c r="AX6" s="23">
        <v>21</v>
      </c>
      <c r="AY6" s="23">
        <v>1207.6000000000001</v>
      </c>
      <c r="AZ6" s="23">
        <f t="shared" si="12"/>
        <v>845.32000000000016</v>
      </c>
      <c r="BA6" s="23">
        <v>676.10000000000014</v>
      </c>
      <c r="BB6" s="23">
        <f t="shared" si="13"/>
        <v>169.22000000000003</v>
      </c>
      <c r="BC6" s="25"/>
      <c r="BD6" s="23"/>
      <c r="BF6" s="23">
        <v>21</v>
      </c>
      <c r="BG6" s="23">
        <v>1207.6000000000001</v>
      </c>
      <c r="BH6" s="23">
        <f t="shared" si="14"/>
        <v>845.32000000000016</v>
      </c>
      <c r="BI6" s="23">
        <v>739.39999999999986</v>
      </c>
      <c r="BJ6" s="23">
        <f t="shared" si="15"/>
        <v>105.9200000000003</v>
      </c>
      <c r="BK6" s="25"/>
      <c r="BL6" s="23"/>
      <c r="BN6" s="23">
        <v>21</v>
      </c>
      <c r="BO6" s="23">
        <v>1207.6000000000001</v>
      </c>
      <c r="BP6" s="23">
        <f t="shared" si="16"/>
        <v>845.32000000000016</v>
      </c>
      <c r="BQ6" s="23">
        <v>633.70000000000005</v>
      </c>
      <c r="BR6" s="23">
        <f t="shared" si="17"/>
        <v>211.62000000000012</v>
      </c>
      <c r="BS6" s="25"/>
      <c r="BT6" s="23"/>
      <c r="BV6" s="23">
        <v>21</v>
      </c>
      <c r="BW6" s="23">
        <v>1207.6000000000001</v>
      </c>
      <c r="BX6" s="23">
        <f t="shared" si="18"/>
        <v>845.32000000000016</v>
      </c>
      <c r="BY6" s="23">
        <v>726.39999999999986</v>
      </c>
      <c r="BZ6" s="23">
        <f t="shared" si="19"/>
        <v>118.9200000000003</v>
      </c>
      <c r="CA6" s="23">
        <f t="shared" si="20"/>
        <v>43.9200000000003</v>
      </c>
      <c r="CB6" s="25"/>
      <c r="CC6" s="23"/>
      <c r="CE6" s="23">
        <v>21</v>
      </c>
      <c r="CF6" s="23">
        <v>1207.6000000000001</v>
      </c>
      <c r="CG6" s="23">
        <f t="shared" si="21"/>
        <v>845.32000000000016</v>
      </c>
      <c r="CH6" s="23">
        <v>699.50000000000023</v>
      </c>
      <c r="CI6" s="23">
        <f t="shared" si="22"/>
        <v>145.81999999999994</v>
      </c>
      <c r="CJ6" s="25"/>
      <c r="CK6" s="23"/>
      <c r="CM6" s="23">
        <v>21</v>
      </c>
      <c r="CN6" s="23">
        <v>1207.6000000000001</v>
      </c>
      <c r="CO6" s="23">
        <f t="shared" si="23"/>
        <v>845.32000000000016</v>
      </c>
      <c r="CP6" s="23">
        <v>726.7</v>
      </c>
      <c r="CQ6" s="23">
        <f t="shared" si="24"/>
        <v>118.62000000000012</v>
      </c>
      <c r="CR6" s="25"/>
      <c r="CS6" s="23"/>
      <c r="CU6" s="23">
        <v>21</v>
      </c>
      <c r="CV6" s="23">
        <v>1207.6000000000001</v>
      </c>
      <c r="CW6" s="23">
        <f t="shared" si="25"/>
        <v>845.32000000000016</v>
      </c>
      <c r="CX6" s="23">
        <v>769.39999999999986</v>
      </c>
      <c r="CY6" s="23">
        <f t="shared" si="26"/>
        <v>75.9200000000003</v>
      </c>
      <c r="CZ6" s="25"/>
      <c r="DA6" s="23"/>
    </row>
    <row r="7" spans="1:105" x14ac:dyDescent="0.25">
      <c r="A7" s="12">
        <v>22</v>
      </c>
      <c r="B7" s="12">
        <v>1266.1000000000001</v>
      </c>
      <c r="C7" s="12">
        <f t="shared" si="0"/>
        <v>886.2700000000001</v>
      </c>
      <c r="D7" s="12">
        <v>919.10000000000014</v>
      </c>
      <c r="E7" s="12">
        <f t="shared" si="1"/>
        <v>-32.830000000000041</v>
      </c>
      <c r="F7" s="22"/>
      <c r="G7" s="12"/>
      <c r="I7" s="23">
        <v>22</v>
      </c>
      <c r="J7" s="23">
        <v>1266.1000000000001</v>
      </c>
      <c r="K7" s="23">
        <f t="shared" si="2"/>
        <v>886.2700000000001</v>
      </c>
      <c r="L7" s="23">
        <v>770.3</v>
      </c>
      <c r="M7" s="23">
        <f t="shared" si="3"/>
        <v>115.97000000000014</v>
      </c>
      <c r="N7" s="25"/>
      <c r="O7" s="23"/>
      <c r="Q7" s="23">
        <v>22</v>
      </c>
      <c r="R7" s="23">
        <v>1266.1000000000001</v>
      </c>
      <c r="S7" s="23">
        <f t="shared" si="4"/>
        <v>886.2700000000001</v>
      </c>
      <c r="T7" s="23"/>
      <c r="U7" s="23">
        <f t="shared" si="5"/>
        <v>886.2700000000001</v>
      </c>
      <c r="V7" s="23">
        <v>100</v>
      </c>
      <c r="W7" s="25"/>
      <c r="X7" s="23"/>
      <c r="Z7" s="23">
        <v>22</v>
      </c>
      <c r="AA7" s="23">
        <v>1266.1000000000001</v>
      </c>
      <c r="AB7" s="23">
        <f t="shared" si="6"/>
        <v>886.2700000000001</v>
      </c>
      <c r="AC7" s="23">
        <v>807.10000000000014</v>
      </c>
      <c r="AD7" s="23">
        <f t="shared" si="7"/>
        <v>79.169999999999959</v>
      </c>
      <c r="AE7" s="25"/>
      <c r="AF7" s="23"/>
      <c r="AH7" s="23">
        <v>22</v>
      </c>
      <c r="AI7" s="23">
        <v>1266.1000000000001</v>
      </c>
      <c r="AJ7" s="23">
        <f t="shared" si="8"/>
        <v>886.2700000000001</v>
      </c>
      <c r="AK7" s="23">
        <v>764.7</v>
      </c>
      <c r="AL7" s="23">
        <f t="shared" si="9"/>
        <v>121.57000000000005</v>
      </c>
      <c r="AM7" s="25"/>
      <c r="AN7" s="23"/>
      <c r="AP7" s="12">
        <v>22</v>
      </c>
      <c r="AQ7" s="12">
        <v>1266.1000000000001</v>
      </c>
      <c r="AR7" s="12">
        <f t="shared" si="10"/>
        <v>886.2700000000001</v>
      </c>
      <c r="AS7" s="12">
        <v>822.00000000000023</v>
      </c>
      <c r="AT7" s="12">
        <f t="shared" si="11"/>
        <v>64.269999999999868</v>
      </c>
      <c r="AU7" s="22"/>
      <c r="AV7" s="12"/>
      <c r="AX7" s="23">
        <v>22</v>
      </c>
      <c r="AY7" s="23">
        <v>1266.1000000000001</v>
      </c>
      <c r="AZ7" s="23">
        <f t="shared" si="12"/>
        <v>886.2700000000001</v>
      </c>
      <c r="BA7" s="23">
        <v>739.10000000000014</v>
      </c>
      <c r="BB7" s="23">
        <f t="shared" si="13"/>
        <v>147.16999999999996</v>
      </c>
      <c r="BC7" s="25"/>
      <c r="BD7" s="23"/>
      <c r="BF7" s="23">
        <v>22</v>
      </c>
      <c r="BG7" s="23">
        <v>1266.1000000000001</v>
      </c>
      <c r="BH7" s="23">
        <f t="shared" si="14"/>
        <v>886.2700000000001</v>
      </c>
      <c r="BI7" s="23">
        <v>784.60000000000014</v>
      </c>
      <c r="BJ7" s="23">
        <f t="shared" si="15"/>
        <v>101.66999999999996</v>
      </c>
      <c r="BK7" s="25"/>
      <c r="BL7" s="23"/>
      <c r="BN7" s="23">
        <v>22</v>
      </c>
      <c r="BO7" s="23">
        <v>1266.1000000000001</v>
      </c>
      <c r="BP7" s="23">
        <f t="shared" si="16"/>
        <v>886.2700000000001</v>
      </c>
      <c r="BQ7" s="23">
        <v>695.8</v>
      </c>
      <c r="BR7" s="23">
        <f t="shared" si="17"/>
        <v>190.47000000000014</v>
      </c>
      <c r="BS7" s="25"/>
      <c r="BT7" s="23"/>
      <c r="BV7" s="23">
        <v>22</v>
      </c>
      <c r="BW7" s="23">
        <v>1266.1000000000001</v>
      </c>
      <c r="BX7" s="23">
        <f t="shared" si="18"/>
        <v>886.2700000000001</v>
      </c>
      <c r="BY7" s="23">
        <v>761.2</v>
      </c>
      <c r="BZ7" s="23">
        <f t="shared" si="19"/>
        <v>125.07000000000005</v>
      </c>
      <c r="CA7" s="23">
        <f t="shared" si="20"/>
        <v>50.07000000000005</v>
      </c>
      <c r="CB7" s="25"/>
      <c r="CC7" s="23"/>
      <c r="CE7" s="23">
        <v>22</v>
      </c>
      <c r="CF7" s="23">
        <v>1266.1000000000001</v>
      </c>
      <c r="CG7" s="23">
        <f t="shared" si="21"/>
        <v>886.2700000000001</v>
      </c>
      <c r="CH7" s="23">
        <v>742.10000000000014</v>
      </c>
      <c r="CI7" s="23">
        <f t="shared" si="22"/>
        <v>144.16999999999996</v>
      </c>
      <c r="CJ7" s="25"/>
      <c r="CK7" s="23"/>
      <c r="CM7" s="23">
        <v>22</v>
      </c>
      <c r="CN7" s="23">
        <v>1266.1000000000001</v>
      </c>
      <c r="CO7" s="23">
        <f t="shared" si="23"/>
        <v>886.2700000000001</v>
      </c>
      <c r="CP7" s="23">
        <v>778.3</v>
      </c>
      <c r="CQ7" s="23">
        <f t="shared" si="24"/>
        <v>107.97000000000014</v>
      </c>
      <c r="CR7" s="25"/>
      <c r="CS7" s="23"/>
      <c r="CU7" s="23">
        <v>22</v>
      </c>
      <c r="CV7" s="23">
        <v>1266.1000000000001</v>
      </c>
      <c r="CW7" s="23">
        <f t="shared" si="25"/>
        <v>886.2700000000001</v>
      </c>
      <c r="CX7" s="23">
        <v>820.3</v>
      </c>
      <c r="CY7" s="23">
        <f t="shared" si="26"/>
        <v>65.970000000000141</v>
      </c>
      <c r="CZ7" s="25"/>
      <c r="DA7" s="23"/>
    </row>
    <row r="8" spans="1:105" x14ac:dyDescent="0.25">
      <c r="A8" s="23">
        <v>23</v>
      </c>
      <c r="B8" s="23">
        <v>1351</v>
      </c>
      <c r="C8" s="23">
        <f t="shared" si="0"/>
        <v>945.7</v>
      </c>
      <c r="D8" s="23">
        <v>749.90000000000009</v>
      </c>
      <c r="E8" s="23">
        <f t="shared" si="1"/>
        <v>195.79999999999995</v>
      </c>
      <c r="F8" s="25"/>
      <c r="G8" s="23"/>
      <c r="I8" s="23">
        <v>23</v>
      </c>
      <c r="J8" s="23">
        <v>1351</v>
      </c>
      <c r="K8" s="23">
        <f t="shared" si="2"/>
        <v>945.7</v>
      </c>
      <c r="L8" s="23">
        <v>724.69999999999982</v>
      </c>
      <c r="M8" s="23">
        <f t="shared" si="3"/>
        <v>221.00000000000023</v>
      </c>
      <c r="N8" s="25"/>
      <c r="O8" s="23"/>
      <c r="Q8" s="23">
        <v>23</v>
      </c>
      <c r="R8" s="23">
        <v>1351</v>
      </c>
      <c r="S8" s="23">
        <f t="shared" si="4"/>
        <v>945.7</v>
      </c>
      <c r="T8" s="23"/>
      <c r="U8" s="23">
        <f t="shared" si="5"/>
        <v>945.7</v>
      </c>
      <c r="V8" s="23">
        <v>100</v>
      </c>
      <c r="W8" s="25"/>
      <c r="X8" s="23"/>
      <c r="Z8" s="23">
        <v>23</v>
      </c>
      <c r="AA8" s="23">
        <v>1351</v>
      </c>
      <c r="AB8" s="23">
        <f t="shared" si="6"/>
        <v>945.7</v>
      </c>
      <c r="AC8" s="23">
        <v>751.80000000000018</v>
      </c>
      <c r="AD8" s="23">
        <f t="shared" si="7"/>
        <v>193.89999999999986</v>
      </c>
      <c r="AE8" s="25"/>
      <c r="AF8" s="23"/>
      <c r="AH8" s="23">
        <v>23</v>
      </c>
      <c r="AI8" s="23">
        <v>1351</v>
      </c>
      <c r="AJ8" s="23">
        <f t="shared" si="8"/>
        <v>945.7</v>
      </c>
      <c r="AK8" s="23">
        <v>728.5</v>
      </c>
      <c r="AL8" s="23">
        <f t="shared" si="9"/>
        <v>217.20000000000005</v>
      </c>
      <c r="AM8" s="25"/>
      <c r="AN8" s="23"/>
      <c r="AP8" s="12">
        <v>23</v>
      </c>
      <c r="AQ8" s="12">
        <v>1351</v>
      </c>
      <c r="AR8" s="12">
        <f t="shared" si="10"/>
        <v>945.7</v>
      </c>
      <c r="AS8" s="12">
        <v>833.90000000000009</v>
      </c>
      <c r="AT8" s="12">
        <f t="shared" si="11"/>
        <v>111.79999999999995</v>
      </c>
      <c r="AU8" s="22"/>
      <c r="AV8" s="12"/>
      <c r="AX8" s="23">
        <v>23</v>
      </c>
      <c r="AY8" s="23">
        <v>1351</v>
      </c>
      <c r="AZ8" s="23">
        <f t="shared" si="12"/>
        <v>945.7</v>
      </c>
      <c r="BA8" s="23">
        <v>709.80000000000018</v>
      </c>
      <c r="BB8" s="23">
        <f t="shared" si="13"/>
        <v>235.89999999999986</v>
      </c>
      <c r="BC8" s="25"/>
      <c r="BD8" s="23"/>
      <c r="BF8" s="23">
        <v>23</v>
      </c>
      <c r="BG8" s="23">
        <v>1351</v>
      </c>
      <c r="BH8" s="23">
        <f t="shared" si="14"/>
        <v>945.7</v>
      </c>
      <c r="BI8" s="23">
        <v>755.40000000000009</v>
      </c>
      <c r="BJ8" s="23">
        <f t="shared" si="15"/>
        <v>190.29999999999995</v>
      </c>
      <c r="BK8" s="25"/>
      <c r="BL8" s="23"/>
      <c r="BN8" s="23">
        <v>23</v>
      </c>
      <c r="BO8" s="23">
        <v>1351</v>
      </c>
      <c r="BP8" s="23">
        <f t="shared" si="16"/>
        <v>945.7</v>
      </c>
      <c r="BQ8" s="23">
        <v>659.59999999999991</v>
      </c>
      <c r="BR8" s="23">
        <f t="shared" si="17"/>
        <v>286.10000000000014</v>
      </c>
      <c r="BS8" s="25"/>
      <c r="BT8" s="23"/>
      <c r="BV8" s="23">
        <v>23</v>
      </c>
      <c r="BW8" s="23">
        <v>1351</v>
      </c>
      <c r="BX8" s="23">
        <f t="shared" si="18"/>
        <v>945.7</v>
      </c>
      <c r="BY8" s="23">
        <v>814.69999999999982</v>
      </c>
      <c r="BZ8" s="23">
        <f t="shared" si="19"/>
        <v>131.00000000000023</v>
      </c>
      <c r="CA8" s="23">
        <f t="shared" si="20"/>
        <v>56.000000000000227</v>
      </c>
      <c r="CB8" s="25"/>
      <c r="CC8" s="23"/>
      <c r="CE8" s="23">
        <v>23</v>
      </c>
      <c r="CF8" s="23">
        <v>1351</v>
      </c>
      <c r="CG8" s="23">
        <f t="shared" si="21"/>
        <v>945.7</v>
      </c>
      <c r="CH8" s="23">
        <v>736.30000000000018</v>
      </c>
      <c r="CI8" s="23">
        <f t="shared" si="22"/>
        <v>209.39999999999986</v>
      </c>
      <c r="CJ8" s="25"/>
      <c r="CK8" s="23"/>
      <c r="CM8" s="23">
        <v>23</v>
      </c>
      <c r="CN8" s="23">
        <v>1351</v>
      </c>
      <c r="CO8" s="23">
        <f t="shared" si="23"/>
        <v>945.7</v>
      </c>
      <c r="CP8" s="23">
        <v>791.90000000000009</v>
      </c>
      <c r="CQ8" s="23">
        <f t="shared" si="24"/>
        <v>153.79999999999995</v>
      </c>
      <c r="CR8" s="25"/>
      <c r="CS8" s="23"/>
      <c r="CU8" s="23">
        <v>23</v>
      </c>
      <c r="CV8" s="23">
        <v>1351</v>
      </c>
      <c r="CW8" s="23">
        <f t="shared" si="25"/>
        <v>945.7</v>
      </c>
      <c r="CX8" s="23">
        <v>845.79999999999973</v>
      </c>
      <c r="CY8" s="23">
        <f t="shared" si="26"/>
        <v>99.900000000000318</v>
      </c>
      <c r="CZ8" s="25"/>
      <c r="DA8" s="23"/>
    </row>
    <row r="9" spans="1:105" x14ac:dyDescent="0.25">
      <c r="A9" s="23">
        <v>24</v>
      </c>
      <c r="B9" s="23">
        <v>1245.0999999999999</v>
      </c>
      <c r="C9" s="23">
        <f t="shared" si="0"/>
        <v>871.57</v>
      </c>
      <c r="D9" s="23">
        <v>717.40000000000009</v>
      </c>
      <c r="E9" s="23">
        <f t="shared" si="1"/>
        <v>154.16999999999996</v>
      </c>
      <c r="F9" s="24"/>
      <c r="G9" s="23"/>
      <c r="I9" s="23">
        <v>24</v>
      </c>
      <c r="J9" s="23">
        <v>1245.0999999999999</v>
      </c>
      <c r="K9" s="23">
        <f t="shared" si="2"/>
        <v>871.57</v>
      </c>
      <c r="L9" s="23">
        <v>677.29999999999973</v>
      </c>
      <c r="M9" s="23">
        <f t="shared" si="3"/>
        <v>194.27000000000032</v>
      </c>
      <c r="N9" s="24"/>
      <c r="O9" s="23"/>
      <c r="Q9" s="23">
        <v>24</v>
      </c>
      <c r="R9" s="23">
        <v>1245.0999999999999</v>
      </c>
      <c r="S9" s="23">
        <f t="shared" si="4"/>
        <v>871.57</v>
      </c>
      <c r="T9" s="23"/>
      <c r="U9" s="23">
        <f t="shared" si="5"/>
        <v>871.57</v>
      </c>
      <c r="V9" s="23">
        <v>100</v>
      </c>
      <c r="W9" s="24"/>
      <c r="X9" s="23"/>
      <c r="Z9" s="23">
        <v>24</v>
      </c>
      <c r="AA9" s="23">
        <v>1245.0999999999999</v>
      </c>
      <c r="AB9" s="23">
        <f t="shared" si="6"/>
        <v>871.57</v>
      </c>
      <c r="AC9" s="23">
        <v>707.79999999999973</v>
      </c>
      <c r="AD9" s="23">
        <f t="shared" si="7"/>
        <v>163.77000000000032</v>
      </c>
      <c r="AE9" s="24"/>
      <c r="AF9" s="23"/>
      <c r="AH9" s="23">
        <v>24</v>
      </c>
      <c r="AI9" s="23">
        <v>1245.0999999999999</v>
      </c>
      <c r="AJ9" s="23">
        <f t="shared" si="8"/>
        <v>871.57</v>
      </c>
      <c r="AK9" s="23">
        <v>688.09999999999991</v>
      </c>
      <c r="AL9" s="23">
        <f t="shared" si="9"/>
        <v>183.47000000000014</v>
      </c>
      <c r="AM9" s="24"/>
      <c r="AN9" s="23"/>
      <c r="AP9" s="12">
        <v>24</v>
      </c>
      <c r="AQ9" s="12">
        <v>1245.0999999999999</v>
      </c>
      <c r="AR9" s="12">
        <f t="shared" si="10"/>
        <v>871.57</v>
      </c>
      <c r="AS9" s="12">
        <v>773.19999999999982</v>
      </c>
      <c r="AT9" s="12">
        <f t="shared" si="11"/>
        <v>98.370000000000232</v>
      </c>
      <c r="AU9" s="27"/>
      <c r="AV9" s="12"/>
      <c r="AX9" s="23">
        <v>24</v>
      </c>
      <c r="AY9" s="23">
        <v>1245.0999999999999</v>
      </c>
      <c r="AZ9" s="23">
        <f t="shared" si="12"/>
        <v>871.57</v>
      </c>
      <c r="BA9" s="23">
        <v>652.29999999999973</v>
      </c>
      <c r="BB9" s="23">
        <f t="shared" si="13"/>
        <v>219.27000000000032</v>
      </c>
      <c r="BC9" s="24"/>
      <c r="BD9" s="23"/>
      <c r="BF9" s="23">
        <v>24</v>
      </c>
      <c r="BG9" s="23">
        <v>1245.0999999999999</v>
      </c>
      <c r="BH9" s="23">
        <f t="shared" si="14"/>
        <v>871.57</v>
      </c>
      <c r="BI9" s="23">
        <v>705.59999999999991</v>
      </c>
      <c r="BJ9" s="23">
        <f t="shared" si="15"/>
        <v>165.97000000000014</v>
      </c>
      <c r="BK9" s="24"/>
      <c r="BL9" s="23"/>
      <c r="BN9" s="23">
        <v>24</v>
      </c>
      <c r="BO9" s="23">
        <v>1245.0999999999999</v>
      </c>
      <c r="BP9" s="23">
        <f t="shared" si="16"/>
        <v>871.57</v>
      </c>
      <c r="BQ9" s="23">
        <v>604</v>
      </c>
      <c r="BR9" s="23">
        <f t="shared" si="17"/>
        <v>267.57000000000005</v>
      </c>
      <c r="BS9" s="24"/>
      <c r="BT9" s="23"/>
      <c r="BV9" s="23">
        <v>24</v>
      </c>
      <c r="BW9" s="23">
        <v>1245.0999999999999</v>
      </c>
      <c r="BX9" s="23">
        <f t="shared" si="18"/>
        <v>871.57</v>
      </c>
      <c r="BY9" s="23">
        <v>759.79999999999973</v>
      </c>
      <c r="BZ9" s="23">
        <f t="shared" si="19"/>
        <v>111.77000000000032</v>
      </c>
      <c r="CA9" s="23">
        <f t="shared" si="20"/>
        <v>36.770000000000323</v>
      </c>
      <c r="CB9" s="24"/>
      <c r="CC9" s="23"/>
      <c r="CE9" s="23">
        <v>24</v>
      </c>
      <c r="CF9" s="23">
        <v>1245.0999999999999</v>
      </c>
      <c r="CG9" s="23">
        <f t="shared" si="21"/>
        <v>871.57</v>
      </c>
      <c r="CH9" s="23">
        <v>699.92999999999984</v>
      </c>
      <c r="CI9" s="23">
        <f t="shared" si="22"/>
        <v>171.64000000000021</v>
      </c>
      <c r="CJ9" s="24"/>
      <c r="CK9" s="23"/>
      <c r="CM9" s="23">
        <v>24</v>
      </c>
      <c r="CN9" s="23">
        <v>1245.0999999999999</v>
      </c>
      <c r="CO9" s="23">
        <f t="shared" si="23"/>
        <v>871.57</v>
      </c>
      <c r="CP9" s="23">
        <v>740.09999999999991</v>
      </c>
      <c r="CQ9" s="23">
        <f t="shared" si="24"/>
        <v>131.47000000000014</v>
      </c>
      <c r="CR9" s="24"/>
      <c r="CS9" s="23"/>
      <c r="CU9" s="23">
        <v>24</v>
      </c>
      <c r="CV9" s="23">
        <v>1245.0999999999999</v>
      </c>
      <c r="CW9" s="23">
        <f t="shared" si="25"/>
        <v>871.57</v>
      </c>
      <c r="CX9" s="23">
        <v>801.69999999999982</v>
      </c>
      <c r="CY9" s="23">
        <f t="shared" si="26"/>
        <v>69.870000000000232</v>
      </c>
      <c r="CZ9" s="24"/>
      <c r="DA9" s="23"/>
    </row>
    <row r="10" spans="1:105" x14ac:dyDescent="0.25">
      <c r="A10" s="23">
        <v>25</v>
      </c>
      <c r="B10" s="23">
        <v>1253.5999999999999</v>
      </c>
      <c r="C10" s="23">
        <f t="shared" si="0"/>
        <v>877.52</v>
      </c>
      <c r="D10" s="23">
        <v>798.90000000000009</v>
      </c>
      <c r="E10" s="23">
        <f t="shared" si="1"/>
        <v>78.619999999999891</v>
      </c>
      <c r="F10" s="25"/>
      <c r="G10" s="23"/>
      <c r="I10" s="23">
        <v>25</v>
      </c>
      <c r="J10" s="23">
        <v>1253.5999999999999</v>
      </c>
      <c r="K10" s="23">
        <f t="shared" si="2"/>
        <v>877.52</v>
      </c>
      <c r="L10" s="23">
        <v>686.69999999999982</v>
      </c>
      <c r="M10" s="23">
        <f t="shared" si="3"/>
        <v>190.82000000000016</v>
      </c>
      <c r="N10" s="25"/>
      <c r="O10" s="23"/>
      <c r="Q10" s="23">
        <v>25</v>
      </c>
      <c r="R10" s="23">
        <v>1253.5999999999999</v>
      </c>
      <c r="S10" s="23">
        <f t="shared" si="4"/>
        <v>877.52</v>
      </c>
      <c r="T10" s="23"/>
      <c r="U10" s="23">
        <f t="shared" si="5"/>
        <v>877.52</v>
      </c>
      <c r="V10" s="23">
        <v>100</v>
      </c>
      <c r="W10" s="25"/>
      <c r="X10" s="23"/>
      <c r="Z10" s="23">
        <v>25</v>
      </c>
      <c r="AA10" s="23">
        <v>1253.5999999999999</v>
      </c>
      <c r="AB10" s="23">
        <f t="shared" si="6"/>
        <v>877.52</v>
      </c>
      <c r="AC10" s="23">
        <v>710</v>
      </c>
      <c r="AD10" s="23">
        <f t="shared" si="7"/>
        <v>167.51999999999998</v>
      </c>
      <c r="AE10" s="25"/>
      <c r="AF10" s="23"/>
      <c r="AH10" s="23">
        <v>25</v>
      </c>
      <c r="AI10" s="23">
        <v>1253.5999999999999</v>
      </c>
      <c r="AJ10" s="23">
        <f t="shared" si="8"/>
        <v>877.52</v>
      </c>
      <c r="AK10" s="23">
        <v>690.19999999999982</v>
      </c>
      <c r="AL10" s="23">
        <f t="shared" si="9"/>
        <v>187.32000000000016</v>
      </c>
      <c r="AM10" s="25"/>
      <c r="AN10" s="23"/>
      <c r="AP10" s="12">
        <v>25</v>
      </c>
      <c r="AQ10" s="12">
        <v>1253.5999999999999</v>
      </c>
      <c r="AR10" s="12">
        <f t="shared" si="10"/>
        <v>877.52</v>
      </c>
      <c r="AS10" s="12">
        <v>775.29999999999973</v>
      </c>
      <c r="AT10" s="12">
        <f t="shared" si="11"/>
        <v>102.22000000000025</v>
      </c>
      <c r="AU10" s="22"/>
      <c r="AV10" s="12"/>
      <c r="AX10" s="23">
        <v>25</v>
      </c>
      <c r="AY10" s="23">
        <v>1253.5999999999999</v>
      </c>
      <c r="AZ10" s="23">
        <f t="shared" si="12"/>
        <v>877.52</v>
      </c>
      <c r="BA10" s="23">
        <v>641.19999999999982</v>
      </c>
      <c r="BB10" s="23">
        <f t="shared" si="13"/>
        <v>236.32000000000016</v>
      </c>
      <c r="BC10" s="25"/>
      <c r="BD10" s="23"/>
      <c r="BF10" s="23">
        <v>25</v>
      </c>
      <c r="BG10" s="23">
        <v>1253.5999999999999</v>
      </c>
      <c r="BH10" s="23">
        <f t="shared" si="14"/>
        <v>877.52</v>
      </c>
      <c r="BI10" s="23">
        <v>694.29999999999973</v>
      </c>
      <c r="BJ10" s="23">
        <f t="shared" si="15"/>
        <v>183.22000000000025</v>
      </c>
      <c r="BK10" s="25"/>
      <c r="BL10" s="23"/>
      <c r="BN10" s="23">
        <v>25</v>
      </c>
      <c r="BO10" s="23">
        <v>1253.5999999999999</v>
      </c>
      <c r="BP10" s="23">
        <f t="shared" si="16"/>
        <v>877.52</v>
      </c>
      <c r="BQ10" s="23">
        <v>601.90000000000009</v>
      </c>
      <c r="BR10" s="23">
        <f t="shared" si="17"/>
        <v>275.61999999999989</v>
      </c>
      <c r="BS10" s="25"/>
      <c r="BT10" s="23"/>
      <c r="BV10" s="23">
        <v>25</v>
      </c>
      <c r="BW10" s="23">
        <v>1253.5999999999999</v>
      </c>
      <c r="BX10" s="23">
        <f t="shared" si="18"/>
        <v>877.52</v>
      </c>
      <c r="BY10" s="23">
        <v>758</v>
      </c>
      <c r="BZ10" s="23">
        <f t="shared" si="19"/>
        <v>119.51999999999998</v>
      </c>
      <c r="CA10" s="23">
        <f t="shared" si="20"/>
        <v>44.519999999999982</v>
      </c>
      <c r="CB10" s="25"/>
      <c r="CC10" s="23"/>
      <c r="CE10" s="23">
        <v>25</v>
      </c>
      <c r="CF10" s="23">
        <v>1253.5999999999999</v>
      </c>
      <c r="CG10" s="23">
        <f t="shared" si="21"/>
        <v>877.52</v>
      </c>
      <c r="CH10" s="23">
        <v>714.79999999999973</v>
      </c>
      <c r="CI10" s="23">
        <f t="shared" si="22"/>
        <v>162.72000000000025</v>
      </c>
      <c r="CJ10" s="25"/>
      <c r="CK10" s="23"/>
      <c r="CM10" s="23">
        <v>25</v>
      </c>
      <c r="CN10" s="23">
        <v>1253.5999999999999</v>
      </c>
      <c r="CO10" s="23">
        <f t="shared" si="23"/>
        <v>877.52</v>
      </c>
      <c r="CP10" s="23">
        <v>753.90000000000009</v>
      </c>
      <c r="CQ10" s="23">
        <f t="shared" si="24"/>
        <v>123.61999999999989</v>
      </c>
      <c r="CR10" s="25"/>
      <c r="CS10" s="23"/>
      <c r="CU10" s="23">
        <v>25</v>
      </c>
      <c r="CV10" s="23">
        <v>1253.5999999999999</v>
      </c>
      <c r="CW10" s="23">
        <f t="shared" si="25"/>
        <v>877.52</v>
      </c>
      <c r="CX10" s="23">
        <v>808.29999999999973</v>
      </c>
      <c r="CY10" s="23">
        <f t="shared" si="26"/>
        <v>69.220000000000255</v>
      </c>
      <c r="CZ10" s="25"/>
      <c r="DA10" s="23"/>
    </row>
    <row r="11" spans="1:105" x14ac:dyDescent="0.25">
      <c r="A11" s="23">
        <v>26</v>
      </c>
      <c r="B11" s="23">
        <v>1216</v>
      </c>
      <c r="C11" s="23">
        <f t="shared" si="0"/>
        <v>851.2</v>
      </c>
      <c r="D11" s="23">
        <v>807.19999999999982</v>
      </c>
      <c r="E11" s="23">
        <f t="shared" si="1"/>
        <v>44.000000000000227</v>
      </c>
      <c r="F11" s="25"/>
      <c r="G11" s="23"/>
      <c r="I11" s="23">
        <v>26</v>
      </c>
      <c r="J11" s="23">
        <v>1216</v>
      </c>
      <c r="K11" s="23">
        <f t="shared" si="2"/>
        <v>851.2</v>
      </c>
      <c r="L11" s="23">
        <v>721.30000000000018</v>
      </c>
      <c r="M11" s="23">
        <f t="shared" si="3"/>
        <v>129.89999999999986</v>
      </c>
      <c r="N11" s="25"/>
      <c r="O11" s="23"/>
      <c r="Q11" s="23">
        <v>26</v>
      </c>
      <c r="R11" s="23">
        <v>1216</v>
      </c>
      <c r="S11" s="23">
        <f t="shared" si="4"/>
        <v>851.2</v>
      </c>
      <c r="T11" s="23"/>
      <c r="U11" s="23">
        <f t="shared" si="5"/>
        <v>851.2</v>
      </c>
      <c r="V11" s="23">
        <v>100</v>
      </c>
      <c r="W11" s="25"/>
      <c r="X11" s="23"/>
      <c r="Z11" s="23">
        <v>26</v>
      </c>
      <c r="AA11" s="23">
        <v>1216</v>
      </c>
      <c r="AB11" s="23">
        <f t="shared" si="6"/>
        <v>851.2</v>
      </c>
      <c r="AC11" s="23">
        <v>772.40000000000009</v>
      </c>
      <c r="AD11" s="23">
        <f t="shared" si="7"/>
        <v>78.799999999999955</v>
      </c>
      <c r="AE11" s="25"/>
      <c r="AF11" s="23"/>
      <c r="AH11" s="23">
        <v>26</v>
      </c>
      <c r="AI11" s="23">
        <v>1216</v>
      </c>
      <c r="AJ11" s="23">
        <f t="shared" si="8"/>
        <v>851.2</v>
      </c>
      <c r="AK11" s="23">
        <v>727.69999999999982</v>
      </c>
      <c r="AL11" s="23">
        <f t="shared" si="9"/>
        <v>123.50000000000023</v>
      </c>
      <c r="AM11" s="25"/>
      <c r="AN11" s="23"/>
      <c r="AP11" s="23">
        <v>26</v>
      </c>
      <c r="AQ11" s="23">
        <v>1216</v>
      </c>
      <c r="AR11" s="23">
        <f t="shared" si="10"/>
        <v>851.2</v>
      </c>
      <c r="AS11" s="23">
        <v>669.30000000000018</v>
      </c>
      <c r="AT11" s="23">
        <f t="shared" si="11"/>
        <v>181.89999999999986</v>
      </c>
      <c r="AU11" s="25"/>
      <c r="AV11" s="23"/>
      <c r="AX11" s="23">
        <v>26</v>
      </c>
      <c r="AY11" s="23">
        <v>1216</v>
      </c>
      <c r="AZ11" s="23">
        <f t="shared" si="12"/>
        <v>851.2</v>
      </c>
      <c r="BA11" s="23">
        <v>743.40000000000009</v>
      </c>
      <c r="BB11" s="23">
        <f t="shared" si="13"/>
        <v>107.79999999999995</v>
      </c>
      <c r="BC11" s="25"/>
      <c r="BD11" s="23"/>
      <c r="BF11" s="23">
        <v>26</v>
      </c>
      <c r="BG11" s="23">
        <v>1216</v>
      </c>
      <c r="BH11" s="23">
        <f t="shared" si="14"/>
        <v>851.2</v>
      </c>
      <c r="BI11" s="23">
        <v>735.19999999999982</v>
      </c>
      <c r="BJ11" s="23">
        <f t="shared" si="15"/>
        <v>116.00000000000023</v>
      </c>
      <c r="BK11" s="25"/>
      <c r="BL11" s="23"/>
      <c r="BN11" s="23">
        <v>26</v>
      </c>
      <c r="BO11" s="23">
        <v>1216</v>
      </c>
      <c r="BP11" s="23">
        <f t="shared" si="16"/>
        <v>851.2</v>
      </c>
      <c r="BQ11" s="23">
        <v>648.30000000000018</v>
      </c>
      <c r="BR11" s="23">
        <f t="shared" si="17"/>
        <v>202.89999999999986</v>
      </c>
      <c r="BS11" s="25"/>
      <c r="BT11" s="23"/>
      <c r="BV11" s="23">
        <v>26</v>
      </c>
      <c r="BW11" s="23">
        <v>1216</v>
      </c>
      <c r="BX11" s="23">
        <f t="shared" si="18"/>
        <v>851.2</v>
      </c>
      <c r="BY11" s="23">
        <v>727.30000000000018</v>
      </c>
      <c r="BZ11" s="23">
        <f t="shared" si="19"/>
        <v>123.89999999999986</v>
      </c>
      <c r="CA11" s="23">
        <f t="shared" si="20"/>
        <v>48.899999999999864</v>
      </c>
      <c r="CB11" s="25"/>
      <c r="CC11" s="23"/>
      <c r="CE11" s="23">
        <v>26</v>
      </c>
      <c r="CF11" s="23">
        <v>1216</v>
      </c>
      <c r="CG11" s="23">
        <f t="shared" si="21"/>
        <v>851.2</v>
      </c>
      <c r="CH11" s="23">
        <v>706.59999999999991</v>
      </c>
      <c r="CI11" s="23">
        <f t="shared" si="22"/>
        <v>144.60000000000014</v>
      </c>
      <c r="CJ11" s="25"/>
      <c r="CK11" s="23"/>
      <c r="CM11" s="23">
        <v>26</v>
      </c>
      <c r="CN11" s="23">
        <v>1216</v>
      </c>
      <c r="CO11" s="23">
        <f t="shared" si="23"/>
        <v>851.2</v>
      </c>
      <c r="CP11" s="23">
        <v>713.09999999999991</v>
      </c>
      <c r="CQ11" s="23">
        <f t="shared" si="24"/>
        <v>138.10000000000014</v>
      </c>
      <c r="CR11" s="25"/>
      <c r="CS11" s="23"/>
      <c r="CU11" s="23">
        <v>26</v>
      </c>
      <c r="CV11" s="23">
        <v>1216</v>
      </c>
      <c r="CW11" s="23">
        <f t="shared" si="25"/>
        <v>851.2</v>
      </c>
      <c r="CX11" s="23">
        <v>798.79999999999973</v>
      </c>
      <c r="CY11" s="23">
        <f t="shared" si="26"/>
        <v>52.400000000000318</v>
      </c>
      <c r="CZ11" s="25"/>
      <c r="DA11" s="23"/>
    </row>
    <row r="12" spans="1:105" x14ac:dyDescent="0.25">
      <c r="A12" s="18">
        <v>27</v>
      </c>
      <c r="B12" s="16">
        <v>1240.8000000000002</v>
      </c>
      <c r="C12" s="18">
        <f t="shared" si="0"/>
        <v>868.56000000000017</v>
      </c>
      <c r="D12" s="18">
        <v>-1494.6</v>
      </c>
      <c r="E12" s="18">
        <f t="shared" si="1"/>
        <v>2363.16</v>
      </c>
      <c r="F12" s="26"/>
      <c r="G12" s="18"/>
      <c r="I12" s="18">
        <v>27</v>
      </c>
      <c r="J12" s="16">
        <v>1240.8000000000002</v>
      </c>
      <c r="K12" s="18">
        <f t="shared" si="2"/>
        <v>868.56000000000017</v>
      </c>
      <c r="L12" s="18">
        <v>-1494.6</v>
      </c>
      <c r="M12" s="18">
        <f t="shared" si="3"/>
        <v>2363.16</v>
      </c>
      <c r="N12" s="26"/>
      <c r="O12" s="18"/>
      <c r="Q12" s="18">
        <v>27</v>
      </c>
      <c r="R12" s="16">
        <v>1240.8000000000002</v>
      </c>
      <c r="S12" s="18">
        <f t="shared" si="4"/>
        <v>868.56000000000017</v>
      </c>
      <c r="T12" s="18"/>
      <c r="U12" s="18">
        <f t="shared" si="5"/>
        <v>868.56000000000017</v>
      </c>
      <c r="V12" s="18">
        <v>100</v>
      </c>
      <c r="W12" s="26"/>
      <c r="X12" s="18"/>
      <c r="Z12" s="18">
        <v>27</v>
      </c>
      <c r="AA12" s="16">
        <v>1240.8000000000002</v>
      </c>
      <c r="AB12" s="18">
        <f t="shared" si="6"/>
        <v>868.56000000000017</v>
      </c>
      <c r="AC12" s="18">
        <v>-1494.6</v>
      </c>
      <c r="AD12" s="18">
        <f t="shared" si="7"/>
        <v>2363.16</v>
      </c>
      <c r="AE12" s="26"/>
      <c r="AF12" s="18"/>
      <c r="AH12" s="18">
        <v>27</v>
      </c>
      <c r="AI12" s="16">
        <v>1240.8000000000002</v>
      </c>
      <c r="AJ12" s="18">
        <f t="shared" si="8"/>
        <v>868.56000000000017</v>
      </c>
      <c r="AK12" s="18">
        <v>-1494.6</v>
      </c>
      <c r="AL12" s="18">
        <f t="shared" si="9"/>
        <v>2363.16</v>
      </c>
      <c r="AM12" s="26"/>
      <c r="AN12" s="18"/>
      <c r="AP12" s="18">
        <v>27</v>
      </c>
      <c r="AQ12" s="16">
        <v>1240.8000000000002</v>
      </c>
      <c r="AR12" s="18">
        <f t="shared" si="10"/>
        <v>868.56000000000017</v>
      </c>
      <c r="AS12" s="18">
        <v>-1494.6</v>
      </c>
      <c r="AT12" s="18">
        <f t="shared" si="11"/>
        <v>2363.16</v>
      </c>
      <c r="AU12" s="26"/>
      <c r="AV12" s="18"/>
      <c r="AX12" s="18">
        <v>27</v>
      </c>
      <c r="AY12" s="16">
        <v>1240.8000000000002</v>
      </c>
      <c r="AZ12" s="18">
        <f t="shared" si="12"/>
        <v>868.56000000000017</v>
      </c>
      <c r="BA12" s="18">
        <v>-1494.6</v>
      </c>
      <c r="BB12" s="18">
        <f t="shared" si="13"/>
        <v>2363.16</v>
      </c>
      <c r="BC12" s="26"/>
      <c r="BD12" s="18"/>
      <c r="BF12" s="18">
        <v>27</v>
      </c>
      <c r="BG12" s="16">
        <v>1240.8000000000002</v>
      </c>
      <c r="BH12" s="18">
        <f t="shared" si="14"/>
        <v>868.56000000000017</v>
      </c>
      <c r="BI12" s="18">
        <v>-1494.6</v>
      </c>
      <c r="BJ12" s="18">
        <f t="shared" si="15"/>
        <v>2363.16</v>
      </c>
      <c r="BK12" s="26"/>
      <c r="BL12" s="18"/>
      <c r="BN12" s="18">
        <v>27</v>
      </c>
      <c r="BO12" s="16">
        <v>1240.8000000000002</v>
      </c>
      <c r="BP12" s="18">
        <f t="shared" si="16"/>
        <v>868.56000000000017</v>
      </c>
      <c r="BQ12" s="18">
        <v>-1494.6</v>
      </c>
      <c r="BR12" s="18">
        <f t="shared" si="17"/>
        <v>2363.16</v>
      </c>
      <c r="BS12" s="26"/>
      <c r="BT12" s="18"/>
      <c r="BV12" s="18">
        <v>27</v>
      </c>
      <c r="BW12" s="16">
        <v>1240.8000000000002</v>
      </c>
      <c r="BX12" s="18">
        <f t="shared" si="18"/>
        <v>868.56000000000017</v>
      </c>
      <c r="BY12" s="18">
        <v>-1494.6</v>
      </c>
      <c r="BZ12" s="18">
        <f t="shared" si="19"/>
        <v>2363.16</v>
      </c>
      <c r="CA12" s="18">
        <f t="shared" si="20"/>
        <v>2288.16</v>
      </c>
      <c r="CB12" s="26"/>
      <c r="CC12" s="18"/>
      <c r="CE12" s="18">
        <v>27</v>
      </c>
      <c r="CF12" s="16">
        <v>1240.8000000000002</v>
      </c>
      <c r="CG12" s="18">
        <f t="shared" si="21"/>
        <v>868.56000000000017</v>
      </c>
      <c r="CH12" s="18">
        <v>-1494.6</v>
      </c>
      <c r="CI12" s="18">
        <f t="shared" si="22"/>
        <v>2363.16</v>
      </c>
      <c r="CJ12" s="26"/>
      <c r="CK12" s="18"/>
      <c r="CM12" s="18">
        <v>27</v>
      </c>
      <c r="CN12" s="16">
        <v>1240.8000000000002</v>
      </c>
      <c r="CO12" s="18">
        <f t="shared" si="23"/>
        <v>868.56000000000017</v>
      </c>
      <c r="CP12" s="18">
        <v>-1494.6</v>
      </c>
      <c r="CQ12" s="18">
        <f t="shared" si="24"/>
        <v>2363.16</v>
      </c>
      <c r="CR12" s="26"/>
      <c r="CS12" s="18"/>
      <c r="CU12" s="18">
        <v>27</v>
      </c>
      <c r="CV12" s="16">
        <v>1240.8000000000002</v>
      </c>
      <c r="CW12" s="18">
        <f t="shared" si="25"/>
        <v>868.56000000000017</v>
      </c>
      <c r="CX12" s="18">
        <v>-1495</v>
      </c>
      <c r="CY12" s="18">
        <f t="shared" si="26"/>
        <v>2363.5600000000004</v>
      </c>
      <c r="CZ12" s="26"/>
      <c r="DA12" s="18"/>
    </row>
    <row r="13" spans="1:105" x14ac:dyDescent="0.25">
      <c r="A13" s="23">
        <v>28</v>
      </c>
      <c r="B13" s="23">
        <v>1108.5000000000002</v>
      </c>
      <c r="C13" s="23">
        <f t="shared" si="0"/>
        <v>775.95000000000016</v>
      </c>
      <c r="D13" s="23">
        <v>581.40000000000009</v>
      </c>
      <c r="E13" s="23">
        <f t="shared" si="1"/>
        <v>194.55000000000007</v>
      </c>
      <c r="F13" s="25"/>
      <c r="G13" s="23"/>
      <c r="I13" s="23">
        <v>28</v>
      </c>
      <c r="J13" s="23">
        <v>1108.5000000000002</v>
      </c>
      <c r="K13" s="23">
        <f t="shared" si="2"/>
        <v>775.95000000000016</v>
      </c>
      <c r="L13" s="23">
        <v>561.90000000000009</v>
      </c>
      <c r="M13" s="23">
        <f t="shared" si="3"/>
        <v>214.05000000000007</v>
      </c>
      <c r="N13" s="25"/>
      <c r="O13" s="23"/>
      <c r="Q13" s="23">
        <v>28</v>
      </c>
      <c r="R13" s="23">
        <v>1108.5000000000002</v>
      </c>
      <c r="S13" s="23">
        <f t="shared" si="4"/>
        <v>775.95000000000016</v>
      </c>
      <c r="T13" s="23"/>
      <c r="U13" s="23">
        <f t="shared" si="5"/>
        <v>775.95000000000016</v>
      </c>
      <c r="V13" s="23">
        <v>100</v>
      </c>
      <c r="W13" s="25"/>
      <c r="X13" s="23"/>
      <c r="Z13" s="23">
        <v>28</v>
      </c>
      <c r="AA13" s="23">
        <v>1108.5000000000002</v>
      </c>
      <c r="AB13" s="23">
        <f t="shared" si="6"/>
        <v>775.95000000000016</v>
      </c>
      <c r="AC13" s="23">
        <v>598.70000000000005</v>
      </c>
      <c r="AD13" s="23">
        <f t="shared" si="7"/>
        <v>177.25000000000011</v>
      </c>
      <c r="AE13" s="25"/>
      <c r="AF13" s="23"/>
      <c r="AH13" s="23">
        <v>28</v>
      </c>
      <c r="AI13" s="23">
        <v>1108.5000000000002</v>
      </c>
      <c r="AJ13" s="23">
        <f t="shared" si="8"/>
        <v>775.95000000000016</v>
      </c>
      <c r="AK13" s="23">
        <v>584.40000000000009</v>
      </c>
      <c r="AL13" s="23">
        <f t="shared" si="9"/>
        <v>191.55000000000007</v>
      </c>
      <c r="AM13" s="25"/>
      <c r="AN13" s="23"/>
      <c r="AP13" s="12">
        <v>28</v>
      </c>
      <c r="AQ13" s="12">
        <v>1108.5000000000002</v>
      </c>
      <c r="AR13" s="12">
        <f t="shared" si="10"/>
        <v>775.95000000000016</v>
      </c>
      <c r="AS13" s="12">
        <v>676.8</v>
      </c>
      <c r="AT13" s="12">
        <f t="shared" si="11"/>
        <v>99.150000000000205</v>
      </c>
      <c r="AU13" s="22"/>
      <c r="AV13" s="12"/>
      <c r="AX13" s="23">
        <v>28</v>
      </c>
      <c r="AY13" s="23">
        <v>1108.5000000000002</v>
      </c>
      <c r="AZ13" s="23">
        <f t="shared" si="12"/>
        <v>775.95000000000016</v>
      </c>
      <c r="BA13" s="23">
        <v>545.79999999999995</v>
      </c>
      <c r="BB13" s="23">
        <f t="shared" si="13"/>
        <v>230.1500000000002</v>
      </c>
      <c r="BC13" s="25"/>
      <c r="BD13" s="23"/>
      <c r="BF13" s="23">
        <v>28</v>
      </c>
      <c r="BG13" s="23">
        <v>1108.5000000000002</v>
      </c>
      <c r="BH13" s="23">
        <f t="shared" si="14"/>
        <v>775.95000000000016</v>
      </c>
      <c r="BI13" s="23">
        <v>606</v>
      </c>
      <c r="BJ13" s="23">
        <f t="shared" si="15"/>
        <v>169.95000000000016</v>
      </c>
      <c r="BK13" s="25"/>
      <c r="BL13" s="23"/>
      <c r="BN13" s="23">
        <v>28</v>
      </c>
      <c r="BO13" s="23">
        <v>1108.5000000000002</v>
      </c>
      <c r="BP13" s="23">
        <f t="shared" si="16"/>
        <v>775.95000000000016</v>
      </c>
      <c r="BQ13" s="23">
        <v>515.5</v>
      </c>
      <c r="BR13" s="23">
        <f t="shared" si="17"/>
        <v>260.45000000000016</v>
      </c>
      <c r="BS13" s="25"/>
      <c r="BT13" s="23"/>
      <c r="BV13" s="23">
        <v>28</v>
      </c>
      <c r="BW13" s="23">
        <v>1108.5000000000002</v>
      </c>
      <c r="BX13" s="23">
        <f t="shared" si="18"/>
        <v>775.95000000000016</v>
      </c>
      <c r="BY13" s="23">
        <v>644.79999999999995</v>
      </c>
      <c r="BZ13" s="23">
        <f t="shared" si="19"/>
        <v>131.1500000000002</v>
      </c>
      <c r="CA13" s="23">
        <f t="shared" si="20"/>
        <v>56.150000000000205</v>
      </c>
      <c r="CB13" s="25"/>
      <c r="CC13" s="23"/>
      <c r="CE13" s="23">
        <v>28</v>
      </c>
      <c r="CF13" s="23">
        <v>1108.5000000000002</v>
      </c>
      <c r="CG13" s="23">
        <f t="shared" si="21"/>
        <v>775.95000000000016</v>
      </c>
      <c r="CH13" s="23">
        <v>579.70000000000005</v>
      </c>
      <c r="CI13" s="23">
        <f t="shared" si="22"/>
        <v>196.25000000000011</v>
      </c>
      <c r="CJ13" s="25"/>
      <c r="CK13" s="23"/>
      <c r="CM13" s="23">
        <v>28</v>
      </c>
      <c r="CN13" s="23">
        <v>1108.5000000000002</v>
      </c>
      <c r="CO13" s="23">
        <f t="shared" si="23"/>
        <v>775.95000000000016</v>
      </c>
      <c r="CP13" s="23">
        <v>618.39999999999986</v>
      </c>
      <c r="CQ13" s="23">
        <f t="shared" si="24"/>
        <v>157.5500000000003</v>
      </c>
      <c r="CR13" s="25"/>
      <c r="CS13" s="23"/>
      <c r="CU13" s="23">
        <v>28</v>
      </c>
      <c r="CV13" s="23">
        <v>1108.5000000000002</v>
      </c>
      <c r="CW13" s="23">
        <f t="shared" si="25"/>
        <v>775.95000000000016</v>
      </c>
      <c r="CX13" s="23">
        <v>677.3</v>
      </c>
      <c r="CY13" s="23">
        <f t="shared" si="26"/>
        <v>98.650000000000205</v>
      </c>
      <c r="CZ13" s="25"/>
      <c r="DA13" s="23"/>
    </row>
    <row r="14" spans="1:105" x14ac:dyDescent="0.25">
      <c r="A14" s="18">
        <v>29</v>
      </c>
      <c r="B14" s="18">
        <v>1345.1000000000001</v>
      </c>
      <c r="C14" s="18">
        <f t="shared" si="0"/>
        <v>941.57000000000016</v>
      </c>
      <c r="D14" s="18">
        <v>-1523.3</v>
      </c>
      <c r="E14" s="18">
        <f t="shared" si="1"/>
        <v>2464.87</v>
      </c>
      <c r="F14" s="26"/>
      <c r="G14" s="18"/>
      <c r="I14" s="18">
        <v>29</v>
      </c>
      <c r="J14" s="18">
        <v>1345.1000000000001</v>
      </c>
      <c r="K14" s="18">
        <f t="shared" si="2"/>
        <v>941.57000000000016</v>
      </c>
      <c r="L14" s="18">
        <v>-1523.3</v>
      </c>
      <c r="M14" s="18">
        <f t="shared" si="3"/>
        <v>2464.87</v>
      </c>
      <c r="N14" s="26"/>
      <c r="O14" s="18"/>
      <c r="Q14" s="18">
        <v>29</v>
      </c>
      <c r="R14" s="18">
        <v>1345.1000000000001</v>
      </c>
      <c r="S14" s="18">
        <f t="shared" si="4"/>
        <v>941.57000000000016</v>
      </c>
      <c r="T14" s="18"/>
      <c r="U14" s="18">
        <f t="shared" si="5"/>
        <v>941.57000000000016</v>
      </c>
      <c r="V14" s="18">
        <v>100</v>
      </c>
      <c r="W14" s="26"/>
      <c r="X14" s="18"/>
      <c r="Z14" s="18">
        <v>29</v>
      </c>
      <c r="AA14" s="18">
        <v>1345.1000000000001</v>
      </c>
      <c r="AB14" s="18">
        <f t="shared" si="6"/>
        <v>941.57000000000016</v>
      </c>
      <c r="AC14" s="18">
        <v>-1523.3</v>
      </c>
      <c r="AD14" s="18">
        <f t="shared" si="7"/>
        <v>2464.87</v>
      </c>
      <c r="AE14" s="26"/>
      <c r="AF14" s="18"/>
      <c r="AH14" s="18">
        <v>29</v>
      </c>
      <c r="AI14" s="18">
        <v>1345.1000000000001</v>
      </c>
      <c r="AJ14" s="18">
        <f t="shared" si="8"/>
        <v>941.57000000000016</v>
      </c>
      <c r="AK14" s="18">
        <v>-1523.3</v>
      </c>
      <c r="AL14" s="18">
        <f t="shared" si="9"/>
        <v>2464.87</v>
      </c>
      <c r="AM14" s="26"/>
      <c r="AN14" s="18"/>
      <c r="AP14" s="18">
        <v>29</v>
      </c>
      <c r="AQ14" s="18">
        <v>1345.1000000000001</v>
      </c>
      <c r="AR14" s="18">
        <f t="shared" si="10"/>
        <v>941.57000000000016</v>
      </c>
      <c r="AS14" s="18">
        <v>-1523.3</v>
      </c>
      <c r="AT14" s="18">
        <f t="shared" si="11"/>
        <v>2464.87</v>
      </c>
      <c r="AU14" s="26"/>
      <c r="AV14" s="18"/>
      <c r="AX14" s="18">
        <v>29</v>
      </c>
      <c r="AY14" s="18">
        <v>1345.1000000000001</v>
      </c>
      <c r="AZ14" s="18">
        <f t="shared" si="12"/>
        <v>941.57000000000016</v>
      </c>
      <c r="BA14" s="18">
        <v>-1523.3</v>
      </c>
      <c r="BB14" s="18">
        <f t="shared" si="13"/>
        <v>2464.87</v>
      </c>
      <c r="BC14" s="26"/>
      <c r="BD14" s="18"/>
      <c r="BF14" s="18">
        <v>29</v>
      </c>
      <c r="BG14" s="18">
        <v>1345.1000000000001</v>
      </c>
      <c r="BH14" s="18">
        <f t="shared" si="14"/>
        <v>941.57000000000016</v>
      </c>
      <c r="BI14" s="18">
        <v>-1523.3</v>
      </c>
      <c r="BJ14" s="18">
        <f t="shared" si="15"/>
        <v>2464.87</v>
      </c>
      <c r="BK14" s="26"/>
      <c r="BL14" s="18"/>
      <c r="BN14" s="18">
        <v>29</v>
      </c>
      <c r="BO14" s="18">
        <v>1345.1000000000001</v>
      </c>
      <c r="BP14" s="18">
        <f t="shared" si="16"/>
        <v>941.57000000000016</v>
      </c>
      <c r="BQ14" s="18">
        <v>-1523.3</v>
      </c>
      <c r="BR14" s="18">
        <f t="shared" si="17"/>
        <v>2464.87</v>
      </c>
      <c r="BS14" s="26"/>
      <c r="BT14" s="18"/>
      <c r="BV14" s="18">
        <v>29</v>
      </c>
      <c r="BW14" s="18">
        <v>1345.1000000000001</v>
      </c>
      <c r="BX14" s="18">
        <f t="shared" si="18"/>
        <v>941.57000000000016</v>
      </c>
      <c r="BY14" s="18">
        <v>-1523.3</v>
      </c>
      <c r="BZ14" s="18">
        <f t="shared" si="19"/>
        <v>2464.87</v>
      </c>
      <c r="CA14" s="18">
        <f t="shared" si="20"/>
        <v>2389.87</v>
      </c>
      <c r="CB14" s="26"/>
      <c r="CC14" s="18"/>
      <c r="CE14" s="18">
        <v>29</v>
      </c>
      <c r="CF14" s="18">
        <v>1345.1000000000001</v>
      </c>
      <c r="CG14" s="18">
        <f t="shared" si="21"/>
        <v>941.57000000000016</v>
      </c>
      <c r="CH14" s="18">
        <v>-1523.3</v>
      </c>
      <c r="CI14" s="18">
        <f t="shared" si="22"/>
        <v>2464.87</v>
      </c>
      <c r="CJ14" s="26"/>
      <c r="CK14" s="18"/>
      <c r="CM14" s="18">
        <v>29</v>
      </c>
      <c r="CN14" s="18">
        <v>1345.1000000000001</v>
      </c>
      <c r="CO14" s="18">
        <f t="shared" si="23"/>
        <v>941.57000000000016</v>
      </c>
      <c r="CP14" s="18">
        <v>-1523.3</v>
      </c>
      <c r="CQ14" s="18">
        <f t="shared" si="24"/>
        <v>2464.87</v>
      </c>
      <c r="CR14" s="26"/>
      <c r="CS14" s="18"/>
      <c r="CU14" s="18">
        <v>29</v>
      </c>
      <c r="CV14" s="18">
        <v>1345.1000000000001</v>
      </c>
      <c r="CW14" s="18">
        <f t="shared" si="25"/>
        <v>941.57000000000016</v>
      </c>
      <c r="CX14" s="18">
        <v>-1523.7</v>
      </c>
      <c r="CY14" s="18">
        <f t="shared" si="26"/>
        <v>2465.2700000000004</v>
      </c>
      <c r="CZ14" s="26"/>
      <c r="DA14" s="18"/>
    </row>
    <row r="15" spans="1:105" x14ac:dyDescent="0.25">
      <c r="A15" s="23">
        <v>30</v>
      </c>
      <c r="B15" s="23">
        <v>1212.5999999999999</v>
      </c>
      <c r="C15" s="23">
        <f t="shared" si="0"/>
        <v>848.82</v>
      </c>
      <c r="D15" s="23">
        <v>753.20000000000027</v>
      </c>
      <c r="E15" s="23">
        <f t="shared" si="1"/>
        <v>95.619999999999777</v>
      </c>
      <c r="F15" s="25"/>
      <c r="G15" s="23"/>
      <c r="I15" s="23">
        <v>30</v>
      </c>
      <c r="J15" s="23">
        <v>1212.5999999999999</v>
      </c>
      <c r="K15" s="23">
        <f t="shared" si="2"/>
        <v>848.82</v>
      </c>
      <c r="L15" s="23">
        <v>685.20000000000027</v>
      </c>
      <c r="M15" s="23">
        <f t="shared" si="3"/>
        <v>163.61999999999978</v>
      </c>
      <c r="N15" s="25"/>
      <c r="O15" s="23"/>
      <c r="Q15" s="23">
        <v>30</v>
      </c>
      <c r="R15" s="23">
        <v>1212.5999999999999</v>
      </c>
      <c r="S15" s="23">
        <f t="shared" si="4"/>
        <v>848.82</v>
      </c>
      <c r="T15" s="23"/>
      <c r="U15" s="23">
        <f t="shared" si="5"/>
        <v>848.82</v>
      </c>
      <c r="V15" s="23">
        <v>100</v>
      </c>
      <c r="W15" s="25"/>
      <c r="X15" s="23"/>
      <c r="Z15" s="23">
        <v>30</v>
      </c>
      <c r="AA15" s="23">
        <v>1212.5999999999999</v>
      </c>
      <c r="AB15" s="23">
        <f t="shared" si="6"/>
        <v>848.82</v>
      </c>
      <c r="AC15" s="23">
        <v>715.80000000000018</v>
      </c>
      <c r="AD15" s="23">
        <f t="shared" si="7"/>
        <v>133.01999999999987</v>
      </c>
      <c r="AE15" s="25"/>
      <c r="AF15" s="23"/>
      <c r="AH15" s="23">
        <v>30</v>
      </c>
      <c r="AI15" s="23">
        <v>1212.5999999999999</v>
      </c>
      <c r="AJ15" s="23">
        <f t="shared" si="8"/>
        <v>848.82</v>
      </c>
      <c r="AK15" s="23">
        <v>697.09999999999991</v>
      </c>
      <c r="AL15" s="23">
        <f t="shared" si="9"/>
        <v>151.72000000000014</v>
      </c>
      <c r="AM15" s="25"/>
      <c r="AN15" s="23"/>
      <c r="AP15" s="12">
        <v>30</v>
      </c>
      <c r="AQ15" s="12">
        <v>1212.5999999999999</v>
      </c>
      <c r="AR15" s="12">
        <f t="shared" si="10"/>
        <v>848.82</v>
      </c>
      <c r="AS15" s="12">
        <v>758.30000000000018</v>
      </c>
      <c r="AT15" s="12">
        <f t="shared" si="11"/>
        <v>90.519999999999868</v>
      </c>
      <c r="AU15" s="22"/>
      <c r="AV15" s="12"/>
      <c r="AX15" s="23">
        <v>30</v>
      </c>
      <c r="AY15" s="23">
        <v>1212.5999999999999</v>
      </c>
      <c r="AZ15" s="23">
        <f t="shared" si="12"/>
        <v>848.82</v>
      </c>
      <c r="BA15" s="23">
        <v>655.80000000000018</v>
      </c>
      <c r="BB15" s="23">
        <f t="shared" si="13"/>
        <v>193.01999999999987</v>
      </c>
      <c r="BC15" s="25"/>
      <c r="BD15" s="23"/>
      <c r="BF15" s="23">
        <v>30</v>
      </c>
      <c r="BG15" s="23">
        <v>1212.5999999999999</v>
      </c>
      <c r="BH15" s="23">
        <f t="shared" si="14"/>
        <v>848.82</v>
      </c>
      <c r="BI15" s="23">
        <v>733.90000000000009</v>
      </c>
      <c r="BJ15" s="23">
        <f t="shared" si="15"/>
        <v>114.91999999999996</v>
      </c>
      <c r="BK15" s="25"/>
      <c r="BL15" s="23"/>
      <c r="BN15" s="23">
        <v>30</v>
      </c>
      <c r="BO15" s="23">
        <v>1212.5999999999999</v>
      </c>
      <c r="BP15" s="23">
        <f t="shared" si="16"/>
        <v>848.82</v>
      </c>
      <c r="BQ15" s="23">
        <v>637.59999999999991</v>
      </c>
      <c r="BR15" s="23">
        <f t="shared" si="17"/>
        <v>211.22000000000014</v>
      </c>
      <c r="BS15" s="25"/>
      <c r="BT15" s="23"/>
      <c r="BV15" s="23">
        <v>30</v>
      </c>
      <c r="BW15" s="23">
        <v>1212.5999999999999</v>
      </c>
      <c r="BX15" s="23">
        <f t="shared" si="18"/>
        <v>848.82</v>
      </c>
      <c r="BY15" s="23">
        <v>724.70000000000027</v>
      </c>
      <c r="BZ15" s="23">
        <f t="shared" si="19"/>
        <v>124.11999999999978</v>
      </c>
      <c r="CA15" s="23">
        <f t="shared" si="20"/>
        <v>49.119999999999777</v>
      </c>
      <c r="CB15" s="25"/>
      <c r="CC15" s="23"/>
      <c r="CE15" s="23">
        <v>30</v>
      </c>
      <c r="CF15" s="23">
        <v>1212.5999999999999</v>
      </c>
      <c r="CG15" s="23">
        <f t="shared" si="21"/>
        <v>848.82</v>
      </c>
      <c r="CH15" s="23">
        <v>712.30000000000018</v>
      </c>
      <c r="CI15" s="23">
        <f t="shared" si="22"/>
        <v>136.51999999999987</v>
      </c>
      <c r="CJ15" s="25"/>
      <c r="CK15" s="23"/>
      <c r="CM15" s="23">
        <v>30</v>
      </c>
      <c r="CN15" s="23">
        <v>1212.5999999999999</v>
      </c>
      <c r="CO15" s="23">
        <f t="shared" si="23"/>
        <v>848.82</v>
      </c>
      <c r="CP15" s="23">
        <v>743</v>
      </c>
      <c r="CQ15" s="23">
        <f t="shared" si="24"/>
        <v>105.82000000000005</v>
      </c>
      <c r="CR15" s="25"/>
      <c r="CS15" s="23"/>
      <c r="CU15" s="23">
        <v>30</v>
      </c>
      <c r="CV15" s="23">
        <v>1212.5999999999999</v>
      </c>
      <c r="CW15" s="23">
        <f t="shared" si="25"/>
        <v>848.82</v>
      </c>
      <c r="CX15" s="23">
        <v>771.19999999999982</v>
      </c>
      <c r="CY15" s="23">
        <f t="shared" si="26"/>
        <v>77.620000000000232</v>
      </c>
      <c r="CZ15" s="25"/>
      <c r="DA15" s="23"/>
    </row>
    <row r="16" spans="1:105" x14ac:dyDescent="0.25">
      <c r="A16" s="12">
        <v>31</v>
      </c>
      <c r="B16" s="12">
        <v>1252.0999999999999</v>
      </c>
      <c r="C16" s="12">
        <f t="shared" si="0"/>
        <v>876.47</v>
      </c>
      <c r="D16" s="12">
        <v>951.5</v>
      </c>
      <c r="E16" s="12">
        <f t="shared" si="1"/>
        <v>-75.029999999999973</v>
      </c>
      <c r="F16" s="22"/>
      <c r="G16" s="12"/>
      <c r="I16" s="23">
        <v>31</v>
      </c>
      <c r="J16" s="23">
        <v>1252.0999999999999</v>
      </c>
      <c r="K16" s="23">
        <f t="shared" si="2"/>
        <v>876.47</v>
      </c>
      <c r="L16" s="23">
        <v>847.30000000000018</v>
      </c>
      <c r="M16" s="23">
        <f t="shared" si="3"/>
        <v>29.169999999999845</v>
      </c>
      <c r="N16" s="25"/>
      <c r="O16" s="23"/>
      <c r="Q16" s="23">
        <v>31</v>
      </c>
      <c r="R16" s="23">
        <v>1252.0999999999999</v>
      </c>
      <c r="S16" s="23">
        <f t="shared" si="4"/>
        <v>876.47</v>
      </c>
      <c r="T16" s="23"/>
      <c r="U16" s="23">
        <f t="shared" si="5"/>
        <v>876.47</v>
      </c>
      <c r="V16" s="23">
        <v>100</v>
      </c>
      <c r="W16" s="25"/>
      <c r="X16" s="23"/>
      <c r="Z16" s="23">
        <v>31</v>
      </c>
      <c r="AA16" s="23">
        <v>1252.0999999999999</v>
      </c>
      <c r="AB16" s="23">
        <f t="shared" si="6"/>
        <v>876.47</v>
      </c>
      <c r="AC16" s="23">
        <v>825.59999999999991</v>
      </c>
      <c r="AD16" s="23">
        <f t="shared" si="7"/>
        <v>50.870000000000118</v>
      </c>
      <c r="AE16" s="25"/>
      <c r="AF16" s="23"/>
      <c r="AH16" s="23">
        <v>31</v>
      </c>
      <c r="AI16" s="23">
        <v>1252.0999999999999</v>
      </c>
      <c r="AJ16" s="23">
        <f t="shared" si="8"/>
        <v>876.47</v>
      </c>
      <c r="AK16" s="23">
        <v>773.80000000000018</v>
      </c>
      <c r="AL16" s="23">
        <f t="shared" si="9"/>
        <v>102.66999999999985</v>
      </c>
      <c r="AM16" s="25"/>
      <c r="AN16" s="23"/>
      <c r="AP16" s="12">
        <v>31</v>
      </c>
      <c r="AQ16" s="12">
        <v>1252.0999999999999</v>
      </c>
      <c r="AR16" s="12">
        <f t="shared" si="10"/>
        <v>876.47</v>
      </c>
      <c r="AS16" s="12">
        <v>820.70000000000027</v>
      </c>
      <c r="AT16" s="12">
        <f t="shared" si="11"/>
        <v>55.769999999999754</v>
      </c>
      <c r="AU16" s="22"/>
      <c r="AV16" s="12"/>
      <c r="AX16" s="23">
        <v>31</v>
      </c>
      <c r="AY16" s="23">
        <v>1252.0999999999999</v>
      </c>
      <c r="AZ16" s="23">
        <f t="shared" si="12"/>
        <v>876.47</v>
      </c>
      <c r="BA16" s="23">
        <v>754</v>
      </c>
      <c r="BB16" s="23">
        <f t="shared" si="13"/>
        <v>122.47000000000003</v>
      </c>
      <c r="BC16" s="25"/>
      <c r="BD16" s="23"/>
      <c r="BF16" s="23">
        <v>31</v>
      </c>
      <c r="BG16" s="23">
        <v>1252.0999999999999</v>
      </c>
      <c r="BH16" s="23">
        <f t="shared" si="14"/>
        <v>876.47</v>
      </c>
      <c r="BI16" s="23">
        <v>801.40000000000009</v>
      </c>
      <c r="BJ16" s="23">
        <f t="shared" si="15"/>
        <v>75.069999999999936</v>
      </c>
      <c r="BK16" s="25"/>
      <c r="BL16" s="23"/>
      <c r="BN16" s="23">
        <v>31</v>
      </c>
      <c r="BO16" s="23">
        <v>1252.0999999999999</v>
      </c>
      <c r="BP16" s="23">
        <f t="shared" si="16"/>
        <v>876.47</v>
      </c>
      <c r="BQ16" s="23">
        <v>737</v>
      </c>
      <c r="BR16" s="23">
        <f t="shared" si="17"/>
        <v>139.47000000000003</v>
      </c>
      <c r="BS16" s="25"/>
      <c r="BT16" s="23"/>
      <c r="BV16" s="23">
        <v>31</v>
      </c>
      <c r="BW16" s="23">
        <v>1252.0999999999999</v>
      </c>
      <c r="BX16" s="23">
        <f t="shared" si="18"/>
        <v>876.47</v>
      </c>
      <c r="BY16" s="23">
        <v>775.09999999999991</v>
      </c>
      <c r="BZ16" s="23">
        <f t="shared" si="19"/>
        <v>101.37000000000012</v>
      </c>
      <c r="CA16" s="23">
        <f t="shared" si="20"/>
        <v>26.370000000000118</v>
      </c>
      <c r="CB16" s="25"/>
      <c r="CC16" s="23"/>
      <c r="CE16" s="23">
        <v>31</v>
      </c>
      <c r="CF16" s="23">
        <v>1252.0999999999999</v>
      </c>
      <c r="CG16" s="23">
        <f t="shared" si="21"/>
        <v>876.47</v>
      </c>
      <c r="CH16" s="23">
        <v>787.90000000000009</v>
      </c>
      <c r="CI16" s="23">
        <f t="shared" si="22"/>
        <v>88.569999999999936</v>
      </c>
      <c r="CJ16" s="25"/>
      <c r="CK16" s="23"/>
      <c r="CM16" s="23">
        <v>31</v>
      </c>
      <c r="CN16" s="23">
        <v>1252.0999999999999</v>
      </c>
      <c r="CO16" s="23">
        <f t="shared" si="23"/>
        <v>876.47</v>
      </c>
      <c r="CP16" s="23">
        <v>815.59999999999991</v>
      </c>
      <c r="CQ16" s="23">
        <f t="shared" si="24"/>
        <v>60.870000000000118</v>
      </c>
      <c r="CR16" s="25"/>
      <c r="CS16" s="23"/>
      <c r="CU16" s="23">
        <v>31</v>
      </c>
      <c r="CV16" s="23">
        <v>1252.0999999999999</v>
      </c>
      <c r="CW16" s="23">
        <f t="shared" si="25"/>
        <v>876.47</v>
      </c>
      <c r="CX16" s="23">
        <v>840.5</v>
      </c>
      <c r="CY16" s="23">
        <f t="shared" si="26"/>
        <v>35.970000000000027</v>
      </c>
      <c r="CZ16" s="25"/>
      <c r="DA16" s="23"/>
    </row>
    <row r="17" spans="1:105" x14ac:dyDescent="0.25">
      <c r="A17" s="23">
        <v>32</v>
      </c>
      <c r="B17" s="23">
        <v>1307.1000000000001</v>
      </c>
      <c r="C17" s="23">
        <f t="shared" si="0"/>
        <v>914.97000000000014</v>
      </c>
      <c r="D17" s="23">
        <v>909.89999999999986</v>
      </c>
      <c r="E17" s="23">
        <f t="shared" si="1"/>
        <v>5.0700000000002774</v>
      </c>
      <c r="F17" s="25"/>
      <c r="G17" s="23"/>
      <c r="I17" s="23">
        <v>32</v>
      </c>
      <c r="J17" s="23">
        <v>1307.1000000000001</v>
      </c>
      <c r="K17" s="23">
        <f t="shared" si="2"/>
        <v>914.97000000000014</v>
      </c>
      <c r="L17" s="23">
        <v>779.60000000000014</v>
      </c>
      <c r="M17" s="23">
        <f t="shared" si="3"/>
        <v>135.37</v>
      </c>
      <c r="N17" s="25"/>
      <c r="O17" s="23"/>
      <c r="Q17" s="23">
        <v>32</v>
      </c>
      <c r="R17" s="23">
        <v>1307.1000000000001</v>
      </c>
      <c r="S17" s="23">
        <f t="shared" si="4"/>
        <v>914.97000000000014</v>
      </c>
      <c r="T17" s="23"/>
      <c r="U17" s="23">
        <f t="shared" si="5"/>
        <v>914.97000000000014</v>
      </c>
      <c r="V17" s="23">
        <v>100</v>
      </c>
      <c r="W17" s="25"/>
      <c r="X17" s="23"/>
      <c r="Z17" s="23">
        <v>32</v>
      </c>
      <c r="AA17" s="23">
        <v>1307.1000000000001</v>
      </c>
      <c r="AB17" s="23">
        <f t="shared" si="6"/>
        <v>914.97000000000014</v>
      </c>
      <c r="AC17" s="23">
        <v>840.49999999999977</v>
      </c>
      <c r="AD17" s="23">
        <f t="shared" si="7"/>
        <v>74.470000000000368</v>
      </c>
      <c r="AE17" s="25"/>
      <c r="AF17" s="23"/>
      <c r="AH17" s="23">
        <v>32</v>
      </c>
      <c r="AI17" s="23">
        <v>1307.1000000000001</v>
      </c>
      <c r="AJ17" s="23">
        <f t="shared" si="8"/>
        <v>914.97000000000014</v>
      </c>
      <c r="AK17" s="23">
        <v>791.10000000000014</v>
      </c>
      <c r="AL17" s="23">
        <f t="shared" si="9"/>
        <v>123.87</v>
      </c>
      <c r="AM17" s="25"/>
      <c r="AN17" s="23"/>
      <c r="AP17" s="12">
        <v>32</v>
      </c>
      <c r="AQ17" s="12">
        <v>1307.1000000000001</v>
      </c>
      <c r="AR17" s="12">
        <f t="shared" si="10"/>
        <v>914.97000000000014</v>
      </c>
      <c r="AS17" s="12">
        <v>848.2</v>
      </c>
      <c r="AT17" s="12">
        <f t="shared" si="11"/>
        <v>66.770000000000095</v>
      </c>
      <c r="AU17" s="22"/>
      <c r="AV17" s="12"/>
      <c r="AX17" s="23">
        <v>32</v>
      </c>
      <c r="AY17" s="23">
        <v>1307.1000000000001</v>
      </c>
      <c r="AZ17" s="23">
        <f t="shared" si="12"/>
        <v>914.97000000000014</v>
      </c>
      <c r="BA17" s="23">
        <v>763.10000000000014</v>
      </c>
      <c r="BB17" s="23">
        <f t="shared" si="13"/>
        <v>151.87</v>
      </c>
      <c r="BC17" s="25"/>
      <c r="BD17" s="23"/>
      <c r="BF17" s="23">
        <v>32</v>
      </c>
      <c r="BG17" s="23">
        <v>1307.1000000000001</v>
      </c>
      <c r="BH17" s="23">
        <f t="shared" si="14"/>
        <v>914.97000000000014</v>
      </c>
      <c r="BI17" s="23">
        <v>822.99999999999977</v>
      </c>
      <c r="BJ17" s="23">
        <f t="shared" si="15"/>
        <v>91.970000000000368</v>
      </c>
      <c r="BK17" s="25"/>
      <c r="BL17" s="23"/>
      <c r="BN17" s="23">
        <v>32</v>
      </c>
      <c r="BO17" s="23">
        <v>1307.1000000000001</v>
      </c>
      <c r="BP17" s="23">
        <f t="shared" si="16"/>
        <v>914.97000000000014</v>
      </c>
      <c r="BQ17" s="23">
        <v>725.39999999999986</v>
      </c>
      <c r="BR17" s="23">
        <f t="shared" si="17"/>
        <v>189.57000000000028</v>
      </c>
      <c r="BS17" s="25"/>
      <c r="BT17" s="23"/>
      <c r="BV17" s="23">
        <v>32</v>
      </c>
      <c r="BW17" s="23">
        <v>1307.1000000000001</v>
      </c>
      <c r="BX17" s="23">
        <f t="shared" si="18"/>
        <v>914.97000000000014</v>
      </c>
      <c r="BY17" s="23">
        <v>790.39999999999986</v>
      </c>
      <c r="BZ17" s="23">
        <f t="shared" si="19"/>
        <v>124.57000000000028</v>
      </c>
      <c r="CA17" s="23">
        <f t="shared" si="20"/>
        <v>49.570000000000277</v>
      </c>
      <c r="CB17" s="25"/>
      <c r="CC17" s="23"/>
      <c r="CE17" s="23">
        <v>32</v>
      </c>
      <c r="CF17" s="23">
        <v>1307.1000000000001</v>
      </c>
      <c r="CG17" s="23">
        <f t="shared" si="21"/>
        <v>914.97000000000014</v>
      </c>
      <c r="CH17" s="23">
        <v>783.99999999999977</v>
      </c>
      <c r="CI17" s="23">
        <f t="shared" si="22"/>
        <v>130.97000000000037</v>
      </c>
      <c r="CJ17" s="25"/>
      <c r="CK17" s="23"/>
      <c r="CM17" s="23">
        <v>32</v>
      </c>
      <c r="CN17" s="23">
        <v>1307.1000000000001</v>
      </c>
      <c r="CO17" s="23">
        <f t="shared" si="23"/>
        <v>914.97000000000014</v>
      </c>
      <c r="CP17" s="23">
        <v>813.58999999999992</v>
      </c>
      <c r="CQ17" s="23">
        <f t="shared" si="24"/>
        <v>101.38000000000022</v>
      </c>
      <c r="CR17" s="25"/>
      <c r="CS17" s="23"/>
      <c r="CU17" s="23">
        <v>32</v>
      </c>
      <c r="CV17" s="23">
        <v>1307.1000000000001</v>
      </c>
      <c r="CW17" s="23">
        <f t="shared" si="25"/>
        <v>914.97000000000014</v>
      </c>
      <c r="CX17" s="23">
        <v>858.39999999999986</v>
      </c>
      <c r="CY17" s="23">
        <f t="shared" si="26"/>
        <v>56.570000000000277</v>
      </c>
      <c r="CZ17" s="25"/>
      <c r="DA17" s="2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CF4DE-F988-422B-B8F0-45E77A05F644}">
  <dimension ref="A1:W20"/>
  <sheetViews>
    <sheetView tabSelected="1" topLeftCell="A7" workbookViewId="0">
      <selection activeCell="D9" sqref="D9:K11"/>
    </sheetView>
  </sheetViews>
  <sheetFormatPr defaultRowHeight="15" x14ac:dyDescent="0.25"/>
  <cols>
    <col min="1" max="1" width="20.42578125" bestFit="1" customWidth="1"/>
    <col min="2" max="2" width="44.42578125" customWidth="1"/>
    <col min="13" max="13" width="21.42578125" bestFit="1" customWidth="1"/>
    <col min="14" max="14" width="45" customWidth="1"/>
  </cols>
  <sheetData>
    <row r="1" spans="1:23" x14ac:dyDescent="0.25">
      <c r="A1" s="196" t="s">
        <v>239</v>
      </c>
      <c r="B1" s="196"/>
      <c r="C1" s="196"/>
      <c r="D1" s="196"/>
      <c r="E1" s="196"/>
      <c r="F1" s="196"/>
      <c r="G1" s="196"/>
      <c r="H1" s="196"/>
      <c r="I1" s="196"/>
      <c r="J1" s="196"/>
      <c r="K1" s="196"/>
      <c r="L1" s="196"/>
      <c r="M1" s="196"/>
      <c r="N1" s="196"/>
    </row>
    <row r="3" spans="1:23" x14ac:dyDescent="0.25">
      <c r="A3" s="200" t="s">
        <v>246</v>
      </c>
      <c r="B3" s="200"/>
      <c r="C3" s="181"/>
      <c r="D3" s="181"/>
      <c r="E3" s="181"/>
      <c r="F3" s="181"/>
      <c r="G3" s="181"/>
      <c r="H3" s="181"/>
      <c r="I3" s="181"/>
      <c r="J3" s="181"/>
      <c r="M3" s="195" t="s">
        <v>251</v>
      </c>
      <c r="N3" s="195"/>
    </row>
    <row r="4" spans="1:23" x14ac:dyDescent="0.25">
      <c r="A4" s="2" t="s">
        <v>243</v>
      </c>
      <c r="B4" s="9" t="s">
        <v>285</v>
      </c>
      <c r="M4" s="185" t="s">
        <v>243</v>
      </c>
      <c r="N4" s="9" t="s">
        <v>253</v>
      </c>
      <c r="P4" s="199" t="s">
        <v>251</v>
      </c>
      <c r="Q4" s="199"/>
      <c r="R4" s="199"/>
      <c r="S4" s="199"/>
      <c r="T4" s="199"/>
      <c r="U4" s="199"/>
      <c r="V4" s="199"/>
      <c r="W4" s="199"/>
    </row>
    <row r="5" spans="1:23" x14ac:dyDescent="0.25">
      <c r="A5" s="2" t="s">
        <v>240</v>
      </c>
      <c r="B5" s="9">
        <v>5</v>
      </c>
      <c r="M5" s="185" t="s">
        <v>240</v>
      </c>
      <c r="N5" s="9">
        <v>5</v>
      </c>
    </row>
    <row r="6" spans="1:23" x14ac:dyDescent="0.25">
      <c r="A6" s="2" t="s">
        <v>241</v>
      </c>
      <c r="B6" s="9" t="s">
        <v>242</v>
      </c>
      <c r="D6" s="201" t="s">
        <v>268</v>
      </c>
      <c r="E6" s="202"/>
      <c r="F6" s="202"/>
      <c r="G6" s="202"/>
      <c r="H6" s="202"/>
      <c r="I6" s="202"/>
      <c r="J6" s="202"/>
      <c r="M6" s="185" t="s">
        <v>241</v>
      </c>
      <c r="N6" s="9" t="s">
        <v>242</v>
      </c>
    </row>
    <row r="7" spans="1:23" ht="143.25" customHeight="1" x14ac:dyDescent="0.25">
      <c r="A7" s="2" t="s">
        <v>244</v>
      </c>
      <c r="B7" s="182" t="s">
        <v>281</v>
      </c>
      <c r="M7" s="185" t="s">
        <v>244</v>
      </c>
      <c r="N7" s="182" t="s">
        <v>280</v>
      </c>
    </row>
    <row r="8" spans="1:23" ht="66.75" customHeight="1" x14ac:dyDescent="0.25">
      <c r="A8" s="183" t="s">
        <v>286</v>
      </c>
      <c r="B8" s="182" t="s">
        <v>282</v>
      </c>
      <c r="M8" s="197" t="s">
        <v>245</v>
      </c>
      <c r="N8" s="191" t="s">
        <v>265</v>
      </c>
    </row>
    <row r="9" spans="1:23" ht="45" x14ac:dyDescent="0.25">
      <c r="A9" s="183" t="s">
        <v>263</v>
      </c>
      <c r="B9" s="182" t="s">
        <v>247</v>
      </c>
      <c r="D9" s="203" t="s">
        <v>288</v>
      </c>
      <c r="E9" s="203"/>
      <c r="F9" s="203"/>
      <c r="G9" s="203"/>
      <c r="H9" s="203"/>
      <c r="I9" s="203"/>
      <c r="J9" s="203"/>
      <c r="K9" s="203"/>
      <c r="M9" s="198"/>
      <c r="N9" s="192"/>
    </row>
    <row r="10" spans="1:23" x14ac:dyDescent="0.25">
      <c r="A10" s="2" t="s">
        <v>248</v>
      </c>
      <c r="B10" s="182" t="s">
        <v>249</v>
      </c>
      <c r="D10" s="203"/>
      <c r="E10" s="203"/>
      <c r="F10" s="203"/>
      <c r="G10" s="203"/>
      <c r="H10" s="203"/>
      <c r="I10" s="203"/>
      <c r="J10" s="203"/>
      <c r="K10" s="203"/>
      <c r="M10" s="186" t="s">
        <v>248</v>
      </c>
      <c r="N10" s="184" t="s">
        <v>249</v>
      </c>
    </row>
    <row r="11" spans="1:23" ht="45" x14ac:dyDescent="0.25">
      <c r="A11" s="183" t="s">
        <v>250</v>
      </c>
      <c r="B11" s="182" t="s">
        <v>283</v>
      </c>
      <c r="D11" s="203"/>
      <c r="E11" s="203"/>
      <c r="F11" s="203"/>
      <c r="G11" s="203"/>
      <c r="H11" s="203"/>
      <c r="I11" s="203"/>
      <c r="J11" s="203"/>
      <c r="K11" s="203"/>
      <c r="M11" s="187" t="s">
        <v>250</v>
      </c>
      <c r="N11" s="182" t="s">
        <v>264</v>
      </c>
    </row>
    <row r="12" spans="1:23" x14ac:dyDescent="0.25">
      <c r="A12" s="2" t="s">
        <v>252</v>
      </c>
      <c r="B12" s="182" t="s">
        <v>262</v>
      </c>
      <c r="M12" s="185" t="s">
        <v>252</v>
      </c>
      <c r="N12" s="182" t="s">
        <v>262</v>
      </c>
    </row>
    <row r="13" spans="1:23" ht="30" x14ac:dyDescent="0.25">
      <c r="A13" s="183" t="s">
        <v>254</v>
      </c>
      <c r="B13" s="182" t="s">
        <v>255</v>
      </c>
      <c r="M13" s="187" t="s">
        <v>254</v>
      </c>
      <c r="N13" s="182" t="s">
        <v>255</v>
      </c>
    </row>
    <row r="14" spans="1:23" ht="60" x14ac:dyDescent="0.25">
      <c r="A14" s="2" t="s">
        <v>256</v>
      </c>
      <c r="B14" s="182" t="s">
        <v>284</v>
      </c>
      <c r="M14" s="185" t="s">
        <v>256</v>
      </c>
      <c r="N14" s="182" t="s">
        <v>257</v>
      </c>
    </row>
    <row r="15" spans="1:23" ht="30" x14ac:dyDescent="0.25">
      <c r="A15" s="183" t="s">
        <v>258</v>
      </c>
      <c r="B15" s="182" t="s">
        <v>259</v>
      </c>
      <c r="M15" s="187" t="s">
        <v>258</v>
      </c>
      <c r="N15" s="182" t="s">
        <v>259</v>
      </c>
    </row>
    <row r="16" spans="1:23" ht="30" x14ac:dyDescent="0.25">
      <c r="A16" s="183" t="s">
        <v>260</v>
      </c>
      <c r="B16" s="9" t="s">
        <v>277</v>
      </c>
      <c r="M16" s="187" t="s">
        <v>260</v>
      </c>
      <c r="N16" s="9" t="s">
        <v>261</v>
      </c>
    </row>
    <row r="17" spans="1:14" ht="30" x14ac:dyDescent="0.25">
      <c r="A17" s="193" t="s">
        <v>269</v>
      </c>
      <c r="B17" s="191" t="s">
        <v>287</v>
      </c>
      <c r="M17" s="189" t="s">
        <v>270</v>
      </c>
      <c r="N17" s="188" t="s">
        <v>271</v>
      </c>
    </row>
    <row r="18" spans="1:14" ht="45" x14ac:dyDescent="0.25">
      <c r="A18" s="194"/>
      <c r="B18" s="192"/>
      <c r="M18" s="187" t="s">
        <v>272</v>
      </c>
      <c r="N18" s="182" t="s">
        <v>273</v>
      </c>
    </row>
    <row r="19" spans="1:14" ht="45" x14ac:dyDescent="0.25">
      <c r="A19" s="183" t="s">
        <v>278</v>
      </c>
      <c r="B19" s="182" t="s">
        <v>279</v>
      </c>
      <c r="M19" s="187" t="s">
        <v>274</v>
      </c>
      <c r="N19" s="182" t="s">
        <v>275</v>
      </c>
    </row>
    <row r="20" spans="1:14" ht="30" x14ac:dyDescent="0.25">
      <c r="M20" s="187" t="s">
        <v>278</v>
      </c>
      <c r="N20" s="182" t="s">
        <v>279</v>
      </c>
    </row>
  </sheetData>
  <mergeCells count="10">
    <mergeCell ref="P4:W4"/>
    <mergeCell ref="A3:B3"/>
    <mergeCell ref="D6:J6"/>
    <mergeCell ref="D9:K11"/>
    <mergeCell ref="B17:B18"/>
    <mergeCell ref="A17:A18"/>
    <mergeCell ref="M3:N3"/>
    <mergeCell ref="A1:N1"/>
    <mergeCell ref="N8:N9"/>
    <mergeCell ref="M8:M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4516-C9ED-467F-8B3D-C6F78A08CF43}">
  <dimension ref="A1:V26"/>
  <sheetViews>
    <sheetView workbookViewId="0">
      <selection activeCell="L15" sqref="L15"/>
    </sheetView>
  </sheetViews>
  <sheetFormatPr defaultRowHeight="15" x14ac:dyDescent="0.25"/>
  <cols>
    <col min="1" max="1" width="15.140625" bestFit="1" customWidth="1"/>
    <col min="2" max="2" width="21" bestFit="1" customWidth="1"/>
    <col min="3" max="3" width="10.28515625" bestFit="1" customWidth="1"/>
    <col min="5" max="5" width="12.5703125" bestFit="1" customWidth="1"/>
    <col min="15" max="15" width="15.140625" bestFit="1" customWidth="1"/>
    <col min="16" max="16" width="21" bestFit="1" customWidth="1"/>
    <col min="17" max="17" width="10.28515625" bestFit="1" customWidth="1"/>
    <col min="19" max="19" width="12.5703125" bestFit="1" customWidth="1"/>
    <col min="23" max="23" width="15.140625" bestFit="1" customWidth="1"/>
    <col min="24" max="24" width="21" bestFit="1" customWidth="1"/>
  </cols>
  <sheetData>
    <row r="1" spans="1:22" x14ac:dyDescent="0.25">
      <c r="A1" s="204" t="s">
        <v>73</v>
      </c>
      <c r="B1" s="204"/>
      <c r="C1" s="30" t="s">
        <v>74</v>
      </c>
      <c r="D1" s="31" t="s">
        <v>75</v>
      </c>
      <c r="E1" s="31" t="s">
        <v>76</v>
      </c>
      <c r="F1" s="31" t="s">
        <v>77</v>
      </c>
      <c r="G1" s="31" t="s">
        <v>78</v>
      </c>
      <c r="H1" s="31" t="s">
        <v>79</v>
      </c>
      <c r="I1" s="10"/>
      <c r="J1" s="10"/>
      <c r="K1" s="10"/>
      <c r="L1" s="10"/>
      <c r="M1" s="10"/>
      <c r="O1" s="204" t="s">
        <v>73</v>
      </c>
      <c r="P1" s="204"/>
      <c r="Q1" s="30" t="s">
        <v>74</v>
      </c>
      <c r="R1" s="31" t="s">
        <v>75</v>
      </c>
      <c r="S1" s="31" t="s">
        <v>76</v>
      </c>
      <c r="T1" s="31" t="s">
        <v>77</v>
      </c>
      <c r="U1" s="31" t="s">
        <v>78</v>
      </c>
      <c r="V1" s="31" t="s">
        <v>79</v>
      </c>
    </row>
    <row r="2" spans="1:22" x14ac:dyDescent="0.25">
      <c r="A2" s="32">
        <f>D2-3</f>
        <v>77</v>
      </c>
      <c r="B2" s="33">
        <f>D2+3</f>
        <v>83</v>
      </c>
      <c r="C2" s="34" t="s">
        <v>80</v>
      </c>
      <c r="D2" s="35">
        <v>80</v>
      </c>
      <c r="E2" s="35">
        <v>32</v>
      </c>
      <c r="F2" s="36">
        <f>0.61081*EXP((17.27*E2)/(237.3+E2))</f>
        <v>4.7548532413075932</v>
      </c>
      <c r="G2" s="36">
        <f>D2*F2/100</f>
        <v>3.8038825930460747</v>
      </c>
      <c r="H2" s="37">
        <f>F2-G2</f>
        <v>0.95097064826151856</v>
      </c>
      <c r="O2" s="32">
        <f>R2-3</f>
        <v>77</v>
      </c>
      <c r="P2" s="33">
        <f>R2+3</f>
        <v>83</v>
      </c>
      <c r="Q2" s="34" t="s">
        <v>80</v>
      </c>
      <c r="R2" s="35">
        <v>80</v>
      </c>
      <c r="S2" s="35">
        <v>32</v>
      </c>
      <c r="T2" s="36">
        <f>0.61081*EXP((17.27*S2)/(237.3+S2))</f>
        <v>4.7548532413075932</v>
      </c>
      <c r="U2" s="36">
        <f>R2*T2/100</f>
        <v>3.8038825930460747</v>
      </c>
      <c r="V2" s="37">
        <f>T2-U2</f>
        <v>0.95097064826151856</v>
      </c>
    </row>
    <row r="3" spans="1:22" x14ac:dyDescent="0.25">
      <c r="A3" s="38">
        <f t="shared" ref="A3:A6" si="0">D3-3</f>
        <v>65</v>
      </c>
      <c r="B3" s="39">
        <f t="shared" ref="B3:B6" si="1">D3+3</f>
        <v>71</v>
      </c>
      <c r="C3" s="40" t="s">
        <v>81</v>
      </c>
      <c r="D3" s="41">
        <f>D2-12</f>
        <v>68</v>
      </c>
      <c r="E3" s="41">
        <v>32</v>
      </c>
      <c r="F3" s="42">
        <f t="shared" ref="F3:F6" si="2">0.61081*EXP((17.27*E3)/(237.3+E3))</f>
        <v>4.7548532413075932</v>
      </c>
      <c r="G3" s="42">
        <f t="shared" ref="G3:G6" si="3">D3*F3/100</f>
        <v>3.2333002040891632</v>
      </c>
      <c r="H3" s="43">
        <f t="shared" ref="H3:H6" si="4">F3-G3</f>
        <v>1.52155303721843</v>
      </c>
      <c r="O3" s="38">
        <f t="shared" ref="O3:O6" si="5">R3-3</f>
        <v>65</v>
      </c>
      <c r="P3" s="39">
        <f t="shared" ref="P3:P6" si="6">R3+3</f>
        <v>71</v>
      </c>
      <c r="Q3" s="40" t="s">
        <v>81</v>
      </c>
      <c r="R3" s="41">
        <f>R2-12</f>
        <v>68</v>
      </c>
      <c r="S3" s="41">
        <v>32</v>
      </c>
      <c r="T3" s="42">
        <f t="shared" ref="T3:T6" si="7">0.61081*EXP((17.27*S3)/(237.3+S3))</f>
        <v>4.7548532413075932</v>
      </c>
      <c r="U3" s="42">
        <f t="shared" ref="U3:U6" si="8">R3*T3/100</f>
        <v>3.2333002040891632</v>
      </c>
      <c r="V3" s="43">
        <f t="shared" ref="V3:V6" si="9">T3-U3</f>
        <v>1.52155303721843</v>
      </c>
    </row>
    <row r="4" spans="1:22" x14ac:dyDescent="0.25">
      <c r="A4" s="38">
        <f t="shared" si="0"/>
        <v>55</v>
      </c>
      <c r="B4" s="39">
        <f t="shared" si="1"/>
        <v>61</v>
      </c>
      <c r="C4" s="44" t="s">
        <v>82</v>
      </c>
      <c r="D4" s="45">
        <v>58</v>
      </c>
      <c r="E4" s="45">
        <v>32</v>
      </c>
      <c r="F4" s="46">
        <f t="shared" si="2"/>
        <v>4.7548532413075932</v>
      </c>
      <c r="G4" s="46">
        <f t="shared" si="3"/>
        <v>2.7578148799584041</v>
      </c>
      <c r="H4" s="47">
        <f t="shared" si="4"/>
        <v>1.9970383613491891</v>
      </c>
      <c r="O4" s="38">
        <f t="shared" si="5"/>
        <v>53</v>
      </c>
      <c r="P4" s="39">
        <f t="shared" si="6"/>
        <v>59</v>
      </c>
      <c r="Q4" s="44" t="s">
        <v>82</v>
      </c>
      <c r="R4" s="45">
        <f t="shared" ref="R4:R6" si="10">R3-12</f>
        <v>56</v>
      </c>
      <c r="S4" s="45">
        <v>32</v>
      </c>
      <c r="T4" s="46">
        <f t="shared" si="7"/>
        <v>4.7548532413075932</v>
      </c>
      <c r="U4" s="46">
        <f t="shared" si="8"/>
        <v>2.6627178151322521</v>
      </c>
      <c r="V4" s="47">
        <f t="shared" si="9"/>
        <v>2.0921354261753411</v>
      </c>
    </row>
    <row r="5" spans="1:22" x14ac:dyDescent="0.25">
      <c r="A5" s="38">
        <f t="shared" si="0"/>
        <v>39</v>
      </c>
      <c r="B5" s="39">
        <f t="shared" si="1"/>
        <v>45</v>
      </c>
      <c r="C5" s="48" t="s">
        <v>83</v>
      </c>
      <c r="D5" s="49">
        <v>42</v>
      </c>
      <c r="E5" s="49">
        <v>32</v>
      </c>
      <c r="F5" s="50">
        <f t="shared" si="2"/>
        <v>4.7548532413075932</v>
      </c>
      <c r="G5" s="50">
        <f t="shared" si="3"/>
        <v>1.9970383613491891</v>
      </c>
      <c r="H5" s="51">
        <f t="shared" si="4"/>
        <v>2.7578148799584041</v>
      </c>
      <c r="O5" s="38">
        <f t="shared" si="5"/>
        <v>41</v>
      </c>
      <c r="P5" s="39">
        <f t="shared" si="6"/>
        <v>47</v>
      </c>
      <c r="Q5" s="48" t="s">
        <v>83</v>
      </c>
      <c r="R5" s="49">
        <f t="shared" si="10"/>
        <v>44</v>
      </c>
      <c r="S5" s="49">
        <v>32</v>
      </c>
      <c r="T5" s="50">
        <f t="shared" si="7"/>
        <v>4.7548532413075932</v>
      </c>
      <c r="U5" s="50">
        <f t="shared" si="8"/>
        <v>2.0921354261753411</v>
      </c>
      <c r="V5" s="51">
        <f t="shared" si="9"/>
        <v>2.6627178151322521</v>
      </c>
    </row>
    <row r="6" spans="1:22" x14ac:dyDescent="0.25">
      <c r="A6" s="56">
        <f t="shared" si="0"/>
        <v>27</v>
      </c>
      <c r="B6" s="57">
        <f t="shared" si="1"/>
        <v>33</v>
      </c>
      <c r="C6" s="52" t="s">
        <v>84</v>
      </c>
      <c r="D6" s="53">
        <v>30</v>
      </c>
      <c r="E6" s="53">
        <v>32</v>
      </c>
      <c r="F6" s="54">
        <f t="shared" si="2"/>
        <v>4.7548532413075932</v>
      </c>
      <c r="G6" s="54">
        <f t="shared" si="3"/>
        <v>1.4264559723922781</v>
      </c>
      <c r="H6" s="55">
        <f t="shared" si="4"/>
        <v>3.3283972689153152</v>
      </c>
      <c r="O6" s="56">
        <f t="shared" si="5"/>
        <v>29</v>
      </c>
      <c r="P6" s="57">
        <f t="shared" si="6"/>
        <v>35</v>
      </c>
      <c r="Q6" s="52" t="s">
        <v>84</v>
      </c>
      <c r="R6" s="53">
        <f t="shared" si="10"/>
        <v>32</v>
      </c>
      <c r="S6" s="53">
        <v>32</v>
      </c>
      <c r="T6" s="54">
        <f t="shared" si="7"/>
        <v>4.7548532413075932</v>
      </c>
      <c r="U6" s="54">
        <f t="shared" si="8"/>
        <v>1.5215530372184298</v>
      </c>
      <c r="V6" s="55">
        <f t="shared" si="9"/>
        <v>3.2333002040891632</v>
      </c>
    </row>
    <row r="9" spans="1:22" x14ac:dyDescent="0.25">
      <c r="V9" t="s">
        <v>85</v>
      </c>
    </row>
    <row r="11" spans="1:22" x14ac:dyDescent="0.25">
      <c r="A11" s="31" t="s">
        <v>86</v>
      </c>
      <c r="B11" s="58" t="s">
        <v>87</v>
      </c>
      <c r="C11" s="205" t="s">
        <v>116</v>
      </c>
      <c r="D11" s="206"/>
      <c r="E11" s="206"/>
      <c r="F11" s="206"/>
      <c r="G11" s="207"/>
      <c r="O11" s="31" t="s">
        <v>86</v>
      </c>
      <c r="P11" s="58" t="s">
        <v>87</v>
      </c>
      <c r="Q11" s="205" t="s">
        <v>115</v>
      </c>
      <c r="R11" s="206"/>
      <c r="S11" s="206"/>
      <c r="T11" s="206"/>
      <c r="U11" s="207"/>
    </row>
    <row r="12" spans="1:22" x14ac:dyDescent="0.25">
      <c r="A12" s="9" t="s">
        <v>88</v>
      </c>
      <c r="B12" s="9">
        <v>60</v>
      </c>
      <c r="C12" s="6">
        <v>78</v>
      </c>
      <c r="D12" s="59">
        <v>71</v>
      </c>
      <c r="E12" s="60">
        <v>63</v>
      </c>
      <c r="F12" s="61">
        <v>48</v>
      </c>
      <c r="G12" s="62"/>
      <c r="O12" s="9" t="s">
        <v>88</v>
      </c>
      <c r="P12" s="9">
        <v>60</v>
      </c>
      <c r="Q12" s="6">
        <v>78</v>
      </c>
      <c r="R12" s="59">
        <v>66</v>
      </c>
      <c r="S12" s="60">
        <v>55</v>
      </c>
      <c r="T12" s="61">
        <v>47</v>
      </c>
      <c r="U12" s="62">
        <v>27</v>
      </c>
    </row>
    <row r="13" spans="1:22" x14ac:dyDescent="0.25">
      <c r="A13" s="9" t="s">
        <v>89</v>
      </c>
      <c r="B13" s="9">
        <v>28</v>
      </c>
      <c r="C13" s="6">
        <v>31.9</v>
      </c>
      <c r="D13" s="59">
        <v>32.1</v>
      </c>
      <c r="E13" s="60">
        <v>32.6</v>
      </c>
      <c r="F13" s="61">
        <v>32</v>
      </c>
      <c r="G13" s="62"/>
      <c r="O13" s="9" t="s">
        <v>89</v>
      </c>
      <c r="P13" s="9">
        <v>28</v>
      </c>
      <c r="Q13" s="6">
        <v>31.7</v>
      </c>
      <c r="R13" s="59">
        <v>31.7</v>
      </c>
      <c r="S13" s="60">
        <v>31.6</v>
      </c>
      <c r="T13" s="61">
        <v>31.9</v>
      </c>
      <c r="U13" s="62">
        <v>32.299999999999997</v>
      </c>
    </row>
    <row r="14" spans="1:22" x14ac:dyDescent="0.25">
      <c r="A14" s="9" t="s">
        <v>90</v>
      </c>
      <c r="B14" s="63">
        <f>0.61081*EXP((17.27*B13)/(237.3+B13))</f>
        <v>3.7799922489062645</v>
      </c>
      <c r="C14" s="36">
        <f t="shared" ref="C14:G14" si="11">0.61081*EXP((17.27*C13)/(237.3+C13))</f>
        <v>4.7280499066035517</v>
      </c>
      <c r="D14" s="64">
        <f t="shared" si="11"/>
        <v>4.7817884563091235</v>
      </c>
      <c r="E14" s="46">
        <f t="shared" si="11"/>
        <v>4.9184617957727275</v>
      </c>
      <c r="F14" s="50">
        <f t="shared" si="11"/>
        <v>4.7548532413075932</v>
      </c>
      <c r="G14" s="54">
        <f t="shared" si="11"/>
        <v>0.61080999999999996</v>
      </c>
      <c r="O14" s="9" t="s">
        <v>90</v>
      </c>
      <c r="P14" s="63">
        <f>0.61081*EXP((17.27*P13)/(237.3+P13))</f>
        <v>3.7799922489062645</v>
      </c>
      <c r="Q14" s="36">
        <f t="shared" ref="Q14:U14" si="12">0.61081*EXP((17.27*Q13)/(237.3+Q13))</f>
        <v>4.6748367155366184</v>
      </c>
      <c r="R14" s="64">
        <f t="shared" si="12"/>
        <v>4.6748367155366184</v>
      </c>
      <c r="S14" s="46">
        <f t="shared" si="12"/>
        <v>4.6484257822496353</v>
      </c>
      <c r="T14" s="50">
        <f t="shared" si="12"/>
        <v>4.7280499066035517</v>
      </c>
      <c r="U14" s="54">
        <f t="shared" si="12"/>
        <v>4.8360567002314436</v>
      </c>
    </row>
    <row r="15" spans="1:22" x14ac:dyDescent="0.25">
      <c r="A15" s="9" t="s">
        <v>91</v>
      </c>
      <c r="B15" s="63">
        <f>B12*B14/100</f>
        <v>2.2679953493437583</v>
      </c>
      <c r="C15" s="36">
        <f t="shared" ref="C15:G15" si="13">C12*C14/100</f>
        <v>3.6878789271507704</v>
      </c>
      <c r="D15" s="64">
        <f t="shared" si="13"/>
        <v>3.3950698039794776</v>
      </c>
      <c r="E15" s="46">
        <f t="shared" si="13"/>
        <v>3.0986309313368183</v>
      </c>
      <c r="F15" s="50">
        <f t="shared" si="13"/>
        <v>2.2823295558276446</v>
      </c>
      <c r="G15" s="54">
        <f t="shared" si="13"/>
        <v>0</v>
      </c>
      <c r="O15" s="9" t="s">
        <v>91</v>
      </c>
      <c r="P15" s="63">
        <f>P12*P14/100</f>
        <v>2.2679953493437583</v>
      </c>
      <c r="Q15" s="36">
        <f t="shared" ref="Q15:U15" si="14">Q12*Q14/100</f>
        <v>3.6463726381185624</v>
      </c>
      <c r="R15" s="64">
        <f t="shared" si="14"/>
        <v>3.0853922322541685</v>
      </c>
      <c r="S15" s="46">
        <f t="shared" si="14"/>
        <v>2.5566341802372996</v>
      </c>
      <c r="T15" s="50">
        <f t="shared" si="14"/>
        <v>2.2221834561036693</v>
      </c>
      <c r="U15" s="54">
        <f t="shared" si="14"/>
        <v>1.3057353090624897</v>
      </c>
    </row>
    <row r="16" spans="1:22" x14ac:dyDescent="0.25">
      <c r="A16" s="9" t="s">
        <v>92</v>
      </c>
      <c r="B16" s="63">
        <f>B14-B15</f>
        <v>1.5119968995625062</v>
      </c>
      <c r="C16" s="36">
        <f>C14-C15</f>
        <v>1.0401709794527814</v>
      </c>
      <c r="D16" s="64">
        <f t="shared" ref="D16:G16" si="15">D14-D15</f>
        <v>1.386718652329646</v>
      </c>
      <c r="E16" s="46">
        <f t="shared" si="15"/>
        <v>1.8198308644359091</v>
      </c>
      <c r="F16" s="50">
        <f t="shared" si="15"/>
        <v>2.4725236854799486</v>
      </c>
      <c r="G16" s="54">
        <f t="shared" si="15"/>
        <v>0.61080999999999996</v>
      </c>
      <c r="O16" s="9" t="s">
        <v>92</v>
      </c>
      <c r="P16" s="63">
        <f>P14-P15</f>
        <v>1.5119968995625062</v>
      </c>
      <c r="Q16" s="36">
        <f>Q14-Q15</f>
        <v>1.028464077418056</v>
      </c>
      <c r="R16" s="64">
        <f t="shared" ref="R16:U16" si="16">R14-R15</f>
        <v>1.5894444832824499</v>
      </c>
      <c r="S16" s="46">
        <f t="shared" si="16"/>
        <v>2.0917916020123357</v>
      </c>
      <c r="T16" s="50">
        <f t="shared" si="16"/>
        <v>2.5058664504998824</v>
      </c>
      <c r="U16" s="54">
        <f t="shared" si="16"/>
        <v>3.5303213911689539</v>
      </c>
    </row>
    <row r="17" spans="1:21" x14ac:dyDescent="0.25">
      <c r="C17" s="2" t="s">
        <v>80</v>
      </c>
      <c r="D17" s="65" t="s">
        <v>81</v>
      </c>
      <c r="E17" s="66" t="s">
        <v>82</v>
      </c>
      <c r="F17" s="67" t="s">
        <v>83</v>
      </c>
      <c r="G17" s="68" t="s">
        <v>84</v>
      </c>
      <c r="Q17" s="2" t="s">
        <v>80</v>
      </c>
      <c r="R17" s="65" t="s">
        <v>81</v>
      </c>
      <c r="S17" s="66" t="s">
        <v>82</v>
      </c>
      <c r="T17" s="67" t="s">
        <v>83</v>
      </c>
      <c r="U17" s="68" t="s">
        <v>84</v>
      </c>
    </row>
    <row r="20" spans="1:21" x14ac:dyDescent="0.25">
      <c r="A20" s="31" t="s">
        <v>86</v>
      </c>
      <c r="B20" s="58" t="s">
        <v>87</v>
      </c>
      <c r="C20" s="205" t="s">
        <v>116</v>
      </c>
      <c r="D20" s="206"/>
      <c r="E20" s="206"/>
      <c r="F20" s="206"/>
      <c r="G20" s="207"/>
    </row>
    <row r="21" spans="1:21" x14ac:dyDescent="0.25">
      <c r="A21" s="9" t="s">
        <v>88</v>
      </c>
      <c r="B21" s="9">
        <v>60</v>
      </c>
      <c r="C21" s="6">
        <v>78.010000000000005</v>
      </c>
      <c r="D21" s="59">
        <v>68.73</v>
      </c>
      <c r="E21" s="60">
        <v>56.77</v>
      </c>
      <c r="F21" s="61">
        <v>43.94</v>
      </c>
      <c r="G21" s="62">
        <v>29.82</v>
      </c>
    </row>
    <row r="22" spans="1:21" x14ac:dyDescent="0.25">
      <c r="A22" s="9" t="s">
        <v>89</v>
      </c>
      <c r="B22" s="9">
        <v>28</v>
      </c>
      <c r="C22" s="6">
        <v>31.88</v>
      </c>
      <c r="D22" s="59">
        <v>31.95</v>
      </c>
      <c r="E22" s="60">
        <v>31.86</v>
      </c>
      <c r="F22" s="61">
        <v>31.99</v>
      </c>
      <c r="G22" s="62">
        <v>32.04</v>
      </c>
    </row>
    <row r="23" spans="1:21" x14ac:dyDescent="0.25">
      <c r="A23" s="9" t="s">
        <v>90</v>
      </c>
      <c r="B23" s="63">
        <f>0.61081*EXP((17.27*B22)/(237.3+B22))</f>
        <v>3.7799922489062645</v>
      </c>
      <c r="C23" s="36">
        <f t="shared" ref="C23:G23" si="17">0.61081*EXP((17.27*C22)/(237.3+C22))</f>
        <v>4.7227050176532988</v>
      </c>
      <c r="D23" s="64">
        <f t="shared" si="17"/>
        <v>4.7414351227763465</v>
      </c>
      <c r="E23" s="46">
        <f t="shared" si="17"/>
        <v>4.7173653779462184</v>
      </c>
      <c r="F23" s="50">
        <f t="shared" si="17"/>
        <v>4.752166982165182</v>
      </c>
      <c r="G23" s="54">
        <f t="shared" si="17"/>
        <v>4.7656114713137772</v>
      </c>
    </row>
    <row r="24" spans="1:21" x14ac:dyDescent="0.25">
      <c r="A24" s="9" t="s">
        <v>91</v>
      </c>
      <c r="B24" s="63">
        <f>B21*B23/100</f>
        <v>2.2679953493437583</v>
      </c>
      <c r="C24" s="36">
        <f t="shared" ref="C24:G24" si="18">C21*C23/100</f>
        <v>3.6841821842713385</v>
      </c>
      <c r="D24" s="64">
        <f t="shared" si="18"/>
        <v>3.2587883598841829</v>
      </c>
      <c r="E24" s="46">
        <f t="shared" si="18"/>
        <v>2.6780483250600686</v>
      </c>
      <c r="F24" s="50">
        <f t="shared" si="18"/>
        <v>2.0881021719633805</v>
      </c>
      <c r="G24" s="54">
        <f t="shared" si="18"/>
        <v>1.4211053407457683</v>
      </c>
    </row>
    <row r="25" spans="1:21" x14ac:dyDescent="0.25">
      <c r="A25" s="9" t="s">
        <v>92</v>
      </c>
      <c r="B25" s="63">
        <f>B23-B24</f>
        <v>1.5119968995625062</v>
      </c>
      <c r="C25" s="36">
        <f>C23-C24</f>
        <v>1.0385228333819603</v>
      </c>
      <c r="D25" s="64">
        <f t="shared" ref="D25:G25" si="19">D23-D24</f>
        <v>1.4826467628921636</v>
      </c>
      <c r="E25" s="46">
        <f t="shared" si="19"/>
        <v>2.0393170528861497</v>
      </c>
      <c r="F25" s="50">
        <f t="shared" si="19"/>
        <v>2.6640648102018014</v>
      </c>
      <c r="G25" s="54">
        <f t="shared" si="19"/>
        <v>3.3445061305680088</v>
      </c>
    </row>
    <row r="26" spans="1:21" x14ac:dyDescent="0.25">
      <c r="C26" s="2" t="s">
        <v>80</v>
      </c>
      <c r="D26" s="65" t="s">
        <v>81</v>
      </c>
      <c r="E26" s="66" t="s">
        <v>82</v>
      </c>
      <c r="F26" s="67" t="s">
        <v>83</v>
      </c>
      <c r="G26" s="68" t="s">
        <v>84</v>
      </c>
    </row>
  </sheetData>
  <mergeCells count="5">
    <mergeCell ref="A1:B1"/>
    <mergeCell ref="O1:P1"/>
    <mergeCell ref="C11:G11"/>
    <mergeCell ref="Q11:U11"/>
    <mergeCell ref="C20:G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B765-DEF9-43EE-AC4D-69B6AFDD4274}">
  <dimension ref="A1:AA161"/>
  <sheetViews>
    <sheetView workbookViewId="0">
      <selection activeCell="E161" sqref="E161"/>
    </sheetView>
  </sheetViews>
  <sheetFormatPr defaultRowHeight="15" x14ac:dyDescent="0.25"/>
  <cols>
    <col min="4" max="4" width="15.140625" customWidth="1"/>
    <col min="5" max="5" width="15" customWidth="1"/>
    <col min="6" max="6" width="15.42578125" customWidth="1"/>
    <col min="7" max="7" width="15.85546875" customWidth="1"/>
    <col min="8" max="8" width="14.140625" customWidth="1"/>
    <col min="9" max="9" width="18.28515625" customWidth="1"/>
    <col min="10" max="10" width="15.28515625" customWidth="1"/>
    <col min="16" max="16" width="14.85546875" customWidth="1"/>
    <col min="17" max="17" width="15.85546875" customWidth="1"/>
    <col min="18" max="18" width="19.28515625" customWidth="1"/>
    <col min="19" max="19" width="14" customWidth="1"/>
    <col min="20" max="20" width="16.28515625" customWidth="1"/>
    <col min="21" max="21" width="14.140625" customWidth="1"/>
    <col min="22" max="22" width="17.85546875" customWidth="1"/>
    <col min="23" max="23" width="14.28515625" customWidth="1"/>
    <col min="26" max="26" width="13.140625" customWidth="1"/>
    <col min="27" max="27" width="20.42578125" style="12" customWidth="1"/>
  </cols>
  <sheetData>
    <row r="1" spans="1:27" ht="31.5" x14ac:dyDescent="0.25">
      <c r="A1" s="83" t="s">
        <v>44</v>
      </c>
      <c r="B1" s="83" t="s">
        <v>96</v>
      </c>
      <c r="C1" s="83" t="s">
        <v>97</v>
      </c>
      <c r="D1" s="84" t="s">
        <v>98</v>
      </c>
      <c r="E1" s="85" t="s">
        <v>99</v>
      </c>
      <c r="F1" s="85" t="s">
        <v>25</v>
      </c>
      <c r="G1" s="85" t="s">
        <v>100</v>
      </c>
      <c r="H1" s="85" t="s">
        <v>26</v>
      </c>
      <c r="I1" s="85" t="s">
        <v>101</v>
      </c>
      <c r="J1" s="85" t="s">
        <v>42</v>
      </c>
      <c r="M1" s="83" t="s">
        <v>44</v>
      </c>
      <c r="N1" s="83" t="s">
        <v>96</v>
      </c>
      <c r="O1" s="83" t="s">
        <v>97</v>
      </c>
      <c r="P1" s="84" t="s">
        <v>98</v>
      </c>
      <c r="Q1" s="85" t="s">
        <v>112</v>
      </c>
      <c r="R1" s="85" t="s">
        <v>118</v>
      </c>
      <c r="S1" s="85" t="s">
        <v>25</v>
      </c>
      <c r="T1" s="85" t="s">
        <v>100</v>
      </c>
      <c r="U1" s="85" t="s">
        <v>26</v>
      </c>
      <c r="V1" s="85" t="s">
        <v>101</v>
      </c>
      <c r="W1" s="85" t="s">
        <v>42</v>
      </c>
      <c r="Y1" s="133" t="s">
        <v>121</v>
      </c>
      <c r="Z1" s="133" t="s">
        <v>74</v>
      </c>
      <c r="AA1" s="133" t="s">
        <v>122</v>
      </c>
    </row>
    <row r="2" spans="1:27" x14ac:dyDescent="0.25">
      <c r="A2" s="208"/>
      <c r="B2" s="211" t="s">
        <v>102</v>
      </c>
      <c r="C2" s="86">
        <v>17</v>
      </c>
      <c r="D2" s="72">
        <v>1433.3</v>
      </c>
      <c r="E2" s="87">
        <v>2249.9</v>
      </c>
      <c r="F2" s="87">
        <f>E2- D2</f>
        <v>816.60000000000014</v>
      </c>
      <c r="G2" s="87">
        <v>1184.3999999999999</v>
      </c>
      <c r="H2" s="88">
        <f>(F2/$G2)*100</f>
        <v>68.946301925025338</v>
      </c>
      <c r="I2" s="87">
        <v>829.07999999999981</v>
      </c>
      <c r="J2" s="89">
        <f>I2-F2</f>
        <v>12.479999999999677</v>
      </c>
      <c r="M2" s="208">
        <v>0.37222222222222223</v>
      </c>
      <c r="N2" s="211" t="s">
        <v>102</v>
      </c>
      <c r="O2" s="86">
        <v>17</v>
      </c>
      <c r="P2" s="72">
        <v>1433.3</v>
      </c>
      <c r="Q2" s="87">
        <v>2248.6</v>
      </c>
      <c r="R2" s="87">
        <f>Q2-0.4</f>
        <v>2248.1999999999998</v>
      </c>
      <c r="S2" s="87">
        <f>R2- P2</f>
        <v>814.89999999999986</v>
      </c>
      <c r="T2" s="87">
        <v>1184.3999999999999</v>
      </c>
      <c r="U2" s="88">
        <f>(S2/$G2)*100</f>
        <v>68.802769334684228</v>
      </c>
      <c r="V2" s="87">
        <v>829.07999999999981</v>
      </c>
      <c r="W2" s="89">
        <f>V2-S2</f>
        <v>14.17999999999995</v>
      </c>
      <c r="Y2" s="86">
        <v>17</v>
      </c>
      <c r="Z2" s="241" t="s">
        <v>80</v>
      </c>
      <c r="AA2" s="12">
        <f>Q2-Q18</f>
        <v>7.4000000000000909</v>
      </c>
    </row>
    <row r="3" spans="1:27" x14ac:dyDescent="0.25">
      <c r="A3" s="209"/>
      <c r="B3" s="209"/>
      <c r="C3" s="90">
        <v>18</v>
      </c>
      <c r="D3" s="72">
        <v>1495.5</v>
      </c>
      <c r="E3" s="72">
        <v>2313.3000000000002</v>
      </c>
      <c r="F3" s="72">
        <f t="shared" ref="F3:F17" si="0">E3- D3</f>
        <v>817.80000000000018</v>
      </c>
      <c r="G3" s="72">
        <v>1186.5</v>
      </c>
      <c r="H3" s="91">
        <f t="shared" ref="H3:H17" si="1">(F3/$G3)*100</f>
        <v>68.925410872313535</v>
      </c>
      <c r="I3" s="72">
        <v>830.55</v>
      </c>
      <c r="J3" s="92">
        <f t="shared" ref="J3:J17" si="2">I3-F3</f>
        <v>12.749999999999773</v>
      </c>
      <c r="M3" s="209"/>
      <c r="N3" s="233"/>
      <c r="O3" s="90">
        <v>18</v>
      </c>
      <c r="P3" s="72">
        <v>1495.5</v>
      </c>
      <c r="Q3" s="72">
        <v>2314.1</v>
      </c>
      <c r="R3" s="72">
        <f t="shared" ref="R3:R66" si="3">Q3-0.4</f>
        <v>2313.6999999999998</v>
      </c>
      <c r="S3" s="72">
        <f t="shared" ref="S3:S66" si="4">R3- P3</f>
        <v>818.19999999999982</v>
      </c>
      <c r="T3" s="72">
        <v>1186.5</v>
      </c>
      <c r="U3" s="91">
        <f t="shared" ref="U3:U17" si="5">(S3/$G3)*100</f>
        <v>68.959123472397792</v>
      </c>
      <c r="V3" s="72">
        <v>830.55</v>
      </c>
      <c r="W3" s="92">
        <f t="shared" ref="W3:W17" si="6">V3-S3</f>
        <v>12.350000000000136</v>
      </c>
      <c r="Y3" s="90">
        <v>18</v>
      </c>
      <c r="Z3" s="241"/>
      <c r="AA3" s="12">
        <f>Q3-Q19</f>
        <v>7.9000000000000909</v>
      </c>
    </row>
    <row r="4" spans="1:27" x14ac:dyDescent="0.25">
      <c r="A4" s="209"/>
      <c r="B4" s="209"/>
      <c r="C4" s="90">
        <v>19</v>
      </c>
      <c r="D4" s="72">
        <v>1582.5</v>
      </c>
      <c r="E4" s="72">
        <v>2469.6999999999998</v>
      </c>
      <c r="F4" s="72">
        <f t="shared" si="0"/>
        <v>887.19999999999982</v>
      </c>
      <c r="G4" s="72">
        <v>1277.9000000000001</v>
      </c>
      <c r="H4" s="91">
        <f t="shared" si="1"/>
        <v>69.426402691916408</v>
      </c>
      <c r="I4" s="72">
        <v>894.53</v>
      </c>
      <c r="J4" s="92">
        <f t="shared" si="2"/>
        <v>7.3300000000001546</v>
      </c>
      <c r="M4" s="209"/>
      <c r="N4" s="233"/>
      <c r="O4" s="90">
        <v>19</v>
      </c>
      <c r="P4" s="72">
        <v>1582.5</v>
      </c>
      <c r="Q4" s="72">
        <v>2469.3000000000002</v>
      </c>
      <c r="R4" s="72">
        <f t="shared" si="3"/>
        <v>2468.9</v>
      </c>
      <c r="S4" s="72">
        <f t="shared" si="4"/>
        <v>886.40000000000009</v>
      </c>
      <c r="T4" s="72">
        <v>1277.9000000000001</v>
      </c>
      <c r="U4" s="91">
        <f t="shared" si="5"/>
        <v>69.363799984349328</v>
      </c>
      <c r="V4" s="72">
        <v>894.53</v>
      </c>
      <c r="W4" s="92">
        <f t="shared" si="6"/>
        <v>8.1299999999998818</v>
      </c>
      <c r="Y4" s="90">
        <v>19</v>
      </c>
      <c r="Z4" s="241"/>
      <c r="AA4" s="12">
        <f>Q4-Q20</f>
        <v>5.4000000000000909</v>
      </c>
    </row>
    <row r="5" spans="1:27" x14ac:dyDescent="0.25">
      <c r="A5" s="209"/>
      <c r="B5" s="209"/>
      <c r="C5" s="90">
        <v>20</v>
      </c>
      <c r="D5" s="72">
        <v>1849.2</v>
      </c>
      <c r="E5" s="72">
        <v>2781.9</v>
      </c>
      <c r="F5" s="72">
        <f t="shared" si="0"/>
        <v>932.7</v>
      </c>
      <c r="G5" s="72">
        <v>1354.8</v>
      </c>
      <c r="H5" s="91">
        <f t="shared" si="1"/>
        <v>68.844109831709488</v>
      </c>
      <c r="I5" s="72">
        <v>948.36</v>
      </c>
      <c r="J5" s="92">
        <f t="shared" si="2"/>
        <v>15.659999999999968</v>
      </c>
      <c r="M5" s="209"/>
      <c r="N5" s="233"/>
      <c r="O5" s="90">
        <v>20</v>
      </c>
      <c r="P5" s="72">
        <v>1849.2</v>
      </c>
      <c r="Q5" s="72">
        <v>2787.5</v>
      </c>
      <c r="R5" s="72">
        <f t="shared" si="3"/>
        <v>2787.1</v>
      </c>
      <c r="S5" s="72">
        <f t="shared" si="4"/>
        <v>937.89999999999986</v>
      </c>
      <c r="T5" s="72">
        <v>1354.8</v>
      </c>
      <c r="U5" s="91">
        <f t="shared" si="5"/>
        <v>69.227930321818704</v>
      </c>
      <c r="V5" s="72">
        <v>948.36</v>
      </c>
      <c r="W5" s="92">
        <f t="shared" si="6"/>
        <v>10.46000000000015</v>
      </c>
      <c r="Y5" s="90">
        <v>20</v>
      </c>
      <c r="Z5" s="241"/>
      <c r="AA5" s="12">
        <f t="shared" ref="AA5:AA17" si="7">Q5-Q21</f>
        <v>7.4000000000000909</v>
      </c>
    </row>
    <row r="6" spans="1:27" x14ac:dyDescent="0.25">
      <c r="A6" s="209"/>
      <c r="B6" s="209"/>
      <c r="C6" s="90">
        <v>21</v>
      </c>
      <c r="D6" s="72">
        <v>1508.3</v>
      </c>
      <c r="E6" s="72">
        <v>2339.5</v>
      </c>
      <c r="F6" s="72">
        <f t="shared" si="0"/>
        <v>831.2</v>
      </c>
      <c r="G6" s="72">
        <v>1207.6000000000001</v>
      </c>
      <c r="H6" s="91">
        <f t="shared" si="1"/>
        <v>68.830738655183836</v>
      </c>
      <c r="I6" s="72">
        <v>845.32000000000016</v>
      </c>
      <c r="J6" s="92">
        <f t="shared" si="2"/>
        <v>14.120000000000118</v>
      </c>
      <c r="M6" s="209"/>
      <c r="N6" s="233"/>
      <c r="O6" s="90">
        <v>21</v>
      </c>
      <c r="P6" s="72">
        <v>1508.3</v>
      </c>
      <c r="Q6" s="72">
        <v>2339.8000000000002</v>
      </c>
      <c r="R6" s="72">
        <f t="shared" si="3"/>
        <v>2339.4</v>
      </c>
      <c r="S6" s="72">
        <f t="shared" si="4"/>
        <v>831.10000000000014</v>
      </c>
      <c r="T6" s="72">
        <v>1207.6000000000001</v>
      </c>
      <c r="U6" s="91">
        <f t="shared" si="5"/>
        <v>68.822457767472685</v>
      </c>
      <c r="V6" s="72">
        <v>845.32000000000016</v>
      </c>
      <c r="W6" s="92">
        <f t="shared" si="6"/>
        <v>14.220000000000027</v>
      </c>
      <c r="Y6" s="90">
        <v>21</v>
      </c>
      <c r="Z6" s="241"/>
      <c r="AA6" s="12">
        <f t="shared" si="7"/>
        <v>8.8000000000001819</v>
      </c>
    </row>
    <row r="7" spans="1:27" x14ac:dyDescent="0.25">
      <c r="A7" s="209"/>
      <c r="B7" s="209"/>
      <c r="C7" s="90">
        <v>22</v>
      </c>
      <c r="D7" s="72">
        <v>1564.3</v>
      </c>
      <c r="E7" s="72">
        <v>2445.9</v>
      </c>
      <c r="F7" s="72">
        <f t="shared" si="0"/>
        <v>881.60000000000014</v>
      </c>
      <c r="G7" s="72">
        <v>1266.1000000000001</v>
      </c>
      <c r="H7" s="91">
        <f t="shared" si="1"/>
        <v>69.631150777979627</v>
      </c>
      <c r="I7" s="72">
        <v>886.2700000000001</v>
      </c>
      <c r="J7" s="92">
        <f t="shared" si="2"/>
        <v>4.6699999999999591</v>
      </c>
      <c r="M7" s="209"/>
      <c r="N7" s="233"/>
      <c r="O7" s="90">
        <v>22</v>
      </c>
      <c r="P7" s="72">
        <v>1564.3</v>
      </c>
      <c r="Q7" s="72">
        <v>2439</v>
      </c>
      <c r="R7" s="72">
        <f t="shared" si="3"/>
        <v>2438.6</v>
      </c>
      <c r="S7" s="72">
        <f t="shared" si="4"/>
        <v>874.3</v>
      </c>
      <c r="T7" s="72">
        <v>1266.1000000000001</v>
      </c>
      <c r="U7" s="91">
        <f t="shared" si="5"/>
        <v>69.054577047626566</v>
      </c>
      <c r="V7" s="72">
        <v>886.2700000000001</v>
      </c>
      <c r="W7" s="92">
        <f t="shared" si="6"/>
        <v>11.970000000000141</v>
      </c>
      <c r="Y7" s="90">
        <v>22</v>
      </c>
      <c r="Z7" s="241"/>
      <c r="AA7" s="12">
        <f t="shared" si="7"/>
        <v>8.3000000000001819</v>
      </c>
    </row>
    <row r="8" spans="1:27" x14ac:dyDescent="0.25">
      <c r="A8" s="209"/>
      <c r="B8" s="209"/>
      <c r="C8" s="90">
        <v>23</v>
      </c>
      <c r="D8" s="72">
        <v>1694.5</v>
      </c>
      <c r="E8" s="72">
        <v>2631.1</v>
      </c>
      <c r="F8" s="72">
        <f t="shared" si="0"/>
        <v>936.59999999999991</v>
      </c>
      <c r="G8" s="72">
        <v>1351</v>
      </c>
      <c r="H8" s="91">
        <f t="shared" si="1"/>
        <v>69.326424870466326</v>
      </c>
      <c r="I8" s="72">
        <v>945.7</v>
      </c>
      <c r="J8" s="92">
        <f t="shared" si="2"/>
        <v>9.1000000000001364</v>
      </c>
      <c r="M8" s="209"/>
      <c r="N8" s="233"/>
      <c r="O8" s="90">
        <v>23</v>
      </c>
      <c r="P8" s="72">
        <v>1694.5</v>
      </c>
      <c r="Q8" s="72">
        <v>2624.1</v>
      </c>
      <c r="R8" s="72">
        <f t="shared" si="3"/>
        <v>2623.7</v>
      </c>
      <c r="S8" s="72">
        <f t="shared" si="4"/>
        <v>929.19999999999982</v>
      </c>
      <c r="T8" s="72">
        <v>1351</v>
      </c>
      <c r="U8" s="91">
        <f t="shared" si="5"/>
        <v>68.778682457438919</v>
      </c>
      <c r="V8" s="72">
        <v>945.7</v>
      </c>
      <c r="W8" s="92">
        <f t="shared" si="6"/>
        <v>16.500000000000227</v>
      </c>
      <c r="Y8" s="90">
        <v>23</v>
      </c>
      <c r="Z8" s="241"/>
      <c r="AA8" s="12">
        <f t="shared" si="7"/>
        <v>11.299999999999727</v>
      </c>
    </row>
    <row r="9" spans="1:27" x14ac:dyDescent="0.25">
      <c r="A9" s="209"/>
      <c r="B9" s="209"/>
      <c r="C9" s="90">
        <v>24</v>
      </c>
      <c r="D9" s="72">
        <v>1623.4</v>
      </c>
      <c r="E9" s="72">
        <v>2486.5</v>
      </c>
      <c r="F9" s="72">
        <f t="shared" si="0"/>
        <v>863.09999999999991</v>
      </c>
      <c r="G9" s="72">
        <v>1245.0999999999999</v>
      </c>
      <c r="H9" s="91">
        <f t="shared" si="1"/>
        <v>69.319733354750625</v>
      </c>
      <c r="I9" s="72">
        <v>871.57</v>
      </c>
      <c r="J9" s="92">
        <f t="shared" si="2"/>
        <v>8.470000000000141</v>
      </c>
      <c r="M9" s="209"/>
      <c r="N9" s="233"/>
      <c r="O9" s="90">
        <v>24</v>
      </c>
      <c r="P9" s="72">
        <v>1623.4</v>
      </c>
      <c r="Q9" s="72">
        <v>2483.3000000000002</v>
      </c>
      <c r="R9" s="72">
        <f t="shared" si="3"/>
        <v>2482.9</v>
      </c>
      <c r="S9" s="72">
        <f t="shared" si="4"/>
        <v>859.5</v>
      </c>
      <c r="T9" s="72">
        <v>1245.0999999999999</v>
      </c>
      <c r="U9" s="91">
        <f t="shared" si="5"/>
        <v>69.030599951811098</v>
      </c>
      <c r="V9" s="72">
        <v>871.57</v>
      </c>
      <c r="W9" s="92">
        <f t="shared" si="6"/>
        <v>12.07000000000005</v>
      </c>
      <c r="Y9" s="90">
        <v>24</v>
      </c>
      <c r="Z9" s="241"/>
      <c r="AA9" s="12">
        <f t="shared" si="7"/>
        <v>8.4000000000000909</v>
      </c>
    </row>
    <row r="10" spans="1:27" x14ac:dyDescent="0.25">
      <c r="A10" s="209"/>
      <c r="B10" s="209"/>
      <c r="C10" s="90">
        <v>25</v>
      </c>
      <c r="D10" s="72">
        <v>1579.9</v>
      </c>
      <c r="E10" s="72">
        <v>2443.9</v>
      </c>
      <c r="F10" s="72">
        <f t="shared" si="0"/>
        <v>864</v>
      </c>
      <c r="G10" s="72">
        <v>1253.5999999999999</v>
      </c>
      <c r="H10" s="91">
        <f t="shared" si="1"/>
        <v>68.921506062539891</v>
      </c>
      <c r="I10" s="72">
        <v>877.52</v>
      </c>
      <c r="J10" s="92">
        <f t="shared" si="2"/>
        <v>13.519999999999982</v>
      </c>
      <c r="M10" s="209"/>
      <c r="N10" s="233"/>
      <c r="O10" s="90">
        <v>25</v>
      </c>
      <c r="P10" s="72">
        <v>1579.9</v>
      </c>
      <c r="Q10" s="72">
        <v>2446.6</v>
      </c>
      <c r="R10" s="72">
        <f t="shared" si="3"/>
        <v>2446.1999999999998</v>
      </c>
      <c r="S10" s="72">
        <f t="shared" si="4"/>
        <v>866.29999999999973</v>
      </c>
      <c r="T10" s="72">
        <v>1253.5999999999999</v>
      </c>
      <c r="U10" s="91">
        <f t="shared" si="5"/>
        <v>69.104977664326725</v>
      </c>
      <c r="V10" s="72">
        <v>877.52</v>
      </c>
      <c r="W10" s="92">
        <f t="shared" si="6"/>
        <v>11.220000000000255</v>
      </c>
      <c r="Y10" s="90">
        <v>25</v>
      </c>
      <c r="Z10" s="241"/>
      <c r="AA10" s="12">
        <f t="shared" si="7"/>
        <v>9.1999999999998181</v>
      </c>
    </row>
    <row r="11" spans="1:27" x14ac:dyDescent="0.25">
      <c r="A11" s="209"/>
      <c r="B11" s="209"/>
      <c r="C11" s="90">
        <v>26</v>
      </c>
      <c r="D11" s="72">
        <v>1507</v>
      </c>
      <c r="E11" s="72">
        <v>2341.9</v>
      </c>
      <c r="F11" s="72">
        <f t="shared" si="0"/>
        <v>834.90000000000009</v>
      </c>
      <c r="G11" s="72">
        <v>1216</v>
      </c>
      <c r="H11" s="91">
        <f t="shared" si="1"/>
        <v>68.65953947368422</v>
      </c>
      <c r="I11" s="72">
        <v>851.2</v>
      </c>
      <c r="J11" s="92">
        <f t="shared" si="2"/>
        <v>16.299999999999955</v>
      </c>
      <c r="M11" s="209"/>
      <c r="N11" s="233"/>
      <c r="O11" s="90">
        <v>26</v>
      </c>
      <c r="P11" s="72">
        <v>1507</v>
      </c>
      <c r="Q11" s="72">
        <v>2344.41</v>
      </c>
      <c r="R11" s="72">
        <f t="shared" si="3"/>
        <v>2344.0099999999998</v>
      </c>
      <c r="S11" s="72">
        <f t="shared" si="4"/>
        <v>837.00999999999976</v>
      </c>
      <c r="T11" s="72">
        <v>1216</v>
      </c>
      <c r="U11" s="91">
        <f t="shared" si="5"/>
        <v>68.833059210526287</v>
      </c>
      <c r="V11" s="72">
        <v>851.2</v>
      </c>
      <c r="W11" s="92">
        <f t="shared" si="6"/>
        <v>14.190000000000282</v>
      </c>
      <c r="Y11" s="90">
        <v>26</v>
      </c>
      <c r="Z11" s="241"/>
      <c r="AA11" s="12">
        <f t="shared" si="7"/>
        <v>7.7100000000000364</v>
      </c>
    </row>
    <row r="12" spans="1:27" x14ac:dyDescent="0.25">
      <c r="A12" s="209"/>
      <c r="B12" s="209"/>
      <c r="C12" s="130">
        <v>27</v>
      </c>
      <c r="D12" s="18">
        <v>1494.6</v>
      </c>
      <c r="E12" s="18"/>
      <c r="F12" s="18">
        <f t="shared" si="0"/>
        <v>-1494.6</v>
      </c>
      <c r="G12" s="18">
        <v>1240.8000000000002</v>
      </c>
      <c r="H12" s="19">
        <f t="shared" si="1"/>
        <v>-120.45454545454544</v>
      </c>
      <c r="I12" s="18">
        <v>868.56000000000017</v>
      </c>
      <c r="J12" s="131">
        <f t="shared" si="2"/>
        <v>2363.16</v>
      </c>
      <c r="M12" s="209"/>
      <c r="N12" s="233"/>
      <c r="O12" s="130">
        <v>27</v>
      </c>
      <c r="P12" s="18">
        <v>1494.6</v>
      </c>
      <c r="Q12" s="18"/>
      <c r="R12" s="18">
        <f t="shared" si="3"/>
        <v>-0.4</v>
      </c>
      <c r="S12" s="18">
        <f t="shared" si="4"/>
        <v>-1495</v>
      </c>
      <c r="T12" s="18">
        <v>1240.8000000000002</v>
      </c>
      <c r="U12" s="19">
        <f t="shared" si="5"/>
        <v>-120.48678272082525</v>
      </c>
      <c r="V12" s="18">
        <v>868.56000000000017</v>
      </c>
      <c r="W12" s="131">
        <f t="shared" si="6"/>
        <v>2363.5600000000004</v>
      </c>
      <c r="Y12" s="130">
        <v>27</v>
      </c>
      <c r="Z12" s="241"/>
      <c r="AA12" s="18">
        <f t="shared" si="7"/>
        <v>0</v>
      </c>
    </row>
    <row r="13" spans="1:27" x14ac:dyDescent="0.25">
      <c r="A13" s="209"/>
      <c r="B13" s="209"/>
      <c r="C13" s="90">
        <v>28</v>
      </c>
      <c r="D13" s="72">
        <v>1433.8</v>
      </c>
      <c r="E13" s="72">
        <v>2188.9</v>
      </c>
      <c r="F13" s="72">
        <f t="shared" si="0"/>
        <v>755.10000000000014</v>
      </c>
      <c r="G13" s="72">
        <v>1108.5000000000002</v>
      </c>
      <c r="H13" s="91">
        <f t="shared" si="1"/>
        <v>68.119079837618401</v>
      </c>
      <c r="I13" s="72">
        <v>775.95000000000016</v>
      </c>
      <c r="J13" s="92">
        <f t="shared" si="2"/>
        <v>20.850000000000023</v>
      </c>
      <c r="M13" s="209"/>
      <c r="N13" s="233"/>
      <c r="O13" s="90">
        <v>28</v>
      </c>
      <c r="P13" s="72">
        <v>1433.8</v>
      </c>
      <c r="Q13" s="72">
        <v>2200.1</v>
      </c>
      <c r="R13" s="72">
        <f t="shared" si="3"/>
        <v>2199.6999999999998</v>
      </c>
      <c r="S13" s="72">
        <f t="shared" si="4"/>
        <v>765.89999999999986</v>
      </c>
      <c r="T13" s="72">
        <v>1108.5000000000002</v>
      </c>
      <c r="U13" s="91">
        <f t="shared" si="5"/>
        <v>69.093369418132582</v>
      </c>
      <c r="V13" s="72">
        <v>775.95000000000016</v>
      </c>
      <c r="W13" s="92">
        <f t="shared" si="6"/>
        <v>10.050000000000296</v>
      </c>
      <c r="Y13" s="90">
        <v>28</v>
      </c>
      <c r="Z13" s="241"/>
      <c r="AA13" s="12">
        <f t="shared" si="7"/>
        <v>9.1999999999998181</v>
      </c>
    </row>
    <row r="14" spans="1:27" x14ac:dyDescent="0.25">
      <c r="A14" s="209"/>
      <c r="B14" s="209"/>
      <c r="C14" s="130">
        <v>29</v>
      </c>
      <c r="D14" s="18">
        <v>1523.3</v>
      </c>
      <c r="E14" s="18"/>
      <c r="F14" s="18">
        <f t="shared" si="0"/>
        <v>-1523.3</v>
      </c>
      <c r="G14" s="18">
        <v>1345.1000000000001</v>
      </c>
      <c r="H14" s="19">
        <f t="shared" si="1"/>
        <v>-113.24808564419</v>
      </c>
      <c r="I14" s="18">
        <v>941.57000000000016</v>
      </c>
      <c r="J14" s="131">
        <f t="shared" si="2"/>
        <v>2464.87</v>
      </c>
      <c r="M14" s="209"/>
      <c r="N14" s="233"/>
      <c r="O14" s="130">
        <v>29</v>
      </c>
      <c r="P14" s="18">
        <v>1523.3</v>
      </c>
      <c r="Q14" s="18"/>
      <c r="R14" s="18">
        <f t="shared" si="3"/>
        <v>-0.4</v>
      </c>
      <c r="S14" s="18">
        <f t="shared" si="4"/>
        <v>-1523.7</v>
      </c>
      <c r="T14" s="18">
        <v>1345.1000000000001</v>
      </c>
      <c r="U14" s="19">
        <f t="shared" si="5"/>
        <v>-113.27782321017024</v>
      </c>
      <c r="V14" s="18">
        <v>941.57000000000016</v>
      </c>
      <c r="W14" s="131">
        <f t="shared" si="6"/>
        <v>2465.2700000000004</v>
      </c>
      <c r="Y14" s="130">
        <v>29</v>
      </c>
      <c r="Z14" s="241"/>
      <c r="AA14" s="18">
        <f t="shared" si="7"/>
        <v>0</v>
      </c>
    </row>
    <row r="15" spans="1:27" x14ac:dyDescent="0.25">
      <c r="A15" s="209"/>
      <c r="B15" s="209"/>
      <c r="C15" s="90">
        <v>30</v>
      </c>
      <c r="D15" s="72">
        <v>1480.6</v>
      </c>
      <c r="E15" s="72">
        <v>2319.5</v>
      </c>
      <c r="F15" s="72">
        <f t="shared" si="0"/>
        <v>838.90000000000009</v>
      </c>
      <c r="G15" s="72">
        <v>1212.5999999999999</v>
      </c>
      <c r="H15" s="91">
        <f t="shared" si="1"/>
        <v>69.181923140359572</v>
      </c>
      <c r="I15" s="72">
        <v>848.82</v>
      </c>
      <c r="J15" s="92">
        <f t="shared" si="2"/>
        <v>9.9199999999999591</v>
      </c>
      <c r="M15" s="209"/>
      <c r="N15" s="233"/>
      <c r="O15" s="90">
        <v>30</v>
      </c>
      <c r="P15" s="72">
        <v>1480.6</v>
      </c>
      <c r="Q15" s="72">
        <v>2318.8000000000002</v>
      </c>
      <c r="R15" s="72">
        <f t="shared" si="3"/>
        <v>2318.4</v>
      </c>
      <c r="S15" s="72">
        <f t="shared" si="4"/>
        <v>837.80000000000018</v>
      </c>
      <c r="T15" s="72">
        <v>1212.5999999999999</v>
      </c>
      <c r="U15" s="91">
        <f t="shared" si="5"/>
        <v>69.091208972455902</v>
      </c>
      <c r="V15" s="72">
        <v>848.82</v>
      </c>
      <c r="W15" s="92">
        <f t="shared" si="6"/>
        <v>11.019999999999868</v>
      </c>
      <c r="Y15" s="90">
        <v>30</v>
      </c>
      <c r="Z15" s="241"/>
      <c r="AA15" s="12">
        <f t="shared" si="7"/>
        <v>6.6000000000003638</v>
      </c>
    </row>
    <row r="16" spans="1:27" x14ac:dyDescent="0.25">
      <c r="A16" s="209"/>
      <c r="B16" s="209"/>
      <c r="C16" s="90">
        <v>31</v>
      </c>
      <c r="D16" s="72">
        <v>1526.6</v>
      </c>
      <c r="E16" s="72">
        <v>2395.8000000000002</v>
      </c>
      <c r="F16" s="72">
        <f t="shared" si="0"/>
        <v>869.20000000000027</v>
      </c>
      <c r="G16" s="72">
        <v>1252.0999999999999</v>
      </c>
      <c r="H16" s="91">
        <f t="shared" si="1"/>
        <v>69.419375449245294</v>
      </c>
      <c r="I16" s="72">
        <v>876.47</v>
      </c>
      <c r="J16" s="92">
        <f t="shared" si="2"/>
        <v>7.2699999999997544</v>
      </c>
      <c r="M16" s="209"/>
      <c r="N16" s="233"/>
      <c r="O16" s="90">
        <v>31</v>
      </c>
      <c r="P16" s="72">
        <v>1526.6</v>
      </c>
      <c r="Q16" s="72">
        <v>2396.6</v>
      </c>
      <c r="R16" s="72">
        <f t="shared" si="3"/>
        <v>2396.1999999999998</v>
      </c>
      <c r="S16" s="72">
        <f t="shared" si="4"/>
        <v>869.59999999999991</v>
      </c>
      <c r="T16" s="72">
        <v>1252.0999999999999</v>
      </c>
      <c r="U16" s="91">
        <f t="shared" si="5"/>
        <v>69.451321779410591</v>
      </c>
      <c r="V16" s="72">
        <v>876.47</v>
      </c>
      <c r="W16" s="92">
        <f t="shared" si="6"/>
        <v>6.8700000000001182</v>
      </c>
      <c r="Y16" s="90">
        <v>31</v>
      </c>
      <c r="Z16" s="241"/>
      <c r="AA16" s="12">
        <f t="shared" si="7"/>
        <v>3.5</v>
      </c>
    </row>
    <row r="17" spans="1:27" x14ac:dyDescent="0.25">
      <c r="A17" s="210"/>
      <c r="B17" s="210"/>
      <c r="C17" s="93">
        <v>32</v>
      </c>
      <c r="D17" s="6">
        <v>1496.7</v>
      </c>
      <c r="E17" s="94">
        <v>2407.4</v>
      </c>
      <c r="F17" s="94">
        <f t="shared" si="0"/>
        <v>910.7</v>
      </c>
      <c r="G17" s="94">
        <v>1307.1000000000001</v>
      </c>
      <c r="H17" s="95">
        <f t="shared" si="1"/>
        <v>69.673322622599642</v>
      </c>
      <c r="I17" s="94">
        <v>914.97000000000014</v>
      </c>
      <c r="J17" s="96">
        <f t="shared" si="2"/>
        <v>4.2700000000000955</v>
      </c>
      <c r="M17" s="210"/>
      <c r="N17" s="234"/>
      <c r="O17" s="93">
        <v>32</v>
      </c>
      <c r="P17" s="6">
        <v>1496.7</v>
      </c>
      <c r="Q17" s="94">
        <v>2399.3000000000002</v>
      </c>
      <c r="R17" s="94">
        <f t="shared" si="3"/>
        <v>2398.9</v>
      </c>
      <c r="S17" s="94">
        <f t="shared" si="4"/>
        <v>902.2</v>
      </c>
      <c r="T17" s="94">
        <v>1307.1000000000001</v>
      </c>
      <c r="U17" s="95">
        <f t="shared" si="5"/>
        <v>69.023028077423305</v>
      </c>
      <c r="V17" s="94">
        <v>914.97000000000014</v>
      </c>
      <c r="W17" s="96">
        <f t="shared" si="6"/>
        <v>12.770000000000095</v>
      </c>
      <c r="Y17" s="93">
        <v>32</v>
      </c>
      <c r="Z17" s="241"/>
      <c r="AA17" s="12">
        <f t="shared" si="7"/>
        <v>6.3000000000001819</v>
      </c>
    </row>
    <row r="18" spans="1:27" x14ac:dyDescent="0.25">
      <c r="A18" s="208"/>
      <c r="B18" s="212" t="s">
        <v>103</v>
      </c>
      <c r="C18" s="86">
        <v>17</v>
      </c>
      <c r="D18" s="72">
        <v>1433.3</v>
      </c>
      <c r="E18" s="87">
        <v>2237.1999999999998</v>
      </c>
      <c r="F18" s="87">
        <f>E18- D18</f>
        <v>803.89999999999986</v>
      </c>
      <c r="G18" s="87">
        <v>1184.3999999999999</v>
      </c>
      <c r="H18" s="88">
        <f>(F18/$G18)*100</f>
        <v>67.874029044241809</v>
      </c>
      <c r="I18" s="87">
        <v>829.07999999999981</v>
      </c>
      <c r="J18" s="89">
        <f>I18-F18</f>
        <v>25.17999999999995</v>
      </c>
      <c r="M18" s="208">
        <v>0.39652777777777776</v>
      </c>
      <c r="N18" s="212" t="s">
        <v>103</v>
      </c>
      <c r="O18" s="86">
        <v>17</v>
      </c>
      <c r="P18" s="72">
        <v>1433.3</v>
      </c>
      <c r="Q18" s="87">
        <v>2241.1999999999998</v>
      </c>
      <c r="R18" s="87">
        <f t="shared" si="3"/>
        <v>2240.7999999999997</v>
      </c>
      <c r="S18" s="87">
        <f t="shared" si="4"/>
        <v>807.49999999999977</v>
      </c>
      <c r="T18" s="87">
        <v>1184.3999999999999</v>
      </c>
      <c r="U18" s="88">
        <f>(S18/$G18)*100</f>
        <v>68.177980412022947</v>
      </c>
      <c r="V18" s="87">
        <v>829.07999999999981</v>
      </c>
      <c r="W18" s="89">
        <f>V18-S18</f>
        <v>21.580000000000041</v>
      </c>
    </row>
    <row r="19" spans="1:27" x14ac:dyDescent="0.25">
      <c r="A19" s="209"/>
      <c r="B19" s="213"/>
      <c r="C19" s="90">
        <v>18</v>
      </c>
      <c r="D19" s="72">
        <v>1495.5</v>
      </c>
      <c r="E19" s="72">
        <v>2302.9</v>
      </c>
      <c r="F19" s="72">
        <f t="shared" ref="F19:F33" si="8">E19- D19</f>
        <v>807.40000000000009</v>
      </c>
      <c r="G19" s="72">
        <v>1186.5</v>
      </c>
      <c r="H19" s="91">
        <f t="shared" ref="H19:H33" si="9">(F19/$G19)*100</f>
        <v>68.048883270122218</v>
      </c>
      <c r="I19" s="72">
        <v>830.55</v>
      </c>
      <c r="J19" s="92">
        <f t="shared" ref="J19:J33" si="10">I19-F19</f>
        <v>23.149999999999864</v>
      </c>
      <c r="M19" s="209"/>
      <c r="N19" s="213"/>
      <c r="O19" s="90">
        <v>18</v>
      </c>
      <c r="P19" s="72">
        <v>1495.5</v>
      </c>
      <c r="Q19" s="72">
        <v>2306.1999999999998</v>
      </c>
      <c r="R19" s="72">
        <f t="shared" si="3"/>
        <v>2305.7999999999997</v>
      </c>
      <c r="S19" s="72">
        <f t="shared" si="4"/>
        <v>810.29999999999973</v>
      </c>
      <c r="T19" s="72">
        <v>1186.5</v>
      </c>
      <c r="U19" s="91">
        <f t="shared" ref="U19:U33" si="11">(S19/$G19)*100</f>
        <v>68.293299620733222</v>
      </c>
      <c r="V19" s="72">
        <v>830.55</v>
      </c>
      <c r="W19" s="92">
        <f t="shared" ref="W19:W33" si="12">V19-S19</f>
        <v>20.250000000000227</v>
      </c>
    </row>
    <row r="20" spans="1:27" x14ac:dyDescent="0.25">
      <c r="A20" s="209"/>
      <c r="B20" s="213"/>
      <c r="C20" s="90">
        <v>19</v>
      </c>
      <c r="D20" s="72">
        <v>1582.5</v>
      </c>
      <c r="E20" s="72">
        <v>2462.6999999999998</v>
      </c>
      <c r="F20" s="72">
        <f t="shared" si="8"/>
        <v>880.19999999999982</v>
      </c>
      <c r="G20" s="72">
        <v>1277.9000000000001</v>
      </c>
      <c r="H20" s="91">
        <f t="shared" si="9"/>
        <v>68.878629000704265</v>
      </c>
      <c r="I20" s="72">
        <v>894.53</v>
      </c>
      <c r="J20" s="92">
        <f t="shared" si="10"/>
        <v>14.330000000000155</v>
      </c>
      <c r="M20" s="209"/>
      <c r="N20" s="213"/>
      <c r="O20" s="90">
        <v>19</v>
      </c>
      <c r="P20" s="72">
        <v>1582.5</v>
      </c>
      <c r="Q20" s="72">
        <v>2463.9</v>
      </c>
      <c r="R20" s="72">
        <f t="shared" si="3"/>
        <v>2463.5</v>
      </c>
      <c r="S20" s="72">
        <f t="shared" si="4"/>
        <v>881</v>
      </c>
      <c r="T20" s="72">
        <v>1277.9000000000001</v>
      </c>
      <c r="U20" s="91">
        <f t="shared" si="11"/>
        <v>68.941231708271374</v>
      </c>
      <c r="V20" s="72">
        <v>894.53</v>
      </c>
      <c r="W20" s="92">
        <f t="shared" si="12"/>
        <v>13.529999999999973</v>
      </c>
    </row>
    <row r="21" spans="1:27" x14ac:dyDescent="0.25">
      <c r="A21" s="209"/>
      <c r="B21" s="213"/>
      <c r="C21" s="90">
        <v>20</v>
      </c>
      <c r="D21" s="72">
        <v>1849.2</v>
      </c>
      <c r="E21" s="72">
        <v>2771.8</v>
      </c>
      <c r="F21" s="72">
        <f t="shared" si="8"/>
        <v>922.60000000000014</v>
      </c>
      <c r="G21" s="72">
        <v>1354.8</v>
      </c>
      <c r="H21" s="91">
        <f t="shared" si="9"/>
        <v>68.098612341305</v>
      </c>
      <c r="I21" s="72">
        <v>948.36</v>
      </c>
      <c r="J21" s="92">
        <f t="shared" si="10"/>
        <v>25.759999999999877</v>
      </c>
      <c r="M21" s="209"/>
      <c r="N21" s="213"/>
      <c r="O21" s="90">
        <v>20</v>
      </c>
      <c r="P21" s="72">
        <v>1849.2</v>
      </c>
      <c r="Q21" s="72">
        <v>2780.1</v>
      </c>
      <c r="R21" s="72">
        <f t="shared" si="3"/>
        <v>2779.7</v>
      </c>
      <c r="S21" s="72">
        <f t="shared" si="4"/>
        <v>930.49999999999977</v>
      </c>
      <c r="T21" s="72">
        <v>1354.8</v>
      </c>
      <c r="U21" s="91">
        <f t="shared" si="11"/>
        <v>68.681724239740177</v>
      </c>
      <c r="V21" s="72">
        <v>948.36</v>
      </c>
      <c r="W21" s="92">
        <f t="shared" si="12"/>
        <v>17.860000000000241</v>
      </c>
    </row>
    <row r="22" spans="1:27" x14ac:dyDescent="0.25">
      <c r="A22" s="209"/>
      <c r="B22" s="213"/>
      <c r="C22" s="90">
        <v>21</v>
      </c>
      <c r="D22" s="72">
        <v>1508.3</v>
      </c>
      <c r="E22" s="72">
        <v>2329.3000000000002</v>
      </c>
      <c r="F22" s="72">
        <f t="shared" si="8"/>
        <v>821.00000000000023</v>
      </c>
      <c r="G22" s="72">
        <v>1207.6000000000001</v>
      </c>
      <c r="H22" s="91">
        <f t="shared" si="9"/>
        <v>67.986088108645262</v>
      </c>
      <c r="I22" s="72">
        <v>845.32000000000016</v>
      </c>
      <c r="J22" s="92">
        <f t="shared" si="10"/>
        <v>24.319999999999936</v>
      </c>
      <c r="M22" s="209"/>
      <c r="N22" s="213"/>
      <c r="O22" s="90">
        <v>21</v>
      </c>
      <c r="P22" s="72">
        <v>1508.3</v>
      </c>
      <c r="Q22" s="72">
        <v>2331</v>
      </c>
      <c r="R22" s="72">
        <f t="shared" si="3"/>
        <v>2330.6</v>
      </c>
      <c r="S22" s="72">
        <f t="shared" si="4"/>
        <v>822.3</v>
      </c>
      <c r="T22" s="72">
        <v>1207.6000000000001</v>
      </c>
      <c r="U22" s="91">
        <f t="shared" si="11"/>
        <v>68.093739648890349</v>
      </c>
      <c r="V22" s="72">
        <v>845.32000000000016</v>
      </c>
      <c r="W22" s="92">
        <f t="shared" si="12"/>
        <v>23.020000000000209</v>
      </c>
    </row>
    <row r="23" spans="1:27" x14ac:dyDescent="0.25">
      <c r="A23" s="209"/>
      <c r="B23" s="213"/>
      <c r="C23" s="90">
        <v>22</v>
      </c>
      <c r="D23" s="72">
        <v>1564.3</v>
      </c>
      <c r="E23" s="72">
        <v>2436.6</v>
      </c>
      <c r="F23" s="72">
        <f t="shared" si="8"/>
        <v>872.3</v>
      </c>
      <c r="G23" s="72">
        <v>1266.1000000000001</v>
      </c>
      <c r="H23" s="91">
        <f t="shared" si="9"/>
        <v>68.896611642050374</v>
      </c>
      <c r="I23" s="72">
        <v>886.2700000000001</v>
      </c>
      <c r="J23" s="92">
        <f t="shared" si="10"/>
        <v>13.970000000000141</v>
      </c>
      <c r="M23" s="209"/>
      <c r="N23" s="213"/>
      <c r="O23" s="90">
        <v>22</v>
      </c>
      <c r="P23" s="72">
        <v>1564.3</v>
      </c>
      <c r="Q23" s="72">
        <v>2430.6999999999998</v>
      </c>
      <c r="R23" s="72">
        <f t="shared" si="3"/>
        <v>2430.2999999999997</v>
      </c>
      <c r="S23" s="72">
        <f t="shared" si="4"/>
        <v>865.99999999999977</v>
      </c>
      <c r="T23" s="72">
        <v>1266.1000000000001</v>
      </c>
      <c r="U23" s="91">
        <f t="shared" si="11"/>
        <v>68.399020614485408</v>
      </c>
      <c r="V23" s="72">
        <v>886.2700000000001</v>
      </c>
      <c r="W23" s="92">
        <f t="shared" si="12"/>
        <v>20.270000000000323</v>
      </c>
    </row>
    <row r="24" spans="1:27" x14ac:dyDescent="0.25">
      <c r="A24" s="209"/>
      <c r="B24" s="213"/>
      <c r="C24" s="90">
        <v>23</v>
      </c>
      <c r="D24" s="72">
        <v>1694.5</v>
      </c>
      <c r="E24" s="72">
        <v>2617.9</v>
      </c>
      <c r="F24" s="72">
        <f t="shared" si="8"/>
        <v>923.40000000000009</v>
      </c>
      <c r="G24" s="72">
        <v>1351</v>
      </c>
      <c r="H24" s="91">
        <f t="shared" si="9"/>
        <v>68.349370836417478</v>
      </c>
      <c r="I24" s="72">
        <v>945.7</v>
      </c>
      <c r="J24" s="92">
        <f t="shared" si="10"/>
        <v>22.299999999999955</v>
      </c>
      <c r="M24" s="209"/>
      <c r="N24" s="213"/>
      <c r="O24" s="90">
        <v>23</v>
      </c>
      <c r="P24" s="72">
        <v>1694.5</v>
      </c>
      <c r="Q24" s="72">
        <v>2612.8000000000002</v>
      </c>
      <c r="R24" s="72">
        <f t="shared" si="3"/>
        <v>2612.4</v>
      </c>
      <c r="S24" s="72">
        <f t="shared" si="4"/>
        <v>917.90000000000009</v>
      </c>
      <c r="T24" s="72">
        <v>1351</v>
      </c>
      <c r="U24" s="91">
        <f t="shared" si="11"/>
        <v>67.942264988897122</v>
      </c>
      <c r="V24" s="72">
        <v>945.7</v>
      </c>
      <c r="W24" s="92">
        <f t="shared" si="12"/>
        <v>27.799999999999955</v>
      </c>
    </row>
    <row r="25" spans="1:27" x14ac:dyDescent="0.25">
      <c r="A25" s="209"/>
      <c r="B25" s="213"/>
      <c r="C25" s="90">
        <v>24</v>
      </c>
      <c r="D25" s="72">
        <v>1623.4</v>
      </c>
      <c r="E25" s="72">
        <v>2475.4</v>
      </c>
      <c r="F25" s="72">
        <f t="shared" si="8"/>
        <v>852</v>
      </c>
      <c r="G25" s="72">
        <v>1245.0999999999999</v>
      </c>
      <c r="H25" s="91">
        <f t="shared" si="9"/>
        <v>68.428238695687099</v>
      </c>
      <c r="I25" s="72">
        <v>871.57</v>
      </c>
      <c r="J25" s="92">
        <f t="shared" si="10"/>
        <v>19.57000000000005</v>
      </c>
      <c r="M25" s="209"/>
      <c r="N25" s="213"/>
      <c r="O25" s="90">
        <v>24</v>
      </c>
      <c r="P25" s="72">
        <v>1623.4</v>
      </c>
      <c r="Q25" s="72">
        <v>2474.9</v>
      </c>
      <c r="R25" s="72">
        <f t="shared" si="3"/>
        <v>2474.5</v>
      </c>
      <c r="S25" s="72">
        <f t="shared" si="4"/>
        <v>851.09999999999991</v>
      </c>
      <c r="T25" s="72">
        <v>1245.0999999999999</v>
      </c>
      <c r="U25" s="91">
        <f t="shared" si="11"/>
        <v>68.355955344952207</v>
      </c>
      <c r="V25" s="72">
        <v>871.57</v>
      </c>
      <c r="W25" s="92">
        <f t="shared" si="12"/>
        <v>20.470000000000141</v>
      </c>
    </row>
    <row r="26" spans="1:27" x14ac:dyDescent="0.25">
      <c r="A26" s="209"/>
      <c r="B26" s="213"/>
      <c r="C26" s="90">
        <v>25</v>
      </c>
      <c r="D26" s="72">
        <v>1579.9</v>
      </c>
      <c r="E26" s="72">
        <v>2432.5</v>
      </c>
      <c r="F26" s="72">
        <f t="shared" si="8"/>
        <v>852.59999999999991</v>
      </c>
      <c r="G26" s="72">
        <v>1253.5999999999999</v>
      </c>
      <c r="H26" s="91">
        <f t="shared" si="9"/>
        <v>68.012125079770257</v>
      </c>
      <c r="I26" s="72">
        <v>877.52</v>
      </c>
      <c r="J26" s="92">
        <f t="shared" si="10"/>
        <v>24.920000000000073</v>
      </c>
      <c r="M26" s="209"/>
      <c r="N26" s="213"/>
      <c r="O26" s="90">
        <v>25</v>
      </c>
      <c r="P26" s="72">
        <v>1579.9</v>
      </c>
      <c r="Q26" s="72">
        <v>2437.4</v>
      </c>
      <c r="R26" s="72">
        <f t="shared" si="3"/>
        <v>2437</v>
      </c>
      <c r="S26" s="72">
        <f t="shared" si="4"/>
        <v>857.09999999999991</v>
      </c>
      <c r="T26" s="72">
        <v>1253.5999999999999</v>
      </c>
      <c r="U26" s="91">
        <f t="shared" si="11"/>
        <v>68.371091257179316</v>
      </c>
      <c r="V26" s="72">
        <v>877.52</v>
      </c>
      <c r="W26" s="92">
        <f t="shared" si="12"/>
        <v>20.420000000000073</v>
      </c>
    </row>
    <row r="27" spans="1:27" x14ac:dyDescent="0.25">
      <c r="A27" s="209"/>
      <c r="B27" s="213"/>
      <c r="C27" s="90">
        <v>26</v>
      </c>
      <c r="D27" s="72">
        <v>1507</v>
      </c>
      <c r="E27" s="72">
        <v>2330.5</v>
      </c>
      <c r="F27" s="72">
        <f t="shared" si="8"/>
        <v>823.5</v>
      </c>
      <c r="G27" s="72">
        <v>1216</v>
      </c>
      <c r="H27" s="91">
        <f t="shared" si="9"/>
        <v>67.72203947368422</v>
      </c>
      <c r="I27" s="72">
        <v>851.2</v>
      </c>
      <c r="J27" s="92">
        <f t="shared" si="10"/>
        <v>27.700000000000045</v>
      </c>
      <c r="M27" s="209"/>
      <c r="N27" s="213"/>
      <c r="O27" s="90">
        <v>26</v>
      </c>
      <c r="P27" s="72">
        <v>1507</v>
      </c>
      <c r="Q27" s="72">
        <v>2336.6999999999998</v>
      </c>
      <c r="R27" s="72">
        <f t="shared" si="3"/>
        <v>2336.2999999999997</v>
      </c>
      <c r="S27" s="72">
        <f t="shared" si="4"/>
        <v>829.29999999999973</v>
      </c>
      <c r="T27" s="72">
        <v>1216</v>
      </c>
      <c r="U27" s="91">
        <f t="shared" si="11"/>
        <v>68.199013157894711</v>
      </c>
      <c r="V27" s="72">
        <v>851.2</v>
      </c>
      <c r="W27" s="92">
        <f t="shared" si="12"/>
        <v>21.900000000000318</v>
      </c>
    </row>
    <row r="28" spans="1:27" x14ac:dyDescent="0.25">
      <c r="A28" s="209"/>
      <c r="B28" s="213"/>
      <c r="C28" s="130">
        <v>27</v>
      </c>
      <c r="D28" s="18">
        <v>1494.6</v>
      </c>
      <c r="E28" s="18"/>
      <c r="F28" s="18">
        <f t="shared" si="8"/>
        <v>-1494.6</v>
      </c>
      <c r="G28" s="18">
        <v>1240.8000000000002</v>
      </c>
      <c r="H28" s="19">
        <f t="shared" si="9"/>
        <v>-120.45454545454544</v>
      </c>
      <c r="I28" s="18">
        <v>868.56000000000017</v>
      </c>
      <c r="J28" s="131">
        <f t="shared" si="10"/>
        <v>2363.16</v>
      </c>
      <c r="M28" s="209"/>
      <c r="N28" s="213"/>
      <c r="O28" s="130">
        <v>27</v>
      </c>
      <c r="P28" s="18">
        <v>1494.6</v>
      </c>
      <c r="Q28" s="18"/>
      <c r="R28" s="18">
        <f t="shared" si="3"/>
        <v>-0.4</v>
      </c>
      <c r="S28" s="18">
        <f t="shared" si="4"/>
        <v>-1495</v>
      </c>
      <c r="T28" s="18">
        <v>1240.8000000000002</v>
      </c>
      <c r="U28" s="19">
        <f t="shared" si="11"/>
        <v>-120.48678272082525</v>
      </c>
      <c r="V28" s="18">
        <v>868.56000000000017</v>
      </c>
      <c r="W28" s="131">
        <f t="shared" si="12"/>
        <v>2363.5600000000004</v>
      </c>
    </row>
    <row r="29" spans="1:27" x14ac:dyDescent="0.25">
      <c r="A29" s="209"/>
      <c r="B29" s="213"/>
      <c r="C29" s="90">
        <v>28</v>
      </c>
      <c r="D29" s="72">
        <v>1433.8</v>
      </c>
      <c r="E29" s="72">
        <v>2176.1</v>
      </c>
      <c r="F29" s="72">
        <f t="shared" si="8"/>
        <v>742.3</v>
      </c>
      <c r="G29" s="72">
        <v>1108.5000000000002</v>
      </c>
      <c r="H29" s="91">
        <f t="shared" si="9"/>
        <v>66.964366260712666</v>
      </c>
      <c r="I29" s="72">
        <v>775.95000000000016</v>
      </c>
      <c r="J29" s="92">
        <f t="shared" si="10"/>
        <v>33.650000000000205</v>
      </c>
      <c r="M29" s="209"/>
      <c r="N29" s="213"/>
      <c r="O29" s="90">
        <v>28</v>
      </c>
      <c r="P29" s="72">
        <v>1433.8</v>
      </c>
      <c r="Q29" s="72">
        <v>2190.9</v>
      </c>
      <c r="R29" s="72">
        <f t="shared" si="3"/>
        <v>2190.5</v>
      </c>
      <c r="S29" s="72">
        <f t="shared" si="4"/>
        <v>756.7</v>
      </c>
      <c r="T29" s="72">
        <v>1108.5000000000002</v>
      </c>
      <c r="U29" s="91">
        <f t="shared" si="11"/>
        <v>68.263419034731612</v>
      </c>
      <c r="V29" s="72">
        <v>775.95000000000016</v>
      </c>
      <c r="W29" s="92">
        <f t="shared" si="12"/>
        <v>19.250000000000114</v>
      </c>
    </row>
    <row r="30" spans="1:27" x14ac:dyDescent="0.25">
      <c r="A30" s="209"/>
      <c r="B30" s="213"/>
      <c r="C30" s="130">
        <v>29</v>
      </c>
      <c r="D30" s="18">
        <v>1523.3</v>
      </c>
      <c r="E30" s="18"/>
      <c r="F30" s="18">
        <f t="shared" si="8"/>
        <v>-1523.3</v>
      </c>
      <c r="G30" s="18">
        <v>1345.1000000000001</v>
      </c>
      <c r="H30" s="19">
        <f t="shared" si="9"/>
        <v>-113.24808564419</v>
      </c>
      <c r="I30" s="18">
        <v>941.57000000000016</v>
      </c>
      <c r="J30" s="131">
        <f t="shared" si="10"/>
        <v>2464.87</v>
      </c>
      <c r="M30" s="209"/>
      <c r="N30" s="213"/>
      <c r="O30" s="130">
        <v>29</v>
      </c>
      <c r="P30" s="18">
        <v>1523.3</v>
      </c>
      <c r="Q30" s="18"/>
      <c r="R30" s="18">
        <f t="shared" si="3"/>
        <v>-0.4</v>
      </c>
      <c r="S30" s="18">
        <f t="shared" si="4"/>
        <v>-1523.7</v>
      </c>
      <c r="T30" s="18">
        <v>1345.1000000000001</v>
      </c>
      <c r="U30" s="19">
        <f t="shared" si="11"/>
        <v>-113.27782321017024</v>
      </c>
      <c r="V30" s="18">
        <v>941.57000000000016</v>
      </c>
      <c r="W30" s="131">
        <f t="shared" si="12"/>
        <v>2465.2700000000004</v>
      </c>
    </row>
    <row r="31" spans="1:27" x14ac:dyDescent="0.25">
      <c r="A31" s="209"/>
      <c r="B31" s="213"/>
      <c r="C31" s="90">
        <v>30</v>
      </c>
      <c r="D31" s="72">
        <v>1480.6</v>
      </c>
      <c r="E31" s="72">
        <v>2309.3000000000002</v>
      </c>
      <c r="F31" s="72">
        <f t="shared" si="8"/>
        <v>828.70000000000027</v>
      </c>
      <c r="G31" s="72">
        <v>1212.5999999999999</v>
      </c>
      <c r="H31" s="91">
        <f t="shared" si="9"/>
        <v>68.340755401616391</v>
      </c>
      <c r="I31" s="72">
        <v>848.82</v>
      </c>
      <c r="J31" s="92">
        <f t="shared" si="10"/>
        <v>20.119999999999777</v>
      </c>
      <c r="M31" s="209"/>
      <c r="N31" s="213"/>
      <c r="O31" s="90">
        <v>30</v>
      </c>
      <c r="P31" s="72">
        <v>1480.6</v>
      </c>
      <c r="Q31" s="72">
        <v>2312.1999999999998</v>
      </c>
      <c r="R31" s="72">
        <f t="shared" si="3"/>
        <v>2311.7999999999997</v>
      </c>
      <c r="S31" s="72">
        <f t="shared" si="4"/>
        <v>831.19999999999982</v>
      </c>
      <c r="T31" s="72">
        <v>1212.5999999999999</v>
      </c>
      <c r="U31" s="91">
        <f t="shared" si="11"/>
        <v>68.546923965033798</v>
      </c>
      <c r="V31" s="72">
        <v>848.82</v>
      </c>
      <c r="W31" s="92">
        <f t="shared" si="12"/>
        <v>17.620000000000232</v>
      </c>
    </row>
    <row r="32" spans="1:27" x14ac:dyDescent="0.25">
      <c r="A32" s="209"/>
      <c r="B32" s="213"/>
      <c r="C32" s="90">
        <v>31</v>
      </c>
      <c r="D32" s="72">
        <v>1526.6</v>
      </c>
      <c r="E32" s="72">
        <v>2391.1999999999998</v>
      </c>
      <c r="F32" s="72">
        <f t="shared" si="8"/>
        <v>864.59999999999991</v>
      </c>
      <c r="G32" s="72">
        <v>1252.0999999999999</v>
      </c>
      <c r="H32" s="91">
        <f t="shared" si="9"/>
        <v>69.051992652344069</v>
      </c>
      <c r="I32" s="72">
        <v>876.47</v>
      </c>
      <c r="J32" s="92">
        <f t="shared" si="10"/>
        <v>11.870000000000118</v>
      </c>
      <c r="M32" s="209"/>
      <c r="N32" s="213"/>
      <c r="O32" s="90">
        <v>31</v>
      </c>
      <c r="P32" s="72">
        <v>1526.6</v>
      </c>
      <c r="Q32" s="72">
        <v>2393.1</v>
      </c>
      <c r="R32" s="72">
        <f t="shared" si="3"/>
        <v>2392.6999999999998</v>
      </c>
      <c r="S32" s="72">
        <f t="shared" si="4"/>
        <v>866.09999999999991</v>
      </c>
      <c r="T32" s="72">
        <v>1252.0999999999999</v>
      </c>
      <c r="U32" s="91">
        <f t="shared" si="11"/>
        <v>69.171791390464023</v>
      </c>
      <c r="V32" s="72">
        <v>876.47</v>
      </c>
      <c r="W32" s="92">
        <f t="shared" si="12"/>
        <v>10.370000000000118</v>
      </c>
      <c r="Y32" s="242" t="s">
        <v>123</v>
      </c>
      <c r="Z32" s="242"/>
      <c r="AA32" s="242"/>
    </row>
    <row r="33" spans="1:27" ht="15.75" x14ac:dyDescent="0.25">
      <c r="A33" s="210"/>
      <c r="B33" s="214"/>
      <c r="C33" s="93">
        <v>32</v>
      </c>
      <c r="D33" s="6">
        <v>1496.7</v>
      </c>
      <c r="E33" s="94">
        <v>2398.3000000000002</v>
      </c>
      <c r="F33" s="94">
        <f t="shared" si="8"/>
        <v>901.60000000000014</v>
      </c>
      <c r="G33" s="94">
        <v>1307.1000000000001</v>
      </c>
      <c r="H33" s="95">
        <f t="shared" si="9"/>
        <v>68.977124933057922</v>
      </c>
      <c r="I33" s="94">
        <v>914.97000000000014</v>
      </c>
      <c r="J33" s="96">
        <f t="shared" si="10"/>
        <v>13.370000000000005</v>
      </c>
      <c r="M33" s="210"/>
      <c r="N33" s="214"/>
      <c r="O33" s="93">
        <v>32</v>
      </c>
      <c r="P33" s="6">
        <v>1496.7</v>
      </c>
      <c r="Q33" s="94">
        <v>2393</v>
      </c>
      <c r="R33" s="94">
        <f t="shared" si="3"/>
        <v>2392.6</v>
      </c>
      <c r="S33" s="94">
        <f t="shared" si="4"/>
        <v>895.89999999999986</v>
      </c>
      <c r="T33" s="94">
        <v>1307.1000000000001</v>
      </c>
      <c r="U33" s="95">
        <f t="shared" si="11"/>
        <v>68.541045061586701</v>
      </c>
      <c r="V33" s="94">
        <v>914.97000000000014</v>
      </c>
      <c r="W33" s="96">
        <f t="shared" si="12"/>
        <v>19.070000000000277</v>
      </c>
      <c r="Y33" s="133" t="s">
        <v>121</v>
      </c>
      <c r="Z33" s="133" t="s">
        <v>74</v>
      </c>
      <c r="AA33" s="133" t="s">
        <v>122</v>
      </c>
    </row>
    <row r="34" spans="1:27" x14ac:dyDescent="0.25">
      <c r="A34" s="215"/>
      <c r="B34" s="218" t="s">
        <v>104</v>
      </c>
      <c r="C34" s="97">
        <v>17</v>
      </c>
      <c r="D34" s="75">
        <v>1433.3</v>
      </c>
      <c r="E34" s="98"/>
      <c r="F34" s="98">
        <f>E34- D34</f>
        <v>-1433.3</v>
      </c>
      <c r="G34" s="98">
        <v>1184.3999999999999</v>
      </c>
      <c r="H34" s="88">
        <f>(F34/$G34)*100</f>
        <v>-121.01485984464708</v>
      </c>
      <c r="I34" s="98">
        <v>829.07999999999981</v>
      </c>
      <c r="J34" s="99">
        <f>I34-F34</f>
        <v>2262.3799999999997</v>
      </c>
      <c r="M34" s="215">
        <v>0.4201388888888889</v>
      </c>
      <c r="N34" s="218" t="s">
        <v>104</v>
      </c>
      <c r="O34" s="97">
        <v>17</v>
      </c>
      <c r="P34" s="75">
        <v>1433.3</v>
      </c>
      <c r="Q34" s="98">
        <v>2234.8000000000002</v>
      </c>
      <c r="R34" s="98">
        <f t="shared" si="3"/>
        <v>2234.4</v>
      </c>
      <c r="S34" s="98">
        <f t="shared" si="4"/>
        <v>801.10000000000014</v>
      </c>
      <c r="T34" s="98">
        <v>1184.3999999999999</v>
      </c>
      <c r="U34" s="88">
        <f>(S34/$G34)*100</f>
        <v>67.637622424856488</v>
      </c>
      <c r="V34" s="98">
        <v>829.07999999999981</v>
      </c>
      <c r="W34" s="99">
        <f>V34-S34</f>
        <v>27.979999999999677</v>
      </c>
      <c r="Y34" s="134">
        <v>17</v>
      </c>
      <c r="Z34" s="241" t="s">
        <v>80</v>
      </c>
      <c r="AA34" s="12">
        <f>Q34-Q50</f>
        <v>11.600000000000364</v>
      </c>
    </row>
    <row r="35" spans="1:27" x14ac:dyDescent="0.25">
      <c r="A35" s="216"/>
      <c r="B35" s="219"/>
      <c r="C35" s="100">
        <v>18</v>
      </c>
      <c r="D35" s="75">
        <v>1495.5</v>
      </c>
      <c r="E35" s="75"/>
      <c r="F35" s="75">
        <f t="shared" ref="F35:F49" si="13">E35- D35</f>
        <v>-1495.5</v>
      </c>
      <c r="G35" s="75">
        <v>1186.5</v>
      </c>
      <c r="H35" s="91">
        <f t="shared" ref="H35:H49" si="14">(F35/$G35)*100</f>
        <v>-126.04298356510746</v>
      </c>
      <c r="I35" s="75">
        <v>830.55</v>
      </c>
      <c r="J35" s="101">
        <f t="shared" ref="J35:J49" si="15">I35-F35</f>
        <v>2326.0500000000002</v>
      </c>
      <c r="M35" s="216"/>
      <c r="N35" s="219"/>
      <c r="O35" s="100">
        <v>18</v>
      </c>
      <c r="P35" s="75">
        <v>1495.5</v>
      </c>
      <c r="Q35" s="75">
        <v>2301.4</v>
      </c>
      <c r="R35" s="75">
        <f t="shared" si="3"/>
        <v>2301</v>
      </c>
      <c r="S35" s="75">
        <f t="shared" si="4"/>
        <v>805.5</v>
      </c>
      <c r="T35" s="75">
        <v>1186.5</v>
      </c>
      <c r="U35" s="91">
        <f t="shared" ref="U35:U49" si="16">(S35/$G35)*100</f>
        <v>67.888748419721864</v>
      </c>
      <c r="V35" s="75">
        <v>830.55</v>
      </c>
      <c r="W35" s="101">
        <f t="shared" ref="W35:W49" si="17">V35-S35</f>
        <v>25.049999999999955</v>
      </c>
      <c r="Y35" s="135">
        <v>18</v>
      </c>
      <c r="Z35" s="241"/>
      <c r="AA35" s="12">
        <f>Q35-Q51</f>
        <v>9.0999999999999091</v>
      </c>
    </row>
    <row r="36" spans="1:27" x14ac:dyDescent="0.25">
      <c r="A36" s="216"/>
      <c r="B36" s="219"/>
      <c r="C36" s="100">
        <v>19</v>
      </c>
      <c r="D36" s="75">
        <v>1582.5</v>
      </c>
      <c r="E36" s="75"/>
      <c r="F36" s="75">
        <f t="shared" si="13"/>
        <v>-1582.5</v>
      </c>
      <c r="G36" s="75">
        <v>1277.9000000000001</v>
      </c>
      <c r="H36" s="91">
        <f t="shared" si="14"/>
        <v>-123.83598090617419</v>
      </c>
      <c r="I36" s="75">
        <v>894.53</v>
      </c>
      <c r="J36" s="101">
        <f t="shared" si="15"/>
        <v>2477.0299999999997</v>
      </c>
      <c r="M36" s="216"/>
      <c r="N36" s="219"/>
      <c r="O36" s="100">
        <v>19</v>
      </c>
      <c r="P36" s="75">
        <v>1582.5</v>
      </c>
      <c r="Q36" s="75">
        <v>2460.4</v>
      </c>
      <c r="R36" s="75">
        <f t="shared" si="3"/>
        <v>2460</v>
      </c>
      <c r="S36" s="75">
        <f t="shared" si="4"/>
        <v>877.5</v>
      </c>
      <c r="T36" s="75">
        <v>1277.9000000000001</v>
      </c>
      <c r="U36" s="91">
        <f t="shared" si="16"/>
        <v>68.667344862665303</v>
      </c>
      <c r="V36" s="75">
        <v>894.53</v>
      </c>
      <c r="W36" s="101">
        <f t="shared" si="17"/>
        <v>17.029999999999973</v>
      </c>
      <c r="Y36" s="135">
        <v>19</v>
      </c>
      <c r="Z36" s="241"/>
      <c r="AA36" s="12">
        <f>Q36-Q52</f>
        <v>6.8000000000001819</v>
      </c>
    </row>
    <row r="37" spans="1:27" x14ac:dyDescent="0.25">
      <c r="A37" s="216"/>
      <c r="B37" s="219"/>
      <c r="C37" s="100">
        <v>20</v>
      </c>
      <c r="D37" s="75">
        <v>1849.2</v>
      </c>
      <c r="E37" s="75"/>
      <c r="F37" s="75">
        <f t="shared" si="13"/>
        <v>-1849.2</v>
      </c>
      <c r="G37" s="75">
        <v>1354.8</v>
      </c>
      <c r="H37" s="91">
        <f t="shared" si="14"/>
        <v>-136.49247121346323</v>
      </c>
      <c r="I37" s="75">
        <v>948.36</v>
      </c>
      <c r="J37" s="101">
        <f t="shared" si="15"/>
        <v>2797.56</v>
      </c>
      <c r="M37" s="216"/>
      <c r="N37" s="219"/>
      <c r="O37" s="100">
        <v>20</v>
      </c>
      <c r="P37" s="75">
        <v>1849.2</v>
      </c>
      <c r="Q37" s="75">
        <v>2776.5</v>
      </c>
      <c r="R37" s="75">
        <f t="shared" si="3"/>
        <v>2776.1</v>
      </c>
      <c r="S37" s="75">
        <f t="shared" si="4"/>
        <v>926.89999999999986</v>
      </c>
      <c r="T37" s="75">
        <v>1354.8</v>
      </c>
      <c r="U37" s="91">
        <f t="shared" si="16"/>
        <v>68.416002361972232</v>
      </c>
      <c r="V37" s="75">
        <v>948.36</v>
      </c>
      <c r="W37" s="101">
        <f t="shared" si="17"/>
        <v>21.46000000000015</v>
      </c>
      <c r="Y37" s="135">
        <v>20</v>
      </c>
      <c r="Z37" s="241"/>
      <c r="AA37" s="12">
        <f t="shared" ref="AA37:AA49" si="18">Q37-Q53</f>
        <v>8.3000000000001819</v>
      </c>
    </row>
    <row r="38" spans="1:27" x14ac:dyDescent="0.25">
      <c r="A38" s="216"/>
      <c r="B38" s="219"/>
      <c r="C38" s="100">
        <v>21</v>
      </c>
      <c r="D38" s="75">
        <v>1508.3</v>
      </c>
      <c r="E38" s="75"/>
      <c r="F38" s="75">
        <f t="shared" si="13"/>
        <v>-1508.3</v>
      </c>
      <c r="G38" s="75">
        <v>1207.6000000000001</v>
      </c>
      <c r="H38" s="91">
        <f t="shared" si="14"/>
        <v>-124.90062934746604</v>
      </c>
      <c r="I38" s="75">
        <v>845.32000000000016</v>
      </c>
      <c r="J38" s="101">
        <f t="shared" si="15"/>
        <v>2353.62</v>
      </c>
      <c r="M38" s="216"/>
      <c r="N38" s="219"/>
      <c r="O38" s="100">
        <v>21</v>
      </c>
      <c r="P38" s="75">
        <v>1508.3</v>
      </c>
      <c r="Q38" s="75">
        <v>2325.4</v>
      </c>
      <c r="R38" s="75">
        <f t="shared" si="3"/>
        <v>2325</v>
      </c>
      <c r="S38" s="75">
        <f t="shared" si="4"/>
        <v>816.7</v>
      </c>
      <c r="T38" s="75">
        <v>1207.6000000000001</v>
      </c>
      <c r="U38" s="91">
        <f t="shared" si="16"/>
        <v>67.630009937065253</v>
      </c>
      <c r="V38" s="75">
        <v>845.32000000000016</v>
      </c>
      <c r="W38" s="101">
        <f t="shared" si="17"/>
        <v>28.620000000000118</v>
      </c>
      <c r="Y38" s="135">
        <v>21</v>
      </c>
      <c r="Z38" s="241"/>
      <c r="AA38" s="12">
        <f t="shared" si="18"/>
        <v>9.4000000000000909</v>
      </c>
    </row>
    <row r="39" spans="1:27" x14ac:dyDescent="0.25">
      <c r="A39" s="216"/>
      <c r="B39" s="219"/>
      <c r="C39" s="100">
        <v>22</v>
      </c>
      <c r="D39" s="75">
        <v>1564.3</v>
      </c>
      <c r="E39" s="75"/>
      <c r="F39" s="75">
        <f t="shared" si="13"/>
        <v>-1564.3</v>
      </c>
      <c r="G39" s="75">
        <v>1266.1000000000001</v>
      </c>
      <c r="H39" s="91">
        <f t="shared" si="14"/>
        <v>-123.55264197140825</v>
      </c>
      <c r="I39" s="75">
        <v>886.2700000000001</v>
      </c>
      <c r="J39" s="101">
        <f t="shared" si="15"/>
        <v>2450.5700000000002</v>
      </c>
      <c r="M39" s="216"/>
      <c r="N39" s="219"/>
      <c r="O39" s="100">
        <v>22</v>
      </c>
      <c r="P39" s="75">
        <v>1564.3</v>
      </c>
      <c r="Q39" s="75">
        <v>2425.6999999999998</v>
      </c>
      <c r="R39" s="75">
        <f t="shared" si="3"/>
        <v>2425.2999999999997</v>
      </c>
      <c r="S39" s="75">
        <f t="shared" si="4"/>
        <v>860.99999999999977</v>
      </c>
      <c r="T39" s="75">
        <v>1266.1000000000001</v>
      </c>
      <c r="U39" s="91">
        <f t="shared" si="16"/>
        <v>68.004107100544957</v>
      </c>
      <c r="V39" s="75">
        <v>886.2700000000001</v>
      </c>
      <c r="W39" s="101">
        <f t="shared" si="17"/>
        <v>25.270000000000323</v>
      </c>
      <c r="Y39" s="135">
        <v>22</v>
      </c>
      <c r="Z39" s="241"/>
      <c r="AA39" s="12">
        <f t="shared" si="18"/>
        <v>8.0999999999999091</v>
      </c>
    </row>
    <row r="40" spans="1:27" x14ac:dyDescent="0.25">
      <c r="A40" s="216"/>
      <c r="B40" s="219"/>
      <c r="C40" s="100">
        <v>23</v>
      </c>
      <c r="D40" s="75">
        <v>1694.5</v>
      </c>
      <c r="E40" s="75"/>
      <c r="F40" s="75">
        <f t="shared" si="13"/>
        <v>-1694.5</v>
      </c>
      <c r="G40" s="75">
        <v>1351</v>
      </c>
      <c r="H40" s="91">
        <f t="shared" si="14"/>
        <v>-125.42561065877129</v>
      </c>
      <c r="I40" s="75">
        <v>945.7</v>
      </c>
      <c r="J40" s="101">
        <f t="shared" si="15"/>
        <v>2640.2</v>
      </c>
      <c r="M40" s="216"/>
      <c r="N40" s="219"/>
      <c r="O40" s="100">
        <v>23</v>
      </c>
      <c r="P40" s="75">
        <v>1694.5</v>
      </c>
      <c r="Q40" s="75">
        <v>2605.4</v>
      </c>
      <c r="R40" s="75">
        <f t="shared" si="3"/>
        <v>2605</v>
      </c>
      <c r="S40" s="75">
        <f t="shared" si="4"/>
        <v>910.5</v>
      </c>
      <c r="T40" s="75">
        <v>1351</v>
      </c>
      <c r="U40" s="91">
        <f t="shared" si="16"/>
        <v>67.394522575869729</v>
      </c>
      <c r="V40" s="75">
        <v>945.7</v>
      </c>
      <c r="W40" s="101">
        <f t="shared" si="17"/>
        <v>35.200000000000045</v>
      </c>
      <c r="Y40" s="135">
        <v>23</v>
      </c>
      <c r="Z40" s="241"/>
      <c r="AA40" s="12">
        <f t="shared" si="18"/>
        <v>12</v>
      </c>
    </row>
    <row r="41" spans="1:27" x14ac:dyDescent="0.25">
      <c r="A41" s="216"/>
      <c r="B41" s="219"/>
      <c r="C41" s="100">
        <v>24</v>
      </c>
      <c r="D41" s="75">
        <v>1623.4</v>
      </c>
      <c r="E41" s="75"/>
      <c r="F41" s="75">
        <f t="shared" si="13"/>
        <v>-1623.4</v>
      </c>
      <c r="G41" s="75">
        <v>1245.0999999999999</v>
      </c>
      <c r="H41" s="91">
        <f t="shared" si="14"/>
        <v>-130.3831017588949</v>
      </c>
      <c r="I41" s="75">
        <v>871.57</v>
      </c>
      <c r="J41" s="101">
        <f t="shared" si="15"/>
        <v>2494.9700000000003</v>
      </c>
      <c r="M41" s="216"/>
      <c r="N41" s="219"/>
      <c r="O41" s="100">
        <v>24</v>
      </c>
      <c r="P41" s="75">
        <v>1623.4</v>
      </c>
      <c r="Q41" s="75">
        <v>2468.1999999999998</v>
      </c>
      <c r="R41" s="75">
        <f t="shared" si="3"/>
        <v>2467.7999999999997</v>
      </c>
      <c r="S41" s="75">
        <f t="shared" si="4"/>
        <v>844.39999999999964</v>
      </c>
      <c r="T41" s="75">
        <v>1245.0999999999999</v>
      </c>
      <c r="U41" s="91">
        <f t="shared" si="16"/>
        <v>67.817845956148076</v>
      </c>
      <c r="V41" s="75">
        <v>871.57</v>
      </c>
      <c r="W41" s="101">
        <f t="shared" si="17"/>
        <v>27.170000000000414</v>
      </c>
      <c r="Y41" s="135">
        <v>24</v>
      </c>
      <c r="Z41" s="241"/>
      <c r="AA41" s="12">
        <f t="shared" si="18"/>
        <v>9.5999999999999091</v>
      </c>
    </row>
    <row r="42" spans="1:27" x14ac:dyDescent="0.25">
      <c r="A42" s="216"/>
      <c r="B42" s="219"/>
      <c r="C42" s="100">
        <v>25</v>
      </c>
      <c r="D42" s="75">
        <v>1579.9</v>
      </c>
      <c r="E42" s="75"/>
      <c r="F42" s="75">
        <f t="shared" si="13"/>
        <v>-1579.9</v>
      </c>
      <c r="G42" s="75">
        <v>1253.5999999999999</v>
      </c>
      <c r="H42" s="91">
        <f t="shared" si="14"/>
        <v>-126.02903637523933</v>
      </c>
      <c r="I42" s="75">
        <v>877.52</v>
      </c>
      <c r="J42" s="101">
        <f t="shared" si="15"/>
        <v>2457.42</v>
      </c>
      <c r="M42" s="216"/>
      <c r="N42" s="219"/>
      <c r="O42" s="100">
        <v>25</v>
      </c>
      <c r="P42" s="75">
        <v>1579.9</v>
      </c>
      <c r="Q42" s="75">
        <v>2433.5</v>
      </c>
      <c r="R42" s="75">
        <f t="shared" si="3"/>
        <v>2433.1</v>
      </c>
      <c r="S42" s="75">
        <f t="shared" si="4"/>
        <v>853.19999999999982</v>
      </c>
      <c r="T42" s="75">
        <v>1253.5999999999999</v>
      </c>
      <c r="U42" s="91">
        <f t="shared" si="16"/>
        <v>68.059987236758118</v>
      </c>
      <c r="V42" s="75">
        <v>877.52</v>
      </c>
      <c r="W42" s="101">
        <f t="shared" si="17"/>
        <v>24.320000000000164</v>
      </c>
      <c r="Y42" s="135">
        <v>25</v>
      </c>
      <c r="Z42" s="241"/>
      <c r="AA42" s="12">
        <f t="shared" si="18"/>
        <v>8.5</v>
      </c>
    </row>
    <row r="43" spans="1:27" x14ac:dyDescent="0.25">
      <c r="A43" s="216"/>
      <c r="B43" s="219"/>
      <c r="C43" s="100">
        <v>26</v>
      </c>
      <c r="D43" s="75">
        <v>1507</v>
      </c>
      <c r="E43" s="75"/>
      <c r="F43" s="75">
        <f t="shared" si="13"/>
        <v>-1507</v>
      </c>
      <c r="G43" s="75">
        <v>1216</v>
      </c>
      <c r="H43" s="91">
        <f t="shared" si="14"/>
        <v>-123.93092105263158</v>
      </c>
      <c r="I43" s="75">
        <v>851.2</v>
      </c>
      <c r="J43" s="101">
        <f t="shared" si="15"/>
        <v>2358.1999999999998</v>
      </c>
      <c r="M43" s="216"/>
      <c r="N43" s="219"/>
      <c r="O43" s="100">
        <v>26</v>
      </c>
      <c r="P43" s="75">
        <v>1507</v>
      </c>
      <c r="Q43" s="75">
        <v>2329.5</v>
      </c>
      <c r="R43" s="75">
        <f t="shared" si="3"/>
        <v>2329.1</v>
      </c>
      <c r="S43" s="75">
        <f t="shared" si="4"/>
        <v>822.09999999999991</v>
      </c>
      <c r="T43" s="75">
        <v>1216</v>
      </c>
      <c r="U43" s="91">
        <f t="shared" si="16"/>
        <v>67.606907894736835</v>
      </c>
      <c r="V43" s="75">
        <v>851.2</v>
      </c>
      <c r="W43" s="101">
        <f t="shared" si="17"/>
        <v>29.100000000000136</v>
      </c>
      <c r="Y43" s="135">
        <v>26</v>
      </c>
      <c r="Z43" s="241"/>
      <c r="AA43" s="12">
        <f>Q43-Q59</f>
        <v>8.4000000000000909</v>
      </c>
    </row>
    <row r="44" spans="1:27" x14ac:dyDescent="0.25">
      <c r="A44" s="216"/>
      <c r="B44" s="219"/>
      <c r="C44" s="130">
        <v>27</v>
      </c>
      <c r="D44" s="18">
        <v>1494.6</v>
      </c>
      <c r="E44" s="18"/>
      <c r="F44" s="18">
        <f t="shared" si="13"/>
        <v>-1494.6</v>
      </c>
      <c r="G44" s="18">
        <v>1240.8000000000002</v>
      </c>
      <c r="H44" s="19">
        <f t="shared" si="14"/>
        <v>-120.45454545454544</v>
      </c>
      <c r="I44" s="18">
        <v>868.56000000000017</v>
      </c>
      <c r="J44" s="131">
        <f t="shared" si="15"/>
        <v>2363.16</v>
      </c>
      <c r="M44" s="216"/>
      <c r="N44" s="219"/>
      <c r="O44" s="130">
        <v>27</v>
      </c>
      <c r="P44" s="18">
        <v>1494.6</v>
      </c>
      <c r="Q44" s="18"/>
      <c r="R44" s="18">
        <f t="shared" si="3"/>
        <v>-0.4</v>
      </c>
      <c r="S44" s="18">
        <f t="shared" si="4"/>
        <v>-1495</v>
      </c>
      <c r="T44" s="18">
        <v>1240.8000000000002</v>
      </c>
      <c r="U44" s="19">
        <f t="shared" si="16"/>
        <v>-120.48678272082525</v>
      </c>
      <c r="V44" s="18">
        <v>868.56000000000017</v>
      </c>
      <c r="W44" s="131">
        <f t="shared" si="17"/>
        <v>2363.5600000000004</v>
      </c>
      <c r="Y44" s="130">
        <v>27</v>
      </c>
      <c r="Z44" s="241"/>
      <c r="AA44" s="18">
        <f t="shared" si="18"/>
        <v>0</v>
      </c>
    </row>
    <row r="45" spans="1:27" x14ac:dyDescent="0.25">
      <c r="A45" s="216"/>
      <c r="B45" s="219"/>
      <c r="C45" s="100">
        <v>28</v>
      </c>
      <c r="D45" s="75">
        <v>1433.8</v>
      </c>
      <c r="E45" s="75"/>
      <c r="F45" s="75">
        <f t="shared" si="13"/>
        <v>-1433.8</v>
      </c>
      <c r="G45" s="75">
        <v>1108.5000000000002</v>
      </c>
      <c r="H45" s="91">
        <f t="shared" si="14"/>
        <v>-129.34596301308071</v>
      </c>
      <c r="I45" s="75">
        <v>775.95000000000016</v>
      </c>
      <c r="J45" s="101">
        <f t="shared" si="15"/>
        <v>2209.75</v>
      </c>
      <c r="M45" s="216"/>
      <c r="N45" s="219"/>
      <c r="O45" s="100">
        <v>28</v>
      </c>
      <c r="P45" s="75">
        <v>1433.8</v>
      </c>
      <c r="Q45" s="75">
        <v>2182.1</v>
      </c>
      <c r="R45" s="75">
        <f t="shared" si="3"/>
        <v>2181.6999999999998</v>
      </c>
      <c r="S45" s="75">
        <f t="shared" si="4"/>
        <v>747.89999999999986</v>
      </c>
      <c r="T45" s="75">
        <v>1108.5000000000002</v>
      </c>
      <c r="U45" s="91">
        <f t="shared" si="16"/>
        <v>67.469553450608913</v>
      </c>
      <c r="V45" s="75">
        <v>775.95000000000016</v>
      </c>
      <c r="W45" s="101">
        <f t="shared" si="17"/>
        <v>28.050000000000296</v>
      </c>
      <c r="Y45" s="135">
        <v>28</v>
      </c>
      <c r="Z45" s="241"/>
      <c r="AA45" s="12">
        <f t="shared" si="18"/>
        <v>11.299999999999727</v>
      </c>
    </row>
    <row r="46" spans="1:27" x14ac:dyDescent="0.25">
      <c r="A46" s="216"/>
      <c r="B46" s="219"/>
      <c r="C46" s="130">
        <v>29</v>
      </c>
      <c r="D46" s="18">
        <v>1523.3</v>
      </c>
      <c r="E46" s="18"/>
      <c r="F46" s="18">
        <f t="shared" si="13"/>
        <v>-1523.3</v>
      </c>
      <c r="G46" s="18">
        <v>1345.1000000000001</v>
      </c>
      <c r="H46" s="19">
        <f t="shared" si="14"/>
        <v>-113.24808564419</v>
      </c>
      <c r="I46" s="18">
        <v>941.57000000000016</v>
      </c>
      <c r="J46" s="131">
        <f t="shared" si="15"/>
        <v>2464.87</v>
      </c>
      <c r="M46" s="216"/>
      <c r="N46" s="219"/>
      <c r="O46" s="130">
        <v>29</v>
      </c>
      <c r="P46" s="18">
        <v>1523.3</v>
      </c>
      <c r="Q46" s="18"/>
      <c r="R46" s="18">
        <f t="shared" si="3"/>
        <v>-0.4</v>
      </c>
      <c r="S46" s="18">
        <f t="shared" si="4"/>
        <v>-1523.7</v>
      </c>
      <c r="T46" s="18">
        <v>1345.1000000000001</v>
      </c>
      <c r="U46" s="19">
        <f t="shared" si="16"/>
        <v>-113.27782321017024</v>
      </c>
      <c r="V46" s="18">
        <v>941.57000000000016</v>
      </c>
      <c r="W46" s="131">
        <f t="shared" si="17"/>
        <v>2465.2700000000004</v>
      </c>
      <c r="Y46" s="130">
        <v>29</v>
      </c>
      <c r="Z46" s="241"/>
      <c r="AA46" s="18">
        <f t="shared" si="18"/>
        <v>0</v>
      </c>
    </row>
    <row r="47" spans="1:27" x14ac:dyDescent="0.25">
      <c r="A47" s="216"/>
      <c r="B47" s="219"/>
      <c r="C47" s="100">
        <v>30</v>
      </c>
      <c r="D47" s="75">
        <v>1480.6</v>
      </c>
      <c r="E47" s="75"/>
      <c r="F47" s="75">
        <f t="shared" si="13"/>
        <v>-1480.6</v>
      </c>
      <c r="G47" s="75">
        <v>1212.5999999999999</v>
      </c>
      <c r="H47" s="91">
        <f t="shared" si="14"/>
        <v>-122.10126999835065</v>
      </c>
      <c r="I47" s="75">
        <v>848.82</v>
      </c>
      <c r="J47" s="101">
        <f t="shared" si="15"/>
        <v>2329.42</v>
      </c>
      <c r="M47" s="216"/>
      <c r="N47" s="219"/>
      <c r="O47" s="100">
        <v>30</v>
      </c>
      <c r="P47" s="75">
        <v>1480.6</v>
      </c>
      <c r="Q47" s="75">
        <v>2306.1999999999998</v>
      </c>
      <c r="R47" s="75">
        <f t="shared" si="3"/>
        <v>2305.7999999999997</v>
      </c>
      <c r="S47" s="75">
        <f t="shared" si="4"/>
        <v>825.19999999999982</v>
      </c>
      <c r="T47" s="75">
        <v>1212.5999999999999</v>
      </c>
      <c r="U47" s="91">
        <f t="shared" si="16"/>
        <v>68.052119412831928</v>
      </c>
      <c r="V47" s="75">
        <v>848.82</v>
      </c>
      <c r="W47" s="101">
        <f t="shared" si="17"/>
        <v>23.620000000000232</v>
      </c>
      <c r="Y47" s="135">
        <v>30</v>
      </c>
      <c r="Z47" s="241"/>
      <c r="AA47" s="12">
        <f t="shared" si="18"/>
        <v>8.2999999999997272</v>
      </c>
    </row>
    <row r="48" spans="1:27" x14ac:dyDescent="0.25">
      <c r="A48" s="216"/>
      <c r="B48" s="219"/>
      <c r="C48" s="100">
        <v>31</v>
      </c>
      <c r="D48" s="75">
        <v>1526.6</v>
      </c>
      <c r="E48" s="75"/>
      <c r="F48" s="75">
        <f t="shared" si="13"/>
        <v>-1526.6</v>
      </c>
      <c r="G48" s="75">
        <v>1252.0999999999999</v>
      </c>
      <c r="H48" s="91">
        <f t="shared" si="14"/>
        <v>-121.9231690759524</v>
      </c>
      <c r="I48" s="75">
        <v>876.47</v>
      </c>
      <c r="J48" s="101">
        <f t="shared" si="15"/>
        <v>2403.0699999999997</v>
      </c>
      <c r="M48" s="216"/>
      <c r="N48" s="219"/>
      <c r="O48" s="100">
        <v>31</v>
      </c>
      <c r="P48" s="75">
        <v>1526.6</v>
      </c>
      <c r="Q48" s="75">
        <v>2389.9</v>
      </c>
      <c r="R48" s="75">
        <f t="shared" si="3"/>
        <v>2389.5</v>
      </c>
      <c r="S48" s="75">
        <f t="shared" si="4"/>
        <v>862.90000000000009</v>
      </c>
      <c r="T48" s="75">
        <v>1252.0999999999999</v>
      </c>
      <c r="U48" s="91">
        <f t="shared" si="16"/>
        <v>68.916220749141459</v>
      </c>
      <c r="V48" s="75">
        <v>876.47</v>
      </c>
      <c r="W48" s="101">
        <f t="shared" si="17"/>
        <v>13.569999999999936</v>
      </c>
      <c r="Y48" s="135">
        <v>31</v>
      </c>
      <c r="Z48" s="241"/>
      <c r="AA48" s="12">
        <f t="shared" si="18"/>
        <v>4.3000000000001819</v>
      </c>
    </row>
    <row r="49" spans="1:27" x14ac:dyDescent="0.25">
      <c r="A49" s="217"/>
      <c r="B49" s="220"/>
      <c r="C49" s="102">
        <v>32</v>
      </c>
      <c r="D49" s="103">
        <v>1496.7</v>
      </c>
      <c r="E49" s="104"/>
      <c r="F49" s="104">
        <f t="shared" si="13"/>
        <v>-1496.7</v>
      </c>
      <c r="G49" s="104">
        <v>1307.1000000000001</v>
      </c>
      <c r="H49" s="95">
        <f t="shared" si="14"/>
        <v>-114.50539361946292</v>
      </c>
      <c r="I49" s="104">
        <v>914.97000000000014</v>
      </c>
      <c r="J49" s="105">
        <f t="shared" si="15"/>
        <v>2411.67</v>
      </c>
      <c r="M49" s="217"/>
      <c r="N49" s="220"/>
      <c r="O49" s="102">
        <v>32</v>
      </c>
      <c r="P49" s="103">
        <v>1496.7</v>
      </c>
      <c r="Q49" s="104">
        <v>2387.4</v>
      </c>
      <c r="R49" s="104">
        <f t="shared" si="3"/>
        <v>2387</v>
      </c>
      <c r="S49" s="104">
        <f t="shared" si="4"/>
        <v>890.3</v>
      </c>
      <c r="T49" s="104">
        <v>1307.1000000000001</v>
      </c>
      <c r="U49" s="95">
        <f t="shared" si="16"/>
        <v>68.1126157141764</v>
      </c>
      <c r="V49" s="104">
        <v>914.97000000000014</v>
      </c>
      <c r="W49" s="105">
        <f t="shared" si="17"/>
        <v>24.670000000000186</v>
      </c>
      <c r="Y49" s="136">
        <v>32</v>
      </c>
      <c r="Z49" s="241"/>
      <c r="AA49" s="12">
        <f t="shared" si="18"/>
        <v>8.3000000000001819</v>
      </c>
    </row>
    <row r="50" spans="1:27" x14ac:dyDescent="0.25">
      <c r="A50" s="215"/>
      <c r="B50" s="218" t="s">
        <v>105</v>
      </c>
      <c r="C50" s="97">
        <v>17</v>
      </c>
      <c r="D50" s="75">
        <v>1433.3</v>
      </c>
      <c r="E50" s="98">
        <v>2217.6999999999998</v>
      </c>
      <c r="F50" s="98">
        <f>E50- D50</f>
        <v>784.39999999999986</v>
      </c>
      <c r="G50" s="98">
        <v>1184.3999999999999</v>
      </c>
      <c r="H50" s="88">
        <f>(F50/$G50)*100</f>
        <v>66.227625802093883</v>
      </c>
      <c r="I50" s="98">
        <v>829.07999999999981</v>
      </c>
      <c r="J50" s="99">
        <f>I50-F50</f>
        <v>44.67999999999995</v>
      </c>
      <c r="M50" s="215">
        <v>0.44444444444444442</v>
      </c>
      <c r="N50" s="218" t="s">
        <v>105</v>
      </c>
      <c r="O50" s="97">
        <v>17</v>
      </c>
      <c r="P50" s="75">
        <v>1433.3</v>
      </c>
      <c r="Q50" s="98">
        <v>2223.1999999999998</v>
      </c>
      <c r="R50" s="98">
        <f t="shared" si="3"/>
        <v>2222.7999999999997</v>
      </c>
      <c r="S50" s="98">
        <f t="shared" si="4"/>
        <v>789.49999999999977</v>
      </c>
      <c r="T50" s="98">
        <v>1184.3999999999999</v>
      </c>
      <c r="U50" s="88">
        <f>(S50/$G50)*100</f>
        <v>66.658223573117183</v>
      </c>
      <c r="V50" s="98">
        <v>829.07999999999981</v>
      </c>
      <c r="W50" s="99">
        <f>V50-S50</f>
        <v>39.580000000000041</v>
      </c>
    </row>
    <row r="51" spans="1:27" x14ac:dyDescent="0.25">
      <c r="A51" s="216"/>
      <c r="B51" s="219"/>
      <c r="C51" s="100">
        <v>18</v>
      </c>
      <c r="D51" s="75">
        <v>1495.5</v>
      </c>
      <c r="E51" s="75">
        <v>2287</v>
      </c>
      <c r="F51" s="75">
        <f t="shared" ref="F51:F65" si="19">E51- D51</f>
        <v>791.5</v>
      </c>
      <c r="G51" s="75">
        <v>1186.5</v>
      </c>
      <c r="H51" s="91">
        <f t="shared" ref="H51:H65" si="20">(F51/$G51)*100</f>
        <v>66.708807416772018</v>
      </c>
      <c r="I51" s="75">
        <v>830.55</v>
      </c>
      <c r="J51" s="101">
        <f t="shared" ref="J51:J65" si="21">I51-F51</f>
        <v>39.049999999999955</v>
      </c>
      <c r="M51" s="216"/>
      <c r="N51" s="219"/>
      <c r="O51" s="100">
        <v>18</v>
      </c>
      <c r="P51" s="75">
        <v>1495.5</v>
      </c>
      <c r="Q51" s="75">
        <v>2292.3000000000002</v>
      </c>
      <c r="R51" s="75">
        <f t="shared" si="3"/>
        <v>2291.9</v>
      </c>
      <c r="S51" s="75">
        <f t="shared" si="4"/>
        <v>796.40000000000009</v>
      </c>
      <c r="T51" s="75">
        <v>1186.5</v>
      </c>
      <c r="U51" s="91">
        <f t="shared" ref="U51:U65" si="22">(S51/$G51)*100</f>
        <v>67.121786767804466</v>
      </c>
      <c r="V51" s="75">
        <v>830.55</v>
      </c>
      <c r="W51" s="101">
        <f t="shared" ref="W51:W65" si="23">V51-S51</f>
        <v>34.149999999999864</v>
      </c>
    </row>
    <row r="52" spans="1:27" x14ac:dyDescent="0.25">
      <c r="A52" s="216"/>
      <c r="B52" s="219"/>
      <c r="C52" s="100">
        <v>19</v>
      </c>
      <c r="D52" s="75">
        <v>1582.5</v>
      </c>
      <c r="E52" s="75">
        <v>2451.8000000000002</v>
      </c>
      <c r="F52" s="75">
        <f t="shared" si="19"/>
        <v>869.30000000000018</v>
      </c>
      <c r="G52" s="75">
        <v>1277.9000000000001</v>
      </c>
      <c r="H52" s="91">
        <f t="shared" si="20"/>
        <v>68.025667110102518</v>
      </c>
      <c r="I52" s="75">
        <v>894.53</v>
      </c>
      <c r="J52" s="101">
        <f t="shared" si="21"/>
        <v>25.229999999999791</v>
      </c>
      <c r="M52" s="216"/>
      <c r="N52" s="219"/>
      <c r="O52" s="100">
        <v>19</v>
      </c>
      <c r="P52" s="75">
        <v>1582.5</v>
      </c>
      <c r="Q52" s="75">
        <v>2453.6</v>
      </c>
      <c r="R52" s="75">
        <f t="shared" si="3"/>
        <v>2453.1999999999998</v>
      </c>
      <c r="S52" s="75">
        <f t="shared" si="4"/>
        <v>870.69999999999982</v>
      </c>
      <c r="T52" s="75">
        <v>1277.9000000000001</v>
      </c>
      <c r="U52" s="91">
        <f t="shared" si="22"/>
        <v>68.135221848344912</v>
      </c>
      <c r="V52" s="75">
        <v>894.53</v>
      </c>
      <c r="W52" s="101">
        <f t="shared" si="23"/>
        <v>23.830000000000155</v>
      </c>
    </row>
    <row r="53" spans="1:27" x14ac:dyDescent="0.25">
      <c r="A53" s="216"/>
      <c r="B53" s="219"/>
      <c r="C53" s="100">
        <v>20</v>
      </c>
      <c r="D53" s="75">
        <v>1849.2</v>
      </c>
      <c r="E53" s="75">
        <v>2757.9</v>
      </c>
      <c r="F53" s="75">
        <f t="shared" si="19"/>
        <v>908.7</v>
      </c>
      <c r="G53" s="75">
        <v>1354.8</v>
      </c>
      <c r="H53" s="91">
        <f t="shared" si="20"/>
        <v>67.0726306465899</v>
      </c>
      <c r="I53" s="75">
        <v>948.36</v>
      </c>
      <c r="J53" s="101">
        <f t="shared" si="21"/>
        <v>39.659999999999968</v>
      </c>
      <c r="M53" s="216"/>
      <c r="N53" s="219"/>
      <c r="O53" s="100">
        <v>20</v>
      </c>
      <c r="P53" s="75">
        <v>1849.2</v>
      </c>
      <c r="Q53" s="75">
        <v>2768.2</v>
      </c>
      <c r="R53" s="75">
        <f t="shared" si="3"/>
        <v>2767.7999999999997</v>
      </c>
      <c r="S53" s="75">
        <f t="shared" si="4"/>
        <v>918.59999999999968</v>
      </c>
      <c r="T53" s="75">
        <v>1354.8</v>
      </c>
      <c r="U53" s="91">
        <f t="shared" si="22"/>
        <v>67.803365810451709</v>
      </c>
      <c r="V53" s="75">
        <v>948.36</v>
      </c>
      <c r="W53" s="101">
        <f t="shared" si="23"/>
        <v>29.760000000000332</v>
      </c>
    </row>
    <row r="54" spans="1:27" x14ac:dyDescent="0.25">
      <c r="A54" s="216"/>
      <c r="B54" s="219"/>
      <c r="C54" s="100">
        <v>21</v>
      </c>
      <c r="D54" s="75">
        <v>1508.3</v>
      </c>
      <c r="E54" s="75">
        <v>2314</v>
      </c>
      <c r="F54" s="75">
        <f t="shared" si="19"/>
        <v>805.7</v>
      </c>
      <c r="G54" s="75">
        <v>1207.6000000000001</v>
      </c>
      <c r="H54" s="91">
        <f t="shared" si="20"/>
        <v>66.719112288837351</v>
      </c>
      <c r="I54" s="75">
        <v>845.32000000000016</v>
      </c>
      <c r="J54" s="101">
        <f t="shared" si="21"/>
        <v>39.620000000000118</v>
      </c>
      <c r="M54" s="216"/>
      <c r="N54" s="219"/>
      <c r="O54" s="100">
        <v>21</v>
      </c>
      <c r="P54" s="75">
        <v>1508.3</v>
      </c>
      <c r="Q54" s="75">
        <v>2316</v>
      </c>
      <c r="R54" s="75">
        <f t="shared" si="3"/>
        <v>2315.6</v>
      </c>
      <c r="S54" s="75">
        <f t="shared" si="4"/>
        <v>807.3</v>
      </c>
      <c r="T54" s="75">
        <v>1207.6000000000001</v>
      </c>
      <c r="U54" s="91">
        <f t="shared" si="22"/>
        <v>66.85160649221595</v>
      </c>
      <c r="V54" s="75">
        <v>845.32000000000016</v>
      </c>
      <c r="W54" s="101">
        <f t="shared" si="23"/>
        <v>38.020000000000209</v>
      </c>
    </row>
    <row r="55" spans="1:27" x14ac:dyDescent="0.25">
      <c r="A55" s="216"/>
      <c r="B55" s="219"/>
      <c r="C55" s="100">
        <v>22</v>
      </c>
      <c r="D55" s="75">
        <v>1564.3</v>
      </c>
      <c r="E55" s="75">
        <v>2424.5</v>
      </c>
      <c r="F55" s="75">
        <f t="shared" si="19"/>
        <v>860.2</v>
      </c>
      <c r="G55" s="75">
        <v>1266.1000000000001</v>
      </c>
      <c r="H55" s="91">
        <f t="shared" si="20"/>
        <v>67.940920938314505</v>
      </c>
      <c r="I55" s="75">
        <v>886.2700000000001</v>
      </c>
      <c r="J55" s="101">
        <f t="shared" si="21"/>
        <v>26.07000000000005</v>
      </c>
      <c r="M55" s="216"/>
      <c r="N55" s="219"/>
      <c r="O55" s="100">
        <v>22</v>
      </c>
      <c r="P55" s="75">
        <v>1564.3</v>
      </c>
      <c r="Q55" s="75">
        <v>2417.6</v>
      </c>
      <c r="R55" s="75">
        <f t="shared" si="3"/>
        <v>2417.1999999999998</v>
      </c>
      <c r="S55" s="75">
        <f t="shared" si="4"/>
        <v>852.89999999999986</v>
      </c>
      <c r="T55" s="75">
        <v>1266.1000000000001</v>
      </c>
      <c r="U55" s="91">
        <f t="shared" si="22"/>
        <v>67.364347207961444</v>
      </c>
      <c r="V55" s="75">
        <v>886.2700000000001</v>
      </c>
      <c r="W55" s="101">
        <f t="shared" si="23"/>
        <v>33.370000000000232</v>
      </c>
    </row>
    <row r="56" spans="1:27" x14ac:dyDescent="0.25">
      <c r="A56" s="216"/>
      <c r="B56" s="219"/>
      <c r="C56" s="100">
        <v>23</v>
      </c>
      <c r="D56" s="75">
        <v>1694.5</v>
      </c>
      <c r="E56" s="75">
        <v>2598.9</v>
      </c>
      <c r="F56" s="75">
        <f t="shared" si="19"/>
        <v>904.40000000000009</v>
      </c>
      <c r="G56" s="75">
        <v>1351</v>
      </c>
      <c r="H56" s="91">
        <f t="shared" si="20"/>
        <v>66.943005181347161</v>
      </c>
      <c r="I56" s="75">
        <v>945.7</v>
      </c>
      <c r="J56" s="101">
        <f t="shared" si="21"/>
        <v>41.299999999999955</v>
      </c>
      <c r="M56" s="216"/>
      <c r="N56" s="219"/>
      <c r="O56" s="100">
        <v>23</v>
      </c>
      <c r="P56" s="75">
        <v>1694.5</v>
      </c>
      <c r="Q56" s="75">
        <v>2593.4</v>
      </c>
      <c r="R56" s="75">
        <f t="shared" si="3"/>
        <v>2593</v>
      </c>
      <c r="S56" s="75">
        <f t="shared" si="4"/>
        <v>898.5</v>
      </c>
      <c r="T56" s="75">
        <v>1351</v>
      </c>
      <c r="U56" s="91">
        <f t="shared" si="22"/>
        <v>66.506291635825306</v>
      </c>
      <c r="V56" s="75">
        <v>945.7</v>
      </c>
      <c r="W56" s="101">
        <f t="shared" si="23"/>
        <v>47.200000000000045</v>
      </c>
    </row>
    <row r="57" spans="1:27" x14ac:dyDescent="0.25">
      <c r="A57" s="216"/>
      <c r="B57" s="219"/>
      <c r="C57" s="100">
        <v>24</v>
      </c>
      <c r="D57" s="75">
        <v>1623.4</v>
      </c>
      <c r="E57" s="75">
        <v>2459.3000000000002</v>
      </c>
      <c r="F57" s="75">
        <f t="shared" si="19"/>
        <v>835.90000000000009</v>
      </c>
      <c r="G57" s="75">
        <v>1245.0999999999999</v>
      </c>
      <c r="H57" s="91">
        <f t="shared" si="20"/>
        <v>67.135169865874246</v>
      </c>
      <c r="I57" s="75">
        <v>871.57</v>
      </c>
      <c r="J57" s="101">
        <f t="shared" si="21"/>
        <v>35.669999999999959</v>
      </c>
      <c r="M57" s="216"/>
      <c r="N57" s="219"/>
      <c r="O57" s="100">
        <v>24</v>
      </c>
      <c r="P57" s="75">
        <v>1623.4</v>
      </c>
      <c r="Q57" s="75">
        <v>2458.6</v>
      </c>
      <c r="R57" s="75">
        <f t="shared" si="3"/>
        <v>2458.1999999999998</v>
      </c>
      <c r="S57" s="75">
        <f t="shared" si="4"/>
        <v>834.79999999999973</v>
      </c>
      <c r="T57" s="75">
        <v>1245.0999999999999</v>
      </c>
      <c r="U57" s="91">
        <f t="shared" si="22"/>
        <v>67.046823548309348</v>
      </c>
      <c r="V57" s="75">
        <v>871.57</v>
      </c>
      <c r="W57" s="101">
        <f t="shared" si="23"/>
        <v>36.770000000000323</v>
      </c>
    </row>
    <row r="58" spans="1:27" x14ac:dyDescent="0.25">
      <c r="A58" s="216"/>
      <c r="B58" s="219"/>
      <c r="C58" s="100">
        <v>25</v>
      </c>
      <c r="D58" s="75">
        <v>1579.9</v>
      </c>
      <c r="E58" s="75">
        <v>2416.6999999999998</v>
      </c>
      <c r="F58" s="75">
        <f t="shared" si="19"/>
        <v>836.79999999999973</v>
      </c>
      <c r="G58" s="75">
        <v>1253.5999999999999</v>
      </c>
      <c r="H58" s="91">
        <f t="shared" si="20"/>
        <v>66.751754945756204</v>
      </c>
      <c r="I58" s="75">
        <v>877.52</v>
      </c>
      <c r="J58" s="101">
        <f t="shared" si="21"/>
        <v>40.720000000000255</v>
      </c>
      <c r="M58" s="216"/>
      <c r="N58" s="219"/>
      <c r="O58" s="100">
        <v>25</v>
      </c>
      <c r="P58" s="75">
        <v>1579.9</v>
      </c>
      <c r="Q58" s="75">
        <v>2425</v>
      </c>
      <c r="R58" s="75">
        <f t="shared" si="3"/>
        <v>2424.6</v>
      </c>
      <c r="S58" s="75">
        <f t="shared" si="4"/>
        <v>844.69999999999982</v>
      </c>
      <c r="T58" s="75">
        <v>1253.5999999999999</v>
      </c>
      <c r="U58" s="91">
        <f t="shared" si="22"/>
        <v>67.381940012763238</v>
      </c>
      <c r="V58" s="75">
        <v>877.52</v>
      </c>
      <c r="W58" s="101">
        <f t="shared" si="23"/>
        <v>32.820000000000164</v>
      </c>
    </row>
    <row r="59" spans="1:27" x14ac:dyDescent="0.25">
      <c r="A59" s="216"/>
      <c r="B59" s="219"/>
      <c r="C59" s="100">
        <v>26</v>
      </c>
      <c r="D59" s="75">
        <v>1507</v>
      </c>
      <c r="E59" s="75">
        <v>2314.1</v>
      </c>
      <c r="F59" s="75">
        <f t="shared" si="19"/>
        <v>807.09999999999991</v>
      </c>
      <c r="G59" s="75">
        <v>1216</v>
      </c>
      <c r="H59" s="91">
        <f t="shared" si="20"/>
        <v>66.37335526315789</v>
      </c>
      <c r="I59" s="75">
        <v>851.2</v>
      </c>
      <c r="J59" s="101">
        <f t="shared" si="21"/>
        <v>44.100000000000136</v>
      </c>
      <c r="M59" s="216"/>
      <c r="N59" s="219"/>
      <c r="O59" s="100">
        <v>26</v>
      </c>
      <c r="P59" s="75">
        <v>1507</v>
      </c>
      <c r="Q59" s="75">
        <v>2321.1</v>
      </c>
      <c r="R59" s="75">
        <f>Q59-0.4</f>
        <v>2320.6999999999998</v>
      </c>
      <c r="S59" s="75">
        <f t="shared" si="4"/>
        <v>813.69999999999982</v>
      </c>
      <c r="T59" s="75">
        <v>1216</v>
      </c>
      <c r="U59" s="91">
        <f t="shared" si="22"/>
        <v>66.916118421052616</v>
      </c>
      <c r="V59" s="75">
        <v>851.2</v>
      </c>
      <c r="W59" s="101">
        <f t="shared" si="23"/>
        <v>37.500000000000227</v>
      </c>
    </row>
    <row r="60" spans="1:27" x14ac:dyDescent="0.25">
      <c r="A60" s="216"/>
      <c r="B60" s="219"/>
      <c r="C60" s="130">
        <v>27</v>
      </c>
      <c r="D60" s="18">
        <v>1494.6</v>
      </c>
      <c r="E60" s="18"/>
      <c r="F60" s="18">
        <f t="shared" si="19"/>
        <v>-1494.6</v>
      </c>
      <c r="G60" s="18">
        <v>1240.8000000000002</v>
      </c>
      <c r="H60" s="19">
        <f t="shared" si="20"/>
        <v>-120.45454545454544</v>
      </c>
      <c r="I60" s="18">
        <v>868.56000000000017</v>
      </c>
      <c r="J60" s="131">
        <f t="shared" si="21"/>
        <v>2363.16</v>
      </c>
      <c r="M60" s="216"/>
      <c r="N60" s="219"/>
      <c r="O60" s="130">
        <v>27</v>
      </c>
      <c r="P60" s="18">
        <v>1494.6</v>
      </c>
      <c r="Q60" s="18"/>
      <c r="R60" s="18">
        <f t="shared" si="3"/>
        <v>-0.4</v>
      </c>
      <c r="S60" s="18">
        <f t="shared" si="4"/>
        <v>-1495</v>
      </c>
      <c r="T60" s="18">
        <v>1240.8000000000002</v>
      </c>
      <c r="U60" s="19">
        <f t="shared" si="22"/>
        <v>-120.48678272082525</v>
      </c>
      <c r="V60" s="18">
        <v>868.56000000000017</v>
      </c>
      <c r="W60" s="131">
        <f t="shared" si="23"/>
        <v>2363.5600000000004</v>
      </c>
    </row>
    <row r="61" spans="1:27" x14ac:dyDescent="0.25">
      <c r="A61" s="216"/>
      <c r="B61" s="219"/>
      <c r="C61" s="100">
        <v>28</v>
      </c>
      <c r="D61" s="75">
        <v>1433.8</v>
      </c>
      <c r="E61" s="75">
        <v>2156.8000000000002</v>
      </c>
      <c r="F61" s="75">
        <f t="shared" si="19"/>
        <v>723.00000000000023</v>
      </c>
      <c r="G61" s="75">
        <v>1108.5000000000002</v>
      </c>
      <c r="H61" s="91">
        <f t="shared" si="20"/>
        <v>65.223274695534514</v>
      </c>
      <c r="I61" s="75">
        <v>775.95000000000016</v>
      </c>
      <c r="J61" s="101">
        <f t="shared" si="21"/>
        <v>52.949999999999932</v>
      </c>
      <c r="M61" s="216"/>
      <c r="N61" s="219"/>
      <c r="O61" s="100">
        <v>28</v>
      </c>
      <c r="P61" s="75">
        <v>1433.8</v>
      </c>
      <c r="Q61" s="75">
        <v>2170.8000000000002</v>
      </c>
      <c r="R61" s="75">
        <f t="shared" si="3"/>
        <v>2170.4</v>
      </c>
      <c r="S61" s="75">
        <f t="shared" si="4"/>
        <v>736.60000000000014</v>
      </c>
      <c r="T61" s="75">
        <v>1108.5000000000002</v>
      </c>
      <c r="U61" s="91">
        <f t="shared" si="22"/>
        <v>66.450157870996833</v>
      </c>
      <c r="V61" s="75">
        <v>775.95000000000016</v>
      </c>
      <c r="W61" s="101">
        <f t="shared" si="23"/>
        <v>39.350000000000023</v>
      </c>
    </row>
    <row r="62" spans="1:27" x14ac:dyDescent="0.25">
      <c r="A62" s="216"/>
      <c r="B62" s="219"/>
      <c r="C62" s="130">
        <v>29</v>
      </c>
      <c r="D62" s="18">
        <v>1523.3</v>
      </c>
      <c r="E62" s="18"/>
      <c r="F62" s="18">
        <f t="shared" si="19"/>
        <v>-1523.3</v>
      </c>
      <c r="G62" s="18">
        <v>1345.1000000000001</v>
      </c>
      <c r="H62" s="19">
        <f t="shared" si="20"/>
        <v>-113.24808564419</v>
      </c>
      <c r="I62" s="18">
        <v>941.57000000000016</v>
      </c>
      <c r="J62" s="131">
        <f t="shared" si="21"/>
        <v>2464.87</v>
      </c>
      <c r="M62" s="216"/>
      <c r="N62" s="219"/>
      <c r="O62" s="130">
        <v>29</v>
      </c>
      <c r="P62" s="18">
        <v>1523.3</v>
      </c>
      <c r="Q62" s="18"/>
      <c r="R62" s="18">
        <f t="shared" si="3"/>
        <v>-0.4</v>
      </c>
      <c r="S62" s="18">
        <f t="shared" si="4"/>
        <v>-1523.7</v>
      </c>
      <c r="T62" s="18">
        <v>1345.1000000000001</v>
      </c>
      <c r="U62" s="19">
        <f t="shared" si="22"/>
        <v>-113.27782321017024</v>
      </c>
      <c r="V62" s="18">
        <v>941.57000000000016</v>
      </c>
      <c r="W62" s="131">
        <f t="shared" si="23"/>
        <v>2465.2700000000004</v>
      </c>
    </row>
    <row r="63" spans="1:27" x14ac:dyDescent="0.25">
      <c r="A63" s="216"/>
      <c r="B63" s="219"/>
      <c r="C63" s="100">
        <v>30</v>
      </c>
      <c r="D63" s="75">
        <v>1480.6</v>
      </c>
      <c r="E63" s="75">
        <v>2292.9</v>
      </c>
      <c r="F63" s="75">
        <f t="shared" si="19"/>
        <v>812.30000000000018</v>
      </c>
      <c r="G63" s="75">
        <v>1212.5999999999999</v>
      </c>
      <c r="H63" s="91">
        <f t="shared" si="20"/>
        <v>66.988289625597901</v>
      </c>
      <c r="I63" s="75">
        <v>848.82</v>
      </c>
      <c r="J63" s="101">
        <f t="shared" si="21"/>
        <v>36.519999999999868</v>
      </c>
      <c r="M63" s="216"/>
      <c r="N63" s="219"/>
      <c r="O63" s="100">
        <v>30</v>
      </c>
      <c r="P63" s="75">
        <v>1480.6</v>
      </c>
      <c r="Q63" s="75">
        <v>2297.9</v>
      </c>
      <c r="R63" s="75">
        <f t="shared" si="3"/>
        <v>2297.5</v>
      </c>
      <c r="S63" s="75">
        <f t="shared" si="4"/>
        <v>816.90000000000009</v>
      </c>
      <c r="T63" s="75">
        <v>1212.5999999999999</v>
      </c>
      <c r="U63" s="91">
        <f t="shared" si="22"/>
        <v>67.36763978228602</v>
      </c>
      <c r="V63" s="75">
        <v>848.82</v>
      </c>
      <c r="W63" s="101">
        <f t="shared" si="23"/>
        <v>31.919999999999959</v>
      </c>
    </row>
    <row r="64" spans="1:27" x14ac:dyDescent="0.25">
      <c r="A64" s="216"/>
      <c r="B64" s="219"/>
      <c r="C64" s="100">
        <v>31</v>
      </c>
      <c r="D64" s="75">
        <v>1526.6</v>
      </c>
      <c r="E64" s="75">
        <v>2383.6999999999998</v>
      </c>
      <c r="F64" s="75">
        <f t="shared" si="19"/>
        <v>857.09999999999991</v>
      </c>
      <c r="G64" s="75">
        <v>1252.0999999999999</v>
      </c>
      <c r="H64" s="91">
        <f t="shared" si="20"/>
        <v>68.452998961744271</v>
      </c>
      <c r="I64" s="75">
        <v>876.47</v>
      </c>
      <c r="J64" s="101">
        <f t="shared" si="21"/>
        <v>19.370000000000118</v>
      </c>
      <c r="M64" s="216"/>
      <c r="N64" s="219"/>
      <c r="O64" s="100">
        <v>31</v>
      </c>
      <c r="P64" s="75">
        <v>1526.6</v>
      </c>
      <c r="Q64" s="75">
        <v>2385.6</v>
      </c>
      <c r="R64" s="75">
        <f t="shared" si="3"/>
        <v>2385.1999999999998</v>
      </c>
      <c r="S64" s="75">
        <f t="shared" si="4"/>
        <v>858.59999999999991</v>
      </c>
      <c r="T64" s="75">
        <v>1252.0999999999999</v>
      </c>
      <c r="U64" s="91">
        <f t="shared" si="22"/>
        <v>68.572797699864225</v>
      </c>
      <c r="V64" s="75">
        <v>876.47</v>
      </c>
      <c r="W64" s="101">
        <f t="shared" si="23"/>
        <v>17.870000000000118</v>
      </c>
      <c r="Y64" s="242" t="s">
        <v>123</v>
      </c>
      <c r="Z64" s="242"/>
      <c r="AA64" s="242"/>
    </row>
    <row r="65" spans="1:27" ht="15.75" x14ac:dyDescent="0.25">
      <c r="A65" s="217"/>
      <c r="B65" s="220"/>
      <c r="C65" s="102">
        <v>32</v>
      </c>
      <c r="D65" s="103">
        <v>1496.7</v>
      </c>
      <c r="E65" s="104">
        <v>2384</v>
      </c>
      <c r="F65" s="104">
        <f t="shared" si="19"/>
        <v>887.3</v>
      </c>
      <c r="G65" s="104">
        <v>1307.1000000000001</v>
      </c>
      <c r="H65" s="95">
        <f t="shared" si="20"/>
        <v>67.883099992349457</v>
      </c>
      <c r="I65" s="104">
        <v>914.97000000000014</v>
      </c>
      <c r="J65" s="105">
        <f t="shared" si="21"/>
        <v>27.670000000000186</v>
      </c>
      <c r="M65" s="217"/>
      <c r="N65" s="220"/>
      <c r="O65" s="102">
        <v>32</v>
      </c>
      <c r="P65" s="103">
        <v>1496.7</v>
      </c>
      <c r="Q65" s="104">
        <v>2379.1</v>
      </c>
      <c r="R65" s="104">
        <f t="shared" si="3"/>
        <v>2378.6999999999998</v>
      </c>
      <c r="S65" s="104">
        <f t="shared" si="4"/>
        <v>881.99999999999977</v>
      </c>
      <c r="T65" s="104">
        <v>1307.1000000000001</v>
      </c>
      <c r="U65" s="95">
        <f t="shared" si="22"/>
        <v>67.477622217121848</v>
      </c>
      <c r="V65" s="104">
        <v>914.97000000000014</v>
      </c>
      <c r="W65" s="105">
        <f t="shared" si="23"/>
        <v>32.970000000000368</v>
      </c>
      <c r="Y65" s="133" t="s">
        <v>121</v>
      </c>
      <c r="Z65" s="133" t="s">
        <v>74</v>
      </c>
      <c r="AA65" s="133" t="s">
        <v>122</v>
      </c>
    </row>
    <row r="66" spans="1:27" x14ac:dyDescent="0.25">
      <c r="A66" s="221"/>
      <c r="B66" s="224" t="s">
        <v>106</v>
      </c>
      <c r="C66" s="106">
        <v>17</v>
      </c>
      <c r="D66" s="76">
        <v>1433.3</v>
      </c>
      <c r="E66" s="107"/>
      <c r="F66" s="107">
        <f>E66- D66</f>
        <v>-1433.3</v>
      </c>
      <c r="G66" s="107">
        <v>1184.3999999999999</v>
      </c>
      <c r="H66" s="88">
        <f>(F66/$G66)*100</f>
        <v>-121.01485984464708</v>
      </c>
      <c r="I66" s="107">
        <v>829.07999999999981</v>
      </c>
      <c r="J66" s="108">
        <f>I66-F66</f>
        <v>2262.3799999999997</v>
      </c>
      <c r="M66" s="221"/>
      <c r="N66" s="224" t="s">
        <v>106</v>
      </c>
      <c r="O66" s="106">
        <v>17</v>
      </c>
      <c r="P66" s="76">
        <v>1433.3</v>
      </c>
      <c r="Q66" s="107">
        <v>2213.1999999999998</v>
      </c>
      <c r="R66" s="107">
        <f t="shared" si="3"/>
        <v>2212.7999999999997</v>
      </c>
      <c r="S66" s="107">
        <f t="shared" si="4"/>
        <v>779.49999999999977</v>
      </c>
      <c r="T66" s="107">
        <v>1184.3999999999999</v>
      </c>
      <c r="U66" s="88">
        <f>(S66/$G66)*100</f>
        <v>65.813914218169529</v>
      </c>
      <c r="V66" s="107">
        <v>829.07999999999981</v>
      </c>
      <c r="W66" s="108">
        <f>V66-S66</f>
        <v>49.580000000000041</v>
      </c>
      <c r="Y66" s="106">
        <v>17</v>
      </c>
      <c r="Z66" s="241" t="s">
        <v>80</v>
      </c>
      <c r="AA66" s="12">
        <f>Q66-Q82</f>
        <v>12.299999999999727</v>
      </c>
    </row>
    <row r="67" spans="1:27" x14ac:dyDescent="0.25">
      <c r="A67" s="222"/>
      <c r="B67" s="225"/>
      <c r="C67" s="109">
        <v>18</v>
      </c>
      <c r="D67" s="76">
        <v>1495.5</v>
      </c>
      <c r="E67" s="76"/>
      <c r="F67" s="76">
        <f t="shared" ref="F67:F81" si="24">E67- D67</f>
        <v>-1495.5</v>
      </c>
      <c r="G67" s="76">
        <v>1186.5</v>
      </c>
      <c r="H67" s="91">
        <f t="shared" ref="H67:H81" si="25">(F67/$G67)*100</f>
        <v>-126.04298356510746</v>
      </c>
      <c r="I67" s="76">
        <v>830.55</v>
      </c>
      <c r="J67" s="110">
        <f t="shared" ref="J67:J81" si="26">I67-F67</f>
        <v>2326.0500000000002</v>
      </c>
      <c r="M67" s="222"/>
      <c r="N67" s="225"/>
      <c r="O67" s="109">
        <v>18</v>
      </c>
      <c r="P67" s="76">
        <v>1495.5</v>
      </c>
      <c r="Q67" s="76">
        <v>2284.8000000000002</v>
      </c>
      <c r="R67" s="76">
        <f t="shared" ref="R67:R130" si="27">Q67-0.4</f>
        <v>2284.4</v>
      </c>
      <c r="S67" s="76">
        <f t="shared" ref="S67:S130" si="28">R67- P67</f>
        <v>788.90000000000009</v>
      </c>
      <c r="T67" s="76">
        <v>1186.5</v>
      </c>
      <c r="U67" s="91">
        <f t="shared" ref="U67:U81" si="29">(S67/$G67)*100</f>
        <v>66.489675516224196</v>
      </c>
      <c r="V67" s="76">
        <v>830.55</v>
      </c>
      <c r="W67" s="110">
        <f t="shared" ref="W67:W81" si="30">V67-S67</f>
        <v>41.649999999999864</v>
      </c>
      <c r="Y67" s="109">
        <v>18</v>
      </c>
      <c r="Z67" s="241"/>
      <c r="AA67" s="12">
        <f>Q67-Q83</f>
        <v>11.200000000000273</v>
      </c>
    </row>
    <row r="68" spans="1:27" x14ac:dyDescent="0.25">
      <c r="A68" s="222"/>
      <c r="B68" s="225"/>
      <c r="C68" s="109">
        <v>19</v>
      </c>
      <c r="D68" s="76">
        <v>1582.5</v>
      </c>
      <c r="E68" s="76"/>
      <c r="F68" s="76">
        <f t="shared" si="24"/>
        <v>-1582.5</v>
      </c>
      <c r="G68" s="76">
        <v>1277.9000000000001</v>
      </c>
      <c r="H68" s="91">
        <f t="shared" si="25"/>
        <v>-123.83598090617419</v>
      </c>
      <c r="I68" s="76">
        <v>894.53</v>
      </c>
      <c r="J68" s="110">
        <f t="shared" si="26"/>
        <v>2477.0299999999997</v>
      </c>
      <c r="M68" s="222"/>
      <c r="N68" s="225"/>
      <c r="O68" s="109">
        <v>19</v>
      </c>
      <c r="P68" s="76">
        <v>1582.5</v>
      </c>
      <c r="Q68" s="76">
        <v>2448.1</v>
      </c>
      <c r="R68" s="76">
        <f t="shared" si="27"/>
        <v>2447.6999999999998</v>
      </c>
      <c r="S68" s="76">
        <f t="shared" si="28"/>
        <v>865.19999999999982</v>
      </c>
      <c r="T68" s="76">
        <v>1277.9000000000001</v>
      </c>
      <c r="U68" s="91">
        <f t="shared" si="29"/>
        <v>67.70482823382109</v>
      </c>
      <c r="V68" s="76">
        <v>894.53</v>
      </c>
      <c r="W68" s="110">
        <f t="shared" si="30"/>
        <v>29.330000000000155</v>
      </c>
      <c r="Y68" s="109">
        <v>19</v>
      </c>
      <c r="Z68" s="241"/>
      <c r="AA68" s="12">
        <f>Q68-Q84</f>
        <v>7.2999999999997272</v>
      </c>
    </row>
    <row r="69" spans="1:27" x14ac:dyDescent="0.25">
      <c r="A69" s="222"/>
      <c r="B69" s="225"/>
      <c r="C69" s="109">
        <v>20</v>
      </c>
      <c r="D69" s="76">
        <v>1849.2</v>
      </c>
      <c r="E69" s="76"/>
      <c r="F69" s="76">
        <f t="shared" si="24"/>
        <v>-1849.2</v>
      </c>
      <c r="G69" s="76">
        <v>1354.8</v>
      </c>
      <c r="H69" s="91">
        <f t="shared" si="25"/>
        <v>-136.49247121346323</v>
      </c>
      <c r="I69" s="76">
        <v>948.36</v>
      </c>
      <c r="J69" s="110">
        <f t="shared" si="26"/>
        <v>2797.56</v>
      </c>
      <c r="M69" s="222"/>
      <c r="N69" s="225"/>
      <c r="O69" s="109">
        <v>20</v>
      </c>
      <c r="P69" s="76">
        <v>1849.2</v>
      </c>
      <c r="Q69" s="76">
        <v>2761.8</v>
      </c>
      <c r="R69" s="76">
        <f t="shared" si="27"/>
        <v>2761.4</v>
      </c>
      <c r="S69" s="76">
        <f t="shared" si="28"/>
        <v>912.2</v>
      </c>
      <c r="T69" s="76">
        <v>1354.8</v>
      </c>
      <c r="U69" s="91">
        <f t="shared" si="29"/>
        <v>67.330971361086512</v>
      </c>
      <c r="V69" s="76">
        <v>948.36</v>
      </c>
      <c r="W69" s="110">
        <f t="shared" si="30"/>
        <v>36.159999999999968</v>
      </c>
      <c r="Y69" s="109">
        <v>20</v>
      </c>
      <c r="Z69" s="241"/>
      <c r="AA69" s="12">
        <f t="shared" ref="AA69:AA81" si="31">Q69-Q85</f>
        <v>8.4000000000000909</v>
      </c>
    </row>
    <row r="70" spans="1:27" x14ac:dyDescent="0.25">
      <c r="A70" s="222"/>
      <c r="B70" s="225"/>
      <c r="C70" s="109">
        <v>21</v>
      </c>
      <c r="D70" s="76">
        <v>1508.3</v>
      </c>
      <c r="E70" s="76"/>
      <c r="F70" s="76">
        <f t="shared" si="24"/>
        <v>-1508.3</v>
      </c>
      <c r="G70" s="76">
        <v>1207.6000000000001</v>
      </c>
      <c r="H70" s="91">
        <f t="shared" si="25"/>
        <v>-124.90062934746604</v>
      </c>
      <c r="I70" s="76">
        <v>845.32000000000016</v>
      </c>
      <c r="J70" s="110">
        <f t="shared" si="26"/>
        <v>2353.62</v>
      </c>
      <c r="M70" s="222"/>
      <c r="N70" s="225"/>
      <c r="O70" s="109">
        <v>21</v>
      </c>
      <c r="P70" s="76">
        <v>1508.3</v>
      </c>
      <c r="Q70" s="76">
        <v>2308.1999999999998</v>
      </c>
      <c r="R70" s="76">
        <f t="shared" si="27"/>
        <v>2307.7999999999997</v>
      </c>
      <c r="S70" s="76">
        <f t="shared" si="28"/>
        <v>799.49999999999977</v>
      </c>
      <c r="T70" s="76">
        <v>1207.6000000000001</v>
      </c>
      <c r="U70" s="91">
        <f t="shared" si="29"/>
        <v>66.20569725074526</v>
      </c>
      <c r="V70" s="76">
        <v>845.32000000000016</v>
      </c>
      <c r="W70" s="110">
        <f t="shared" si="30"/>
        <v>45.820000000000391</v>
      </c>
      <c r="Y70" s="109">
        <v>21</v>
      </c>
      <c r="Z70" s="241"/>
      <c r="AA70" s="12">
        <f t="shared" si="31"/>
        <v>10.599999999999909</v>
      </c>
    </row>
    <row r="71" spans="1:27" x14ac:dyDescent="0.25">
      <c r="A71" s="222"/>
      <c r="B71" s="225"/>
      <c r="C71" s="109">
        <v>22</v>
      </c>
      <c r="D71" s="76">
        <v>1564.3</v>
      </c>
      <c r="E71" s="76"/>
      <c r="F71" s="76">
        <f t="shared" si="24"/>
        <v>-1564.3</v>
      </c>
      <c r="G71" s="76">
        <v>1266.1000000000001</v>
      </c>
      <c r="H71" s="91">
        <f t="shared" si="25"/>
        <v>-123.55264197140825</v>
      </c>
      <c r="I71" s="76">
        <v>886.2700000000001</v>
      </c>
      <c r="J71" s="110">
        <f t="shared" si="26"/>
        <v>2450.5700000000002</v>
      </c>
      <c r="M71" s="222"/>
      <c r="N71" s="225"/>
      <c r="O71" s="109">
        <v>22</v>
      </c>
      <c r="P71" s="76">
        <v>1564.3</v>
      </c>
      <c r="Q71" s="76">
        <v>2410.8000000000002</v>
      </c>
      <c r="R71" s="76">
        <f t="shared" si="27"/>
        <v>2410.4</v>
      </c>
      <c r="S71" s="76">
        <f t="shared" si="28"/>
        <v>846.10000000000014</v>
      </c>
      <c r="T71" s="76">
        <v>1266.1000000000001</v>
      </c>
      <c r="U71" s="91">
        <f t="shared" si="29"/>
        <v>66.827264829002459</v>
      </c>
      <c r="V71" s="76">
        <v>886.2700000000001</v>
      </c>
      <c r="W71" s="110">
        <f t="shared" si="30"/>
        <v>40.169999999999959</v>
      </c>
      <c r="Y71" s="109">
        <v>22</v>
      </c>
      <c r="Z71" s="241"/>
      <c r="AA71" s="12">
        <f t="shared" si="31"/>
        <v>8.1000000000003638</v>
      </c>
    </row>
    <row r="72" spans="1:27" x14ac:dyDescent="0.25">
      <c r="A72" s="222"/>
      <c r="B72" s="225"/>
      <c r="C72" s="109">
        <v>23</v>
      </c>
      <c r="D72" s="76">
        <v>1694.5</v>
      </c>
      <c r="E72" s="76"/>
      <c r="F72" s="76">
        <f t="shared" si="24"/>
        <v>-1694.5</v>
      </c>
      <c r="G72" s="76">
        <v>1351</v>
      </c>
      <c r="H72" s="91">
        <f t="shared" si="25"/>
        <v>-125.42561065877129</v>
      </c>
      <c r="I72" s="76">
        <v>945.7</v>
      </c>
      <c r="J72" s="110">
        <f t="shared" si="26"/>
        <v>2640.2</v>
      </c>
      <c r="M72" s="222"/>
      <c r="N72" s="225"/>
      <c r="O72" s="109">
        <v>23</v>
      </c>
      <c r="P72" s="76">
        <v>1694.5</v>
      </c>
      <c r="Q72" s="76">
        <v>2582.8000000000002</v>
      </c>
      <c r="R72" s="76">
        <f t="shared" si="27"/>
        <v>2582.4</v>
      </c>
      <c r="S72" s="76">
        <f t="shared" si="28"/>
        <v>887.90000000000009</v>
      </c>
      <c r="T72" s="76">
        <v>1351</v>
      </c>
      <c r="U72" s="91">
        <f t="shared" si="29"/>
        <v>65.721687638786079</v>
      </c>
      <c r="V72" s="76">
        <v>945.7</v>
      </c>
      <c r="W72" s="110">
        <f t="shared" si="30"/>
        <v>57.799999999999955</v>
      </c>
      <c r="Y72" s="109">
        <v>23</v>
      </c>
      <c r="Z72" s="241"/>
      <c r="AA72" s="12">
        <f t="shared" si="31"/>
        <v>13.5</v>
      </c>
    </row>
    <row r="73" spans="1:27" x14ac:dyDescent="0.25">
      <c r="A73" s="222"/>
      <c r="B73" s="225"/>
      <c r="C73" s="109">
        <v>24</v>
      </c>
      <c r="D73" s="76">
        <v>1623.4</v>
      </c>
      <c r="E73" s="76"/>
      <c r="F73" s="76">
        <f t="shared" si="24"/>
        <v>-1623.4</v>
      </c>
      <c r="G73" s="76">
        <v>1245.0999999999999</v>
      </c>
      <c r="H73" s="91">
        <f t="shared" si="25"/>
        <v>-130.3831017588949</v>
      </c>
      <c r="I73" s="76">
        <v>871.57</v>
      </c>
      <c r="J73" s="110">
        <f t="shared" si="26"/>
        <v>2494.9700000000003</v>
      </c>
      <c r="M73" s="222"/>
      <c r="N73" s="225"/>
      <c r="O73" s="109">
        <v>24</v>
      </c>
      <c r="P73" s="76">
        <v>1623.4</v>
      </c>
      <c r="Q73" s="76">
        <v>2449.9</v>
      </c>
      <c r="R73" s="76">
        <f t="shared" si="27"/>
        <v>2449.5</v>
      </c>
      <c r="S73" s="76">
        <f t="shared" si="28"/>
        <v>826.09999999999991</v>
      </c>
      <c r="T73" s="76">
        <v>1245.0999999999999</v>
      </c>
      <c r="U73" s="91">
        <f t="shared" si="29"/>
        <v>66.348084491205526</v>
      </c>
      <c r="V73" s="76">
        <v>871.57</v>
      </c>
      <c r="W73" s="110">
        <f t="shared" si="30"/>
        <v>45.470000000000141</v>
      </c>
      <c r="Y73" s="109">
        <v>24</v>
      </c>
      <c r="Z73" s="241"/>
      <c r="AA73" s="12">
        <f t="shared" si="31"/>
        <v>11.800000000000182</v>
      </c>
    </row>
    <row r="74" spans="1:27" x14ac:dyDescent="0.25">
      <c r="A74" s="222"/>
      <c r="B74" s="225"/>
      <c r="C74" s="109">
        <v>25</v>
      </c>
      <c r="D74" s="76">
        <v>1579.9</v>
      </c>
      <c r="E74" s="76"/>
      <c r="F74" s="76">
        <f t="shared" si="24"/>
        <v>-1579.9</v>
      </c>
      <c r="G74" s="76">
        <v>1253.5999999999999</v>
      </c>
      <c r="H74" s="91">
        <f t="shared" si="25"/>
        <v>-126.02903637523933</v>
      </c>
      <c r="I74" s="76">
        <v>877.52</v>
      </c>
      <c r="J74" s="110">
        <f t="shared" si="26"/>
        <v>2457.42</v>
      </c>
      <c r="M74" s="222"/>
      <c r="N74" s="225"/>
      <c r="O74" s="109">
        <v>25</v>
      </c>
      <c r="P74" s="76">
        <v>1579.9</v>
      </c>
      <c r="Q74" s="76">
        <v>2418.1</v>
      </c>
      <c r="R74" s="76">
        <f t="shared" si="27"/>
        <v>2417.6999999999998</v>
      </c>
      <c r="S74" s="76">
        <f t="shared" si="28"/>
        <v>837.79999999999973</v>
      </c>
      <c r="T74" s="76">
        <v>1253.5999999999999</v>
      </c>
      <c r="U74" s="91">
        <f t="shared" si="29"/>
        <v>66.831525207402663</v>
      </c>
      <c r="V74" s="76">
        <v>877.52</v>
      </c>
      <c r="W74" s="110">
        <f t="shared" si="30"/>
        <v>39.720000000000255</v>
      </c>
      <c r="Y74" s="109">
        <v>25</v>
      </c>
      <c r="Z74" s="241"/>
      <c r="AA74" s="12">
        <f t="shared" si="31"/>
        <v>9.0999999999999091</v>
      </c>
    </row>
    <row r="75" spans="1:27" x14ac:dyDescent="0.25">
      <c r="A75" s="222"/>
      <c r="B75" s="225"/>
      <c r="C75" s="109">
        <v>26</v>
      </c>
      <c r="D75" s="76">
        <v>1507</v>
      </c>
      <c r="E75" s="76"/>
      <c r="F75" s="76">
        <f t="shared" si="24"/>
        <v>-1507</v>
      </c>
      <c r="G75" s="76">
        <v>1216</v>
      </c>
      <c r="H75" s="91">
        <f t="shared" si="25"/>
        <v>-123.93092105263158</v>
      </c>
      <c r="I75" s="76">
        <v>851.2</v>
      </c>
      <c r="J75" s="110">
        <f t="shared" si="26"/>
        <v>2358.1999999999998</v>
      </c>
      <c r="M75" s="222"/>
      <c r="N75" s="225"/>
      <c r="O75" s="109">
        <v>26</v>
      </c>
      <c r="P75" s="76">
        <v>1507</v>
      </c>
      <c r="Q75" s="76">
        <v>2313.1999999999998</v>
      </c>
      <c r="R75" s="76">
        <f t="shared" si="27"/>
        <v>2312.7999999999997</v>
      </c>
      <c r="S75" s="76">
        <f t="shared" si="28"/>
        <v>805.79999999999973</v>
      </c>
      <c r="T75" s="76">
        <v>1216</v>
      </c>
      <c r="U75" s="91">
        <f t="shared" si="29"/>
        <v>66.266447368421026</v>
      </c>
      <c r="V75" s="76">
        <v>851.2</v>
      </c>
      <c r="W75" s="110">
        <f t="shared" si="30"/>
        <v>45.400000000000318</v>
      </c>
      <c r="Y75" s="109">
        <v>26</v>
      </c>
      <c r="Z75" s="241"/>
      <c r="AA75" s="12">
        <f t="shared" si="31"/>
        <v>10.299999999999727</v>
      </c>
    </row>
    <row r="76" spans="1:27" x14ac:dyDescent="0.25">
      <c r="A76" s="222"/>
      <c r="B76" s="225"/>
      <c r="C76" s="130">
        <v>27</v>
      </c>
      <c r="D76" s="18">
        <v>1494.6</v>
      </c>
      <c r="E76" s="18"/>
      <c r="F76" s="18">
        <f t="shared" si="24"/>
        <v>-1494.6</v>
      </c>
      <c r="G76" s="18">
        <v>1240.8000000000002</v>
      </c>
      <c r="H76" s="19">
        <f t="shared" si="25"/>
        <v>-120.45454545454544</v>
      </c>
      <c r="I76" s="18">
        <v>868.56000000000017</v>
      </c>
      <c r="J76" s="131">
        <f t="shared" si="26"/>
        <v>2363.16</v>
      </c>
      <c r="M76" s="222"/>
      <c r="N76" s="225"/>
      <c r="O76" s="130">
        <v>27</v>
      </c>
      <c r="P76" s="18">
        <v>1494.6</v>
      </c>
      <c r="Q76" s="18"/>
      <c r="R76" s="18">
        <f t="shared" si="27"/>
        <v>-0.4</v>
      </c>
      <c r="S76" s="18">
        <f t="shared" si="28"/>
        <v>-1495</v>
      </c>
      <c r="T76" s="18">
        <v>1240.8000000000002</v>
      </c>
      <c r="U76" s="19">
        <f t="shared" si="29"/>
        <v>-120.48678272082525</v>
      </c>
      <c r="V76" s="18">
        <v>868.56000000000017</v>
      </c>
      <c r="W76" s="131">
        <f t="shared" si="30"/>
        <v>2363.5600000000004</v>
      </c>
      <c r="Y76" s="130">
        <v>27</v>
      </c>
      <c r="Z76" s="241"/>
      <c r="AA76" s="18">
        <f t="shared" si="31"/>
        <v>0</v>
      </c>
    </row>
    <row r="77" spans="1:27" x14ac:dyDescent="0.25">
      <c r="A77" s="222"/>
      <c r="B77" s="225"/>
      <c r="C77" s="109">
        <v>28</v>
      </c>
      <c r="D77" s="76">
        <v>1433.8</v>
      </c>
      <c r="E77" s="76"/>
      <c r="F77" s="76">
        <f t="shared" si="24"/>
        <v>-1433.8</v>
      </c>
      <c r="G77" s="76">
        <v>1108.5000000000002</v>
      </c>
      <c r="H77" s="91">
        <f t="shared" si="25"/>
        <v>-129.34596301308071</v>
      </c>
      <c r="I77" s="76">
        <v>775.95000000000016</v>
      </c>
      <c r="J77" s="110">
        <f t="shared" si="26"/>
        <v>2209.75</v>
      </c>
      <c r="M77" s="222"/>
      <c r="N77" s="225"/>
      <c r="O77" s="109">
        <v>28</v>
      </c>
      <c r="P77" s="76">
        <v>1433.8</v>
      </c>
      <c r="Q77" s="76">
        <v>2161.1999999999998</v>
      </c>
      <c r="R77" s="76">
        <f t="shared" si="27"/>
        <v>2160.7999999999997</v>
      </c>
      <c r="S77" s="76">
        <f t="shared" si="28"/>
        <v>726.99999999999977</v>
      </c>
      <c r="T77" s="76">
        <v>1108.5000000000002</v>
      </c>
      <c r="U77" s="91">
        <f t="shared" si="29"/>
        <v>65.584122688317521</v>
      </c>
      <c r="V77" s="76">
        <v>775.95000000000016</v>
      </c>
      <c r="W77" s="110">
        <f t="shared" si="30"/>
        <v>48.950000000000387</v>
      </c>
      <c r="Y77" s="109">
        <v>28</v>
      </c>
      <c r="Z77" s="241"/>
      <c r="AA77" s="12">
        <f t="shared" si="31"/>
        <v>13.899999999999636</v>
      </c>
    </row>
    <row r="78" spans="1:27" x14ac:dyDescent="0.25">
      <c r="A78" s="222"/>
      <c r="B78" s="225"/>
      <c r="C78" s="130">
        <v>29</v>
      </c>
      <c r="D78" s="18">
        <v>1523.3</v>
      </c>
      <c r="E78" s="18"/>
      <c r="F78" s="18">
        <f t="shared" si="24"/>
        <v>-1523.3</v>
      </c>
      <c r="G78" s="18">
        <v>1345.1000000000001</v>
      </c>
      <c r="H78" s="19">
        <f t="shared" si="25"/>
        <v>-113.24808564419</v>
      </c>
      <c r="I78" s="18">
        <v>941.57000000000016</v>
      </c>
      <c r="J78" s="131">
        <f t="shared" si="26"/>
        <v>2464.87</v>
      </c>
      <c r="M78" s="222"/>
      <c r="N78" s="225"/>
      <c r="O78" s="130">
        <v>29</v>
      </c>
      <c r="P78" s="18">
        <v>1523.3</v>
      </c>
      <c r="Q78" s="18"/>
      <c r="R78" s="18">
        <f t="shared" si="27"/>
        <v>-0.4</v>
      </c>
      <c r="S78" s="18">
        <f t="shared" si="28"/>
        <v>-1523.7</v>
      </c>
      <c r="T78" s="18">
        <v>1345.1000000000001</v>
      </c>
      <c r="U78" s="19">
        <f t="shared" si="29"/>
        <v>-113.27782321017024</v>
      </c>
      <c r="V78" s="18">
        <v>941.57000000000016</v>
      </c>
      <c r="W78" s="131">
        <f t="shared" si="30"/>
        <v>2465.2700000000004</v>
      </c>
      <c r="Y78" s="130">
        <v>29</v>
      </c>
      <c r="Z78" s="241"/>
      <c r="AA78" s="18">
        <f t="shared" si="31"/>
        <v>0</v>
      </c>
    </row>
    <row r="79" spans="1:27" x14ac:dyDescent="0.25">
      <c r="A79" s="222"/>
      <c r="B79" s="225"/>
      <c r="C79" s="109">
        <v>30</v>
      </c>
      <c r="D79" s="76">
        <v>1480.6</v>
      </c>
      <c r="E79" s="76"/>
      <c r="F79" s="76">
        <f t="shared" si="24"/>
        <v>-1480.6</v>
      </c>
      <c r="G79" s="76">
        <v>1212.5999999999999</v>
      </c>
      <c r="H79" s="91">
        <f t="shared" si="25"/>
        <v>-122.10126999835065</v>
      </c>
      <c r="I79" s="76">
        <v>848.82</v>
      </c>
      <c r="J79" s="110">
        <f t="shared" si="26"/>
        <v>2329.42</v>
      </c>
      <c r="M79" s="222"/>
      <c r="N79" s="225"/>
      <c r="O79" s="109">
        <v>30</v>
      </c>
      <c r="P79" s="76">
        <v>1480.6</v>
      </c>
      <c r="Q79" s="76">
        <v>2290</v>
      </c>
      <c r="R79" s="76">
        <f t="shared" si="27"/>
        <v>2289.6</v>
      </c>
      <c r="S79" s="76">
        <f t="shared" si="28"/>
        <v>809</v>
      </c>
      <c r="T79" s="76">
        <v>1212.5999999999999</v>
      </c>
      <c r="U79" s="91">
        <f t="shared" si="29"/>
        <v>66.716147121886863</v>
      </c>
      <c r="V79" s="76">
        <v>848.82</v>
      </c>
      <c r="W79" s="110">
        <f t="shared" si="30"/>
        <v>39.82000000000005</v>
      </c>
      <c r="Y79" s="109">
        <v>30</v>
      </c>
      <c r="Z79" s="241"/>
      <c r="AA79" s="12">
        <f>Q79-Q95</f>
        <v>12.400000000000091</v>
      </c>
    </row>
    <row r="80" spans="1:27" x14ac:dyDescent="0.25">
      <c r="A80" s="222"/>
      <c r="B80" s="225"/>
      <c r="C80" s="109">
        <v>31</v>
      </c>
      <c r="D80" s="76">
        <v>1526.6</v>
      </c>
      <c r="E80" s="76"/>
      <c r="F80" s="76">
        <f t="shared" si="24"/>
        <v>-1526.6</v>
      </c>
      <c r="G80" s="76">
        <v>1252.0999999999999</v>
      </c>
      <c r="H80" s="91">
        <f t="shared" si="25"/>
        <v>-121.9231690759524</v>
      </c>
      <c r="I80" s="76">
        <v>876.47</v>
      </c>
      <c r="J80" s="110">
        <f t="shared" si="26"/>
        <v>2403.0699999999997</v>
      </c>
      <c r="M80" s="222"/>
      <c r="N80" s="225"/>
      <c r="O80" s="109">
        <v>31</v>
      </c>
      <c r="P80" s="76">
        <v>1526.6</v>
      </c>
      <c r="Q80" s="76">
        <v>2381.9</v>
      </c>
      <c r="R80" s="76">
        <f t="shared" si="27"/>
        <v>2381.5</v>
      </c>
      <c r="S80" s="76">
        <f t="shared" si="28"/>
        <v>854.90000000000009</v>
      </c>
      <c r="T80" s="76">
        <v>1252.0999999999999</v>
      </c>
      <c r="U80" s="91">
        <f t="shared" si="29"/>
        <v>68.277294145835015</v>
      </c>
      <c r="V80" s="76">
        <v>876.47</v>
      </c>
      <c r="W80" s="110">
        <f t="shared" si="30"/>
        <v>21.569999999999936</v>
      </c>
      <c r="Y80" s="109">
        <v>31</v>
      </c>
      <c r="Z80" s="241"/>
      <c r="AA80" s="12">
        <f t="shared" si="31"/>
        <v>5</v>
      </c>
    </row>
    <row r="81" spans="1:27" x14ac:dyDescent="0.25">
      <c r="A81" s="223"/>
      <c r="B81" s="226"/>
      <c r="C81" s="111">
        <v>32</v>
      </c>
      <c r="D81" s="60">
        <v>1496.7</v>
      </c>
      <c r="E81" s="112"/>
      <c r="F81" s="112">
        <f t="shared" si="24"/>
        <v>-1496.7</v>
      </c>
      <c r="G81" s="112">
        <v>1307.1000000000001</v>
      </c>
      <c r="H81" s="95">
        <f t="shared" si="25"/>
        <v>-114.50539361946292</v>
      </c>
      <c r="I81" s="112">
        <v>914.97000000000014</v>
      </c>
      <c r="J81" s="113">
        <f t="shared" si="26"/>
        <v>2411.67</v>
      </c>
      <c r="M81" s="223"/>
      <c r="N81" s="226"/>
      <c r="O81" s="111">
        <v>32</v>
      </c>
      <c r="P81" s="60">
        <v>1496.7</v>
      </c>
      <c r="Q81" s="112">
        <v>2371.6</v>
      </c>
      <c r="R81" s="112">
        <f t="shared" si="27"/>
        <v>2371.1999999999998</v>
      </c>
      <c r="S81" s="112">
        <f t="shared" si="28"/>
        <v>874.49999999999977</v>
      </c>
      <c r="T81" s="112">
        <v>1307.1000000000001</v>
      </c>
      <c r="U81" s="95">
        <f t="shared" si="29"/>
        <v>66.903832912554478</v>
      </c>
      <c r="V81" s="112">
        <v>914.97000000000014</v>
      </c>
      <c r="W81" s="113">
        <f t="shared" si="30"/>
        <v>40.470000000000368</v>
      </c>
      <c r="Y81" s="111">
        <v>32</v>
      </c>
      <c r="Z81" s="241"/>
      <c r="AA81" s="12">
        <f t="shared" si="31"/>
        <v>9</v>
      </c>
    </row>
    <row r="82" spans="1:27" x14ac:dyDescent="0.25">
      <c r="A82" s="221"/>
      <c r="B82" s="224" t="s">
        <v>107</v>
      </c>
      <c r="C82" s="106">
        <v>17</v>
      </c>
      <c r="D82" s="76">
        <v>1433.3</v>
      </c>
      <c r="E82" s="107">
        <v>2204.9</v>
      </c>
      <c r="F82" s="107">
        <f>E82- D82</f>
        <v>771.60000000000014</v>
      </c>
      <c r="G82" s="107">
        <v>1184.3999999999999</v>
      </c>
      <c r="H82" s="88">
        <f>(F82/$G82)*100</f>
        <v>65.146909827760908</v>
      </c>
      <c r="I82" s="107">
        <v>829.07999999999981</v>
      </c>
      <c r="J82" s="108">
        <f>I82-F82</f>
        <v>57.479999999999677</v>
      </c>
      <c r="M82" s="221"/>
      <c r="N82" s="224" t="s">
        <v>107</v>
      </c>
      <c r="O82" s="106">
        <v>17</v>
      </c>
      <c r="P82" s="76">
        <v>1433.3</v>
      </c>
      <c r="Q82" s="107">
        <v>2200.9</v>
      </c>
      <c r="R82" s="107">
        <f t="shared" si="27"/>
        <v>2200.5</v>
      </c>
      <c r="S82" s="107">
        <f t="shared" si="28"/>
        <v>767.2</v>
      </c>
      <c r="T82" s="107">
        <v>1184.3999999999999</v>
      </c>
      <c r="U82" s="88">
        <f>(S82/$G82)*100</f>
        <v>64.775413711583937</v>
      </c>
      <c r="V82" s="107">
        <v>829.07999999999981</v>
      </c>
      <c r="W82" s="108">
        <f>V82-S82</f>
        <v>61.879999999999768</v>
      </c>
      <c r="AA82"/>
    </row>
    <row r="83" spans="1:27" x14ac:dyDescent="0.25">
      <c r="A83" s="222"/>
      <c r="B83" s="225"/>
      <c r="C83" s="109">
        <v>18</v>
      </c>
      <c r="D83" s="76">
        <v>1495.5</v>
      </c>
      <c r="E83" s="76">
        <v>2276.9</v>
      </c>
      <c r="F83" s="76">
        <f t="shared" ref="F83:F97" si="32">E83- D83</f>
        <v>781.40000000000009</v>
      </c>
      <c r="G83" s="76">
        <v>1186.5</v>
      </c>
      <c r="H83" s="91">
        <f t="shared" ref="H83:H97" si="33">(F83/$G83)*100</f>
        <v>65.857564264643926</v>
      </c>
      <c r="I83" s="76">
        <v>830.55</v>
      </c>
      <c r="J83" s="110">
        <f t="shared" ref="J83:J97" si="34">I83-F83</f>
        <v>49.149999999999864</v>
      </c>
      <c r="M83" s="222"/>
      <c r="N83" s="225"/>
      <c r="O83" s="109">
        <v>18</v>
      </c>
      <c r="P83" s="76">
        <v>1495.5</v>
      </c>
      <c r="Q83" s="76">
        <v>2273.6</v>
      </c>
      <c r="R83" s="76">
        <f t="shared" si="27"/>
        <v>2273.1999999999998</v>
      </c>
      <c r="S83" s="76">
        <f t="shared" si="28"/>
        <v>777.69999999999982</v>
      </c>
      <c r="T83" s="76">
        <v>1186.5</v>
      </c>
      <c r="U83" s="91">
        <f t="shared" ref="U83:U97" si="35">(S83/$G83)*100</f>
        <v>65.545722713864293</v>
      </c>
      <c r="V83" s="76">
        <v>830.55</v>
      </c>
      <c r="W83" s="110">
        <f t="shared" ref="W83:W97" si="36">V83-S83</f>
        <v>52.850000000000136</v>
      </c>
    </row>
    <row r="84" spans="1:27" x14ac:dyDescent="0.25">
      <c r="A84" s="222"/>
      <c r="B84" s="225"/>
      <c r="C84" s="109">
        <v>19</v>
      </c>
      <c r="D84" s="76">
        <v>1582.5</v>
      </c>
      <c r="E84" s="76">
        <v>2444.5</v>
      </c>
      <c r="F84" s="76">
        <f t="shared" si="32"/>
        <v>862</v>
      </c>
      <c r="G84" s="76">
        <v>1277.9000000000001</v>
      </c>
      <c r="H84" s="91">
        <f t="shared" si="33"/>
        <v>67.454417403552696</v>
      </c>
      <c r="I84" s="76">
        <v>894.53</v>
      </c>
      <c r="J84" s="110">
        <f t="shared" si="34"/>
        <v>32.529999999999973</v>
      </c>
      <c r="M84" s="222"/>
      <c r="N84" s="225"/>
      <c r="O84" s="109">
        <v>19</v>
      </c>
      <c r="P84" s="76">
        <v>1582.5</v>
      </c>
      <c r="Q84" s="76">
        <v>2440.8000000000002</v>
      </c>
      <c r="R84" s="76">
        <f t="shared" si="27"/>
        <v>2440.4</v>
      </c>
      <c r="S84" s="76">
        <f t="shared" si="28"/>
        <v>857.90000000000009</v>
      </c>
      <c r="T84" s="76">
        <v>1277.9000000000001</v>
      </c>
      <c r="U84" s="91">
        <f t="shared" si="35"/>
        <v>67.133578527271311</v>
      </c>
      <c r="V84" s="76">
        <v>894.53</v>
      </c>
      <c r="W84" s="110">
        <f t="shared" si="36"/>
        <v>36.629999999999882</v>
      </c>
    </row>
    <row r="85" spans="1:27" x14ac:dyDescent="0.25">
      <c r="A85" s="222"/>
      <c r="B85" s="225"/>
      <c r="C85" s="109">
        <v>20</v>
      </c>
      <c r="D85" s="76">
        <v>1849.2</v>
      </c>
      <c r="E85" s="76">
        <v>2749.2</v>
      </c>
      <c r="F85" s="76">
        <f t="shared" si="32"/>
        <v>899.99999999999977</v>
      </c>
      <c r="G85" s="76">
        <v>1354.8</v>
      </c>
      <c r="H85" s="91">
        <f t="shared" si="33"/>
        <v>66.430469441984044</v>
      </c>
      <c r="I85" s="76">
        <v>948.36</v>
      </c>
      <c r="J85" s="110">
        <f t="shared" si="34"/>
        <v>48.360000000000241</v>
      </c>
      <c r="M85" s="222"/>
      <c r="N85" s="225"/>
      <c r="O85" s="109">
        <v>20</v>
      </c>
      <c r="P85" s="76">
        <v>1849.2</v>
      </c>
      <c r="Q85" s="76">
        <v>2753.4</v>
      </c>
      <c r="R85" s="76">
        <f t="shared" si="27"/>
        <v>2753</v>
      </c>
      <c r="S85" s="76">
        <f t="shared" si="28"/>
        <v>903.8</v>
      </c>
      <c r="T85" s="76">
        <v>1354.8</v>
      </c>
      <c r="U85" s="91">
        <f t="shared" si="35"/>
        <v>66.710953646294655</v>
      </c>
      <c r="V85" s="76">
        <v>948.36</v>
      </c>
      <c r="W85" s="110">
        <f t="shared" si="36"/>
        <v>44.560000000000059</v>
      </c>
    </row>
    <row r="86" spans="1:27" x14ac:dyDescent="0.25">
      <c r="A86" s="222"/>
      <c r="B86" s="225"/>
      <c r="C86" s="109">
        <v>21</v>
      </c>
      <c r="D86" s="76">
        <v>1508.3</v>
      </c>
      <c r="E86" s="76">
        <v>2303.5</v>
      </c>
      <c r="F86" s="76">
        <f t="shared" si="32"/>
        <v>795.2</v>
      </c>
      <c r="G86" s="76">
        <v>1207.6000000000001</v>
      </c>
      <c r="H86" s="91">
        <f t="shared" si="33"/>
        <v>65.849619079165279</v>
      </c>
      <c r="I86" s="76">
        <v>845.32000000000016</v>
      </c>
      <c r="J86" s="110">
        <f t="shared" si="34"/>
        <v>50.120000000000118</v>
      </c>
      <c r="M86" s="222"/>
      <c r="N86" s="225"/>
      <c r="O86" s="109">
        <v>21</v>
      </c>
      <c r="P86" s="76">
        <v>1508.3</v>
      </c>
      <c r="Q86" s="76">
        <v>2297.6</v>
      </c>
      <c r="R86" s="76">
        <f t="shared" si="27"/>
        <v>2297.1999999999998</v>
      </c>
      <c r="S86" s="76">
        <f t="shared" si="28"/>
        <v>788.89999999999986</v>
      </c>
      <c r="T86" s="76">
        <v>1207.6000000000001</v>
      </c>
      <c r="U86" s="91">
        <f t="shared" si="35"/>
        <v>65.327923153362022</v>
      </c>
      <c r="V86" s="76">
        <v>845.32000000000016</v>
      </c>
      <c r="W86" s="110">
        <f t="shared" si="36"/>
        <v>56.4200000000003</v>
      </c>
    </row>
    <row r="87" spans="1:27" x14ac:dyDescent="0.25">
      <c r="A87" s="222"/>
      <c r="B87" s="225"/>
      <c r="C87" s="109">
        <v>22</v>
      </c>
      <c r="D87" s="76">
        <v>1564.3</v>
      </c>
      <c r="E87" s="76">
        <v>2415.3000000000002</v>
      </c>
      <c r="F87" s="76">
        <f t="shared" si="32"/>
        <v>851.00000000000023</v>
      </c>
      <c r="G87" s="76">
        <v>1266.1000000000001</v>
      </c>
      <c r="H87" s="91">
        <f t="shared" si="33"/>
        <v>67.214280072664096</v>
      </c>
      <c r="I87" s="76">
        <v>886.2700000000001</v>
      </c>
      <c r="J87" s="110">
        <f t="shared" si="34"/>
        <v>35.269999999999868</v>
      </c>
      <c r="M87" s="222"/>
      <c r="N87" s="225"/>
      <c r="O87" s="109">
        <v>22</v>
      </c>
      <c r="P87" s="76">
        <v>1564.3</v>
      </c>
      <c r="Q87" s="76">
        <v>2402.6999999999998</v>
      </c>
      <c r="R87" s="76">
        <f t="shared" si="27"/>
        <v>2402.2999999999997</v>
      </c>
      <c r="S87" s="76">
        <f t="shared" si="28"/>
        <v>837.99999999999977</v>
      </c>
      <c r="T87" s="76">
        <v>1266.1000000000001</v>
      </c>
      <c r="U87" s="91">
        <f t="shared" si="35"/>
        <v>66.18750493641889</v>
      </c>
      <c r="V87" s="76">
        <v>886.2700000000001</v>
      </c>
      <c r="W87" s="110">
        <f t="shared" si="36"/>
        <v>48.270000000000323</v>
      </c>
    </row>
    <row r="88" spans="1:27" x14ac:dyDescent="0.25">
      <c r="A88" s="222"/>
      <c r="B88" s="225"/>
      <c r="C88" s="109">
        <v>23</v>
      </c>
      <c r="D88" s="76">
        <v>1694.5</v>
      </c>
      <c r="E88" s="76">
        <v>2585.8000000000002</v>
      </c>
      <c r="F88" s="76">
        <f t="shared" si="32"/>
        <v>891.30000000000018</v>
      </c>
      <c r="G88" s="76">
        <v>1351</v>
      </c>
      <c r="H88" s="91">
        <f t="shared" si="33"/>
        <v>65.973353071798684</v>
      </c>
      <c r="I88" s="76">
        <v>945.7</v>
      </c>
      <c r="J88" s="110">
        <f t="shared" si="34"/>
        <v>54.399999999999864</v>
      </c>
      <c r="M88" s="222"/>
      <c r="N88" s="225"/>
      <c r="O88" s="109">
        <v>23</v>
      </c>
      <c r="P88" s="76">
        <v>1694.5</v>
      </c>
      <c r="Q88" s="76">
        <v>2569.3000000000002</v>
      </c>
      <c r="R88" s="76">
        <f t="shared" si="27"/>
        <v>2568.9</v>
      </c>
      <c r="S88" s="76">
        <f t="shared" si="28"/>
        <v>874.40000000000009</v>
      </c>
      <c r="T88" s="76">
        <v>1351</v>
      </c>
      <c r="U88" s="91">
        <f t="shared" si="35"/>
        <v>64.722427831236132</v>
      </c>
      <c r="V88" s="76">
        <v>945.7</v>
      </c>
      <c r="W88" s="110">
        <f t="shared" si="36"/>
        <v>71.299999999999955</v>
      </c>
    </row>
    <row r="89" spans="1:27" x14ac:dyDescent="0.25">
      <c r="A89" s="222"/>
      <c r="B89" s="225"/>
      <c r="C89" s="109">
        <v>24</v>
      </c>
      <c r="D89" s="76">
        <v>1623.4</v>
      </c>
      <c r="E89" s="76">
        <v>2447.4</v>
      </c>
      <c r="F89" s="76">
        <f t="shared" si="32"/>
        <v>824</v>
      </c>
      <c r="G89" s="76">
        <v>1245.0999999999999</v>
      </c>
      <c r="H89" s="91">
        <f t="shared" si="33"/>
        <v>66.17942333949081</v>
      </c>
      <c r="I89" s="76">
        <v>871.57</v>
      </c>
      <c r="J89" s="110">
        <f t="shared" si="34"/>
        <v>47.57000000000005</v>
      </c>
      <c r="M89" s="222"/>
      <c r="N89" s="225"/>
      <c r="O89" s="109">
        <v>24</v>
      </c>
      <c r="P89" s="76">
        <v>1623.4</v>
      </c>
      <c r="Q89" s="76">
        <v>2438.1</v>
      </c>
      <c r="R89" s="76">
        <f t="shared" si="27"/>
        <v>2437.6999999999998</v>
      </c>
      <c r="S89" s="76">
        <f t="shared" si="28"/>
        <v>814.29999999999973</v>
      </c>
      <c r="T89" s="76">
        <v>1245.0999999999999</v>
      </c>
      <c r="U89" s="91">
        <f t="shared" si="35"/>
        <v>65.400369448237072</v>
      </c>
      <c r="V89" s="76">
        <v>871.57</v>
      </c>
      <c r="W89" s="110">
        <f t="shared" si="36"/>
        <v>57.270000000000323</v>
      </c>
    </row>
    <row r="90" spans="1:27" x14ac:dyDescent="0.25">
      <c r="A90" s="222"/>
      <c r="B90" s="225"/>
      <c r="C90" s="109">
        <v>25</v>
      </c>
      <c r="D90" s="76">
        <v>1579.9</v>
      </c>
      <c r="E90" s="76">
        <v>2406</v>
      </c>
      <c r="F90" s="76">
        <f t="shared" si="32"/>
        <v>826.09999999999991</v>
      </c>
      <c r="G90" s="76">
        <v>1253.5999999999999</v>
      </c>
      <c r="H90" s="91">
        <f t="shared" si="33"/>
        <v>65.898213146139113</v>
      </c>
      <c r="I90" s="76">
        <v>877.52</v>
      </c>
      <c r="J90" s="110">
        <f t="shared" si="34"/>
        <v>51.420000000000073</v>
      </c>
      <c r="M90" s="222"/>
      <c r="N90" s="225"/>
      <c r="O90" s="109">
        <v>25</v>
      </c>
      <c r="P90" s="76">
        <v>1579.9</v>
      </c>
      <c r="Q90" s="76">
        <v>2409</v>
      </c>
      <c r="R90" s="76">
        <f t="shared" si="27"/>
        <v>2408.6</v>
      </c>
      <c r="S90" s="76">
        <f t="shared" si="28"/>
        <v>828.69999999999982</v>
      </c>
      <c r="T90" s="76">
        <v>1253.5999999999999</v>
      </c>
      <c r="U90" s="91">
        <f t="shared" si="35"/>
        <v>66.105615826419907</v>
      </c>
      <c r="V90" s="76">
        <v>877.52</v>
      </c>
      <c r="W90" s="110">
        <f t="shared" si="36"/>
        <v>48.820000000000164</v>
      </c>
    </row>
    <row r="91" spans="1:27" x14ac:dyDescent="0.25">
      <c r="A91" s="222"/>
      <c r="B91" s="225"/>
      <c r="C91" s="109">
        <v>26</v>
      </c>
      <c r="D91" s="76">
        <v>1507</v>
      </c>
      <c r="E91" s="76">
        <v>2302.9</v>
      </c>
      <c r="F91" s="76">
        <f t="shared" si="32"/>
        <v>795.90000000000009</v>
      </c>
      <c r="G91" s="76">
        <v>1216</v>
      </c>
      <c r="H91" s="91">
        <f t="shared" si="33"/>
        <v>65.452302631578945</v>
      </c>
      <c r="I91" s="76">
        <v>851.2</v>
      </c>
      <c r="J91" s="110">
        <f t="shared" si="34"/>
        <v>55.299999999999955</v>
      </c>
      <c r="M91" s="222"/>
      <c r="N91" s="225"/>
      <c r="O91" s="109">
        <v>26</v>
      </c>
      <c r="P91" s="76">
        <v>1507</v>
      </c>
      <c r="Q91" s="76">
        <v>2302.9</v>
      </c>
      <c r="R91" s="76">
        <f t="shared" si="27"/>
        <v>2302.5</v>
      </c>
      <c r="S91" s="76">
        <f t="shared" si="28"/>
        <v>795.5</v>
      </c>
      <c r="T91" s="76">
        <v>1216</v>
      </c>
      <c r="U91" s="91">
        <f t="shared" si="35"/>
        <v>65.41940789473685</v>
      </c>
      <c r="V91" s="76">
        <v>851.2</v>
      </c>
      <c r="W91" s="110">
        <f t="shared" si="36"/>
        <v>55.700000000000045</v>
      </c>
    </row>
    <row r="92" spans="1:27" x14ac:dyDescent="0.25">
      <c r="A92" s="222"/>
      <c r="B92" s="225"/>
      <c r="C92" s="130">
        <v>27</v>
      </c>
      <c r="D92" s="18">
        <v>1494.6</v>
      </c>
      <c r="E92" s="18"/>
      <c r="F92" s="18">
        <f t="shared" si="32"/>
        <v>-1494.6</v>
      </c>
      <c r="G92" s="18">
        <v>1240.8000000000002</v>
      </c>
      <c r="H92" s="19">
        <f t="shared" si="33"/>
        <v>-120.45454545454544</v>
      </c>
      <c r="I92" s="18">
        <v>868.56000000000017</v>
      </c>
      <c r="J92" s="131">
        <f t="shared" si="34"/>
        <v>2363.16</v>
      </c>
      <c r="M92" s="222"/>
      <c r="N92" s="225"/>
      <c r="O92" s="130">
        <v>27</v>
      </c>
      <c r="P92" s="18">
        <v>1494.6</v>
      </c>
      <c r="Q92" s="18"/>
      <c r="R92" s="18">
        <f t="shared" si="27"/>
        <v>-0.4</v>
      </c>
      <c r="S92" s="18">
        <f t="shared" si="28"/>
        <v>-1495</v>
      </c>
      <c r="T92" s="18">
        <v>1240.8000000000002</v>
      </c>
      <c r="U92" s="19">
        <f t="shared" si="35"/>
        <v>-120.48678272082525</v>
      </c>
      <c r="V92" s="18">
        <v>868.56000000000017</v>
      </c>
      <c r="W92" s="131">
        <f t="shared" si="36"/>
        <v>2363.5600000000004</v>
      </c>
    </row>
    <row r="93" spans="1:27" x14ac:dyDescent="0.25">
      <c r="A93" s="222"/>
      <c r="B93" s="225"/>
      <c r="C93" s="109">
        <v>28</v>
      </c>
      <c r="D93" s="76">
        <v>1433.8</v>
      </c>
      <c r="E93" s="76">
        <v>2143.1999999999998</v>
      </c>
      <c r="F93" s="76">
        <f t="shared" si="32"/>
        <v>709.39999999999986</v>
      </c>
      <c r="G93" s="76">
        <v>1108.5000000000002</v>
      </c>
      <c r="H93" s="91">
        <f t="shared" si="33"/>
        <v>63.996391520072152</v>
      </c>
      <c r="I93" s="76">
        <v>775.95000000000016</v>
      </c>
      <c r="J93" s="110">
        <f t="shared" si="34"/>
        <v>66.550000000000296</v>
      </c>
      <c r="M93" s="222"/>
      <c r="N93" s="225"/>
      <c r="O93" s="109">
        <v>28</v>
      </c>
      <c r="P93" s="76">
        <v>1433.8</v>
      </c>
      <c r="Q93" s="76">
        <v>2147.3000000000002</v>
      </c>
      <c r="R93" s="76">
        <f t="shared" si="27"/>
        <v>2146.9</v>
      </c>
      <c r="S93" s="76">
        <f t="shared" si="28"/>
        <v>713.10000000000014</v>
      </c>
      <c r="T93" s="76">
        <v>1108.5000000000002</v>
      </c>
      <c r="U93" s="91">
        <f t="shared" si="35"/>
        <v>64.330175913396488</v>
      </c>
      <c r="V93" s="76">
        <v>775.95000000000016</v>
      </c>
      <c r="W93" s="110">
        <f t="shared" si="36"/>
        <v>62.850000000000023</v>
      </c>
    </row>
    <row r="94" spans="1:27" x14ac:dyDescent="0.25">
      <c r="A94" s="222"/>
      <c r="B94" s="225"/>
      <c r="C94" s="130">
        <v>29</v>
      </c>
      <c r="D94" s="18">
        <v>1523.3</v>
      </c>
      <c r="E94" s="18"/>
      <c r="F94" s="18">
        <f t="shared" si="32"/>
        <v>-1523.3</v>
      </c>
      <c r="G94" s="18">
        <v>1345.1000000000001</v>
      </c>
      <c r="H94" s="19">
        <f t="shared" si="33"/>
        <v>-113.24808564419</v>
      </c>
      <c r="I94" s="18">
        <v>941.57000000000016</v>
      </c>
      <c r="J94" s="131">
        <f t="shared" si="34"/>
        <v>2464.87</v>
      </c>
      <c r="M94" s="222"/>
      <c r="N94" s="225"/>
      <c r="O94" s="130">
        <v>29</v>
      </c>
      <c r="P94" s="18">
        <v>1523.3</v>
      </c>
      <c r="Q94" s="18"/>
      <c r="R94" s="18">
        <f t="shared" si="27"/>
        <v>-0.4</v>
      </c>
      <c r="S94" s="18">
        <f t="shared" si="28"/>
        <v>-1523.7</v>
      </c>
      <c r="T94" s="18">
        <v>1345.1000000000001</v>
      </c>
      <c r="U94" s="19">
        <f t="shared" si="35"/>
        <v>-113.27782321017024</v>
      </c>
      <c r="V94" s="18">
        <v>941.57000000000016</v>
      </c>
      <c r="W94" s="131">
        <f t="shared" si="36"/>
        <v>2465.2700000000004</v>
      </c>
    </row>
    <row r="95" spans="1:27" x14ac:dyDescent="0.25">
      <c r="A95" s="222"/>
      <c r="B95" s="225"/>
      <c r="C95" s="109">
        <v>30</v>
      </c>
      <c r="D95" s="76">
        <v>1480.6</v>
      </c>
      <c r="E95" s="76">
        <v>2282.4</v>
      </c>
      <c r="F95" s="76">
        <f t="shared" si="32"/>
        <v>801.80000000000018</v>
      </c>
      <c r="G95" s="76">
        <v>1212.5999999999999</v>
      </c>
      <c r="H95" s="91">
        <f t="shared" si="33"/>
        <v>66.122381659244624</v>
      </c>
      <c r="I95" s="76">
        <v>848.82</v>
      </c>
      <c r="J95" s="110">
        <f t="shared" si="34"/>
        <v>47.019999999999868</v>
      </c>
      <c r="M95" s="222"/>
      <c r="N95" s="225"/>
      <c r="O95" s="109">
        <v>30</v>
      </c>
      <c r="P95" s="76">
        <v>1480.6</v>
      </c>
      <c r="Q95" s="76">
        <v>2277.6</v>
      </c>
      <c r="R95" s="76">
        <f t="shared" si="27"/>
        <v>2277.1999999999998</v>
      </c>
      <c r="S95" s="76">
        <f t="shared" si="28"/>
        <v>796.59999999999991</v>
      </c>
      <c r="T95" s="76">
        <v>1212.5999999999999</v>
      </c>
      <c r="U95" s="91">
        <f t="shared" si="35"/>
        <v>65.6935510473363</v>
      </c>
      <c r="V95" s="76">
        <v>848.82</v>
      </c>
      <c r="W95" s="110">
        <f t="shared" si="36"/>
        <v>52.220000000000141</v>
      </c>
    </row>
    <row r="96" spans="1:27" x14ac:dyDescent="0.25">
      <c r="A96" s="222"/>
      <c r="B96" s="225"/>
      <c r="C96" s="109">
        <v>31</v>
      </c>
      <c r="D96" s="76">
        <v>1526.6</v>
      </c>
      <c r="E96" s="76">
        <v>2378.8000000000002</v>
      </c>
      <c r="F96" s="76">
        <f t="shared" si="32"/>
        <v>852.20000000000027</v>
      </c>
      <c r="G96" s="76">
        <v>1252.0999999999999</v>
      </c>
      <c r="H96" s="91">
        <f t="shared" si="33"/>
        <v>68.061656417219098</v>
      </c>
      <c r="I96" s="76">
        <v>876.47</v>
      </c>
      <c r="J96" s="110">
        <f t="shared" si="34"/>
        <v>24.269999999999754</v>
      </c>
      <c r="M96" s="222"/>
      <c r="N96" s="225"/>
      <c r="O96" s="109">
        <v>31</v>
      </c>
      <c r="P96" s="76">
        <v>1526.6</v>
      </c>
      <c r="Q96" s="76">
        <v>2376.9</v>
      </c>
      <c r="R96" s="76">
        <f t="shared" si="27"/>
        <v>2376.5</v>
      </c>
      <c r="S96" s="76">
        <f t="shared" si="28"/>
        <v>849.90000000000009</v>
      </c>
      <c r="T96" s="76">
        <v>1252.0999999999999</v>
      </c>
      <c r="U96" s="91">
        <f t="shared" si="35"/>
        <v>67.877965018768478</v>
      </c>
      <c r="V96" s="76">
        <v>876.47</v>
      </c>
      <c r="W96" s="110">
        <f t="shared" si="36"/>
        <v>26.569999999999936</v>
      </c>
      <c r="Y96" s="242" t="s">
        <v>123</v>
      </c>
      <c r="Z96" s="242"/>
      <c r="AA96" s="242"/>
    </row>
    <row r="97" spans="1:27" ht="15.75" x14ac:dyDescent="0.25">
      <c r="A97" s="223"/>
      <c r="B97" s="226"/>
      <c r="C97" s="111">
        <v>32</v>
      </c>
      <c r="D97" s="60">
        <v>1496.7</v>
      </c>
      <c r="E97" s="112">
        <v>2373.6</v>
      </c>
      <c r="F97" s="112">
        <f t="shared" si="32"/>
        <v>876.89999999999986</v>
      </c>
      <c r="G97" s="112">
        <v>1307.1000000000001</v>
      </c>
      <c r="H97" s="95">
        <f t="shared" si="33"/>
        <v>67.087445490016052</v>
      </c>
      <c r="I97" s="112">
        <v>914.97000000000014</v>
      </c>
      <c r="J97" s="113">
        <f t="shared" si="34"/>
        <v>38.070000000000277</v>
      </c>
      <c r="M97" s="223"/>
      <c r="N97" s="226"/>
      <c r="O97" s="111">
        <v>32</v>
      </c>
      <c r="P97" s="60">
        <v>1496.7</v>
      </c>
      <c r="Q97" s="112">
        <v>2362.6</v>
      </c>
      <c r="R97" s="112">
        <f t="shared" si="27"/>
        <v>2362.1999999999998</v>
      </c>
      <c r="S97" s="112">
        <f t="shared" si="28"/>
        <v>865.49999999999977</v>
      </c>
      <c r="T97" s="112">
        <v>1307.1000000000001</v>
      </c>
      <c r="U97" s="95">
        <f t="shared" si="35"/>
        <v>66.215285747073651</v>
      </c>
      <c r="V97" s="112">
        <v>914.97000000000014</v>
      </c>
      <c r="W97" s="113">
        <f t="shared" si="36"/>
        <v>49.470000000000368</v>
      </c>
      <c r="Y97" s="133" t="s">
        <v>121</v>
      </c>
      <c r="Z97" s="133" t="s">
        <v>74</v>
      </c>
      <c r="AA97" s="133" t="s">
        <v>122</v>
      </c>
    </row>
    <row r="98" spans="1:27" x14ac:dyDescent="0.25">
      <c r="A98" s="235"/>
      <c r="B98" s="238" t="s">
        <v>108</v>
      </c>
      <c r="C98" s="114">
        <v>17</v>
      </c>
      <c r="D98" s="77">
        <v>1433.3</v>
      </c>
      <c r="E98" s="115"/>
      <c r="F98" s="115">
        <f>E98- D98</f>
        <v>-1433.3</v>
      </c>
      <c r="G98" s="115">
        <v>1184.3999999999999</v>
      </c>
      <c r="H98" s="88">
        <f>(F98/$G98)*100</f>
        <v>-121.01485984464708</v>
      </c>
      <c r="I98" s="115">
        <v>829.07999999999981</v>
      </c>
      <c r="J98" s="116">
        <f>I98-F98</f>
        <v>2262.3799999999997</v>
      </c>
      <c r="M98" s="235"/>
      <c r="N98" s="238" t="s">
        <v>108</v>
      </c>
      <c r="O98" s="114">
        <v>17</v>
      </c>
      <c r="P98" s="77">
        <v>1433.3</v>
      </c>
      <c r="Q98" s="115">
        <v>2190.6</v>
      </c>
      <c r="R98" s="115">
        <f t="shared" si="27"/>
        <v>2190.1999999999998</v>
      </c>
      <c r="S98" s="115">
        <f t="shared" si="28"/>
        <v>756.89999999999986</v>
      </c>
      <c r="T98" s="115">
        <v>1184.3999999999999</v>
      </c>
      <c r="U98" s="88">
        <f>(S98/$G98)*100</f>
        <v>63.905775075987833</v>
      </c>
      <c r="V98" s="115">
        <v>829.07999999999981</v>
      </c>
      <c r="W98" s="116">
        <f>V98-S98</f>
        <v>72.17999999999995</v>
      </c>
      <c r="Y98" s="114">
        <v>17</v>
      </c>
      <c r="Z98" s="241" t="s">
        <v>80</v>
      </c>
      <c r="AA98" s="12">
        <f>Q98-Q114</f>
        <v>14.199999999999818</v>
      </c>
    </row>
    <row r="99" spans="1:27" x14ac:dyDescent="0.25">
      <c r="A99" s="236"/>
      <c r="B99" s="239"/>
      <c r="C99" s="117">
        <v>18</v>
      </c>
      <c r="D99" s="77">
        <v>1495.5</v>
      </c>
      <c r="E99" s="77"/>
      <c r="F99" s="77">
        <f t="shared" ref="F99:F113" si="37">E99- D99</f>
        <v>-1495.5</v>
      </c>
      <c r="G99" s="77">
        <v>1186.5</v>
      </c>
      <c r="H99" s="91">
        <f t="shared" ref="H99:H113" si="38">(F99/$G99)*100</f>
        <v>-126.04298356510746</v>
      </c>
      <c r="I99" s="77">
        <v>830.55</v>
      </c>
      <c r="J99" s="118">
        <f t="shared" ref="J99:J113" si="39">I99-F99</f>
        <v>2326.0500000000002</v>
      </c>
      <c r="M99" s="236"/>
      <c r="N99" s="239"/>
      <c r="O99" s="117">
        <v>18</v>
      </c>
      <c r="P99" s="77">
        <v>1495.5</v>
      </c>
      <c r="Q99" s="77">
        <v>2265.8000000000002</v>
      </c>
      <c r="R99" s="77">
        <f t="shared" si="27"/>
        <v>2265.4</v>
      </c>
      <c r="S99" s="77">
        <f t="shared" si="28"/>
        <v>769.90000000000009</v>
      </c>
      <c r="T99" s="77">
        <v>1186.5</v>
      </c>
      <c r="U99" s="91">
        <f t="shared" ref="U99:U113" si="40">(S99/$G99)*100</f>
        <v>64.888327012220827</v>
      </c>
      <c r="V99" s="77">
        <v>830.55</v>
      </c>
      <c r="W99" s="118">
        <f t="shared" ref="W99:W113" si="41">V99-S99</f>
        <v>60.649999999999864</v>
      </c>
      <c r="Y99" s="117">
        <v>18</v>
      </c>
      <c r="Z99" s="241"/>
      <c r="AA99" s="12">
        <f>Q99-Q115</f>
        <v>12.300000000000182</v>
      </c>
    </row>
    <row r="100" spans="1:27" x14ac:dyDescent="0.25">
      <c r="A100" s="236"/>
      <c r="B100" s="239"/>
      <c r="C100" s="117">
        <v>19</v>
      </c>
      <c r="D100" s="77">
        <v>1582.5</v>
      </c>
      <c r="E100" s="77"/>
      <c r="F100" s="77">
        <f t="shared" si="37"/>
        <v>-1582.5</v>
      </c>
      <c r="G100" s="77">
        <v>1277.9000000000001</v>
      </c>
      <c r="H100" s="91">
        <f t="shared" si="38"/>
        <v>-123.83598090617419</v>
      </c>
      <c r="I100" s="77">
        <v>894.53</v>
      </c>
      <c r="J100" s="118">
        <f t="shared" si="39"/>
        <v>2477.0299999999997</v>
      </c>
      <c r="M100" s="236"/>
      <c r="N100" s="239"/>
      <c r="O100" s="117">
        <v>19</v>
      </c>
      <c r="P100" s="77">
        <v>1582.5</v>
      </c>
      <c r="Q100" s="77">
        <v>2434.8000000000002</v>
      </c>
      <c r="R100" s="77">
        <f t="shared" si="27"/>
        <v>2434.4</v>
      </c>
      <c r="S100" s="77">
        <f t="shared" si="28"/>
        <v>851.90000000000009</v>
      </c>
      <c r="T100" s="77">
        <v>1277.9000000000001</v>
      </c>
      <c r="U100" s="91">
        <f t="shared" si="40"/>
        <v>66.664058220518044</v>
      </c>
      <c r="V100" s="77">
        <v>894.53</v>
      </c>
      <c r="W100" s="118">
        <f t="shared" si="41"/>
        <v>42.629999999999882</v>
      </c>
      <c r="Y100" s="117">
        <v>19</v>
      </c>
      <c r="Z100" s="241"/>
      <c r="AA100" s="12">
        <f>Q100-Q116</f>
        <v>8.5</v>
      </c>
    </row>
    <row r="101" spans="1:27" x14ac:dyDescent="0.25">
      <c r="A101" s="236"/>
      <c r="B101" s="239"/>
      <c r="C101" s="117">
        <v>20</v>
      </c>
      <c r="D101" s="77">
        <v>1849.2</v>
      </c>
      <c r="E101" s="77"/>
      <c r="F101" s="77">
        <f t="shared" si="37"/>
        <v>-1849.2</v>
      </c>
      <c r="G101" s="77">
        <v>1354.8</v>
      </c>
      <c r="H101" s="91">
        <f t="shared" si="38"/>
        <v>-136.49247121346323</v>
      </c>
      <c r="I101" s="77">
        <v>948.36</v>
      </c>
      <c r="J101" s="118">
        <f t="shared" si="39"/>
        <v>2797.56</v>
      </c>
      <c r="M101" s="236"/>
      <c r="N101" s="239"/>
      <c r="O101" s="117">
        <v>20</v>
      </c>
      <c r="P101" s="77">
        <v>1849.2</v>
      </c>
      <c r="Q101" s="77">
        <v>2745.9</v>
      </c>
      <c r="R101" s="77">
        <f t="shared" si="27"/>
        <v>2745.5</v>
      </c>
      <c r="S101" s="77">
        <f t="shared" si="28"/>
        <v>896.3</v>
      </c>
      <c r="T101" s="77">
        <v>1354.8</v>
      </c>
      <c r="U101" s="91">
        <f t="shared" si="40"/>
        <v>66.157366400944781</v>
      </c>
      <c r="V101" s="77">
        <v>948.36</v>
      </c>
      <c r="W101" s="118">
        <f t="shared" si="41"/>
        <v>52.060000000000059</v>
      </c>
      <c r="Y101" s="117">
        <v>20</v>
      </c>
      <c r="Z101" s="241"/>
      <c r="AA101" s="12">
        <f t="shared" ref="AA101:AA113" si="42">Q101-Q117</f>
        <v>10.800000000000182</v>
      </c>
    </row>
    <row r="102" spans="1:27" x14ac:dyDescent="0.25">
      <c r="A102" s="236"/>
      <c r="B102" s="239"/>
      <c r="C102" s="117">
        <v>21</v>
      </c>
      <c r="D102" s="77">
        <v>1508.3</v>
      </c>
      <c r="E102" s="77"/>
      <c r="F102" s="77">
        <f t="shared" si="37"/>
        <v>-1508.3</v>
      </c>
      <c r="G102" s="77">
        <v>1207.6000000000001</v>
      </c>
      <c r="H102" s="91">
        <f t="shared" si="38"/>
        <v>-124.90062934746604</v>
      </c>
      <c r="I102" s="77">
        <v>845.32000000000016</v>
      </c>
      <c r="J102" s="118">
        <f t="shared" si="39"/>
        <v>2353.62</v>
      </c>
      <c r="M102" s="236"/>
      <c r="N102" s="239"/>
      <c r="O102" s="117">
        <v>21</v>
      </c>
      <c r="P102" s="77">
        <v>1508.3</v>
      </c>
      <c r="Q102" s="77">
        <v>2289.3000000000002</v>
      </c>
      <c r="R102" s="77">
        <f t="shared" si="27"/>
        <v>2288.9</v>
      </c>
      <c r="S102" s="77">
        <f t="shared" si="28"/>
        <v>780.60000000000014</v>
      </c>
      <c r="T102" s="77">
        <v>1207.6000000000001</v>
      </c>
      <c r="U102" s="91">
        <f t="shared" si="40"/>
        <v>64.640609473335545</v>
      </c>
      <c r="V102" s="77">
        <v>845.32000000000016</v>
      </c>
      <c r="W102" s="118">
        <f t="shared" si="41"/>
        <v>64.720000000000027</v>
      </c>
      <c r="Y102" s="117">
        <v>21</v>
      </c>
      <c r="Z102" s="241"/>
      <c r="AA102" s="12">
        <f t="shared" si="42"/>
        <v>11.100000000000364</v>
      </c>
    </row>
    <row r="103" spans="1:27" x14ac:dyDescent="0.25">
      <c r="A103" s="236"/>
      <c r="B103" s="239"/>
      <c r="C103" s="117">
        <v>22</v>
      </c>
      <c r="D103" s="77">
        <v>1564.3</v>
      </c>
      <c r="E103" s="77"/>
      <c r="F103" s="77">
        <f t="shared" si="37"/>
        <v>-1564.3</v>
      </c>
      <c r="G103" s="77">
        <v>1266.1000000000001</v>
      </c>
      <c r="H103" s="91">
        <f t="shared" si="38"/>
        <v>-123.55264197140825</v>
      </c>
      <c r="I103" s="77">
        <v>886.2700000000001</v>
      </c>
      <c r="J103" s="118">
        <f t="shared" si="39"/>
        <v>2450.5700000000002</v>
      </c>
      <c r="M103" s="236"/>
      <c r="N103" s="239"/>
      <c r="O103" s="117">
        <v>22</v>
      </c>
      <c r="P103" s="77">
        <v>1564.3</v>
      </c>
      <c r="Q103" s="77">
        <v>2396.1999999999998</v>
      </c>
      <c r="R103" s="77">
        <f t="shared" si="27"/>
        <v>2395.7999999999997</v>
      </c>
      <c r="S103" s="77">
        <f t="shared" si="28"/>
        <v>831.49999999999977</v>
      </c>
      <c r="T103" s="77">
        <v>1266.1000000000001</v>
      </c>
      <c r="U103" s="91">
        <f t="shared" si="40"/>
        <v>65.674117368296308</v>
      </c>
      <c r="V103" s="77">
        <v>886.2700000000001</v>
      </c>
      <c r="W103" s="118">
        <f t="shared" si="41"/>
        <v>54.770000000000323</v>
      </c>
      <c r="Y103" s="117">
        <v>22</v>
      </c>
      <c r="Z103" s="241"/>
      <c r="AA103" s="12">
        <f t="shared" si="42"/>
        <v>10.099999999999909</v>
      </c>
    </row>
    <row r="104" spans="1:27" x14ac:dyDescent="0.25">
      <c r="A104" s="236"/>
      <c r="B104" s="239"/>
      <c r="C104" s="117">
        <v>23</v>
      </c>
      <c r="D104" s="77">
        <v>1694.5</v>
      </c>
      <c r="E104" s="77"/>
      <c r="F104" s="77">
        <f t="shared" si="37"/>
        <v>-1694.5</v>
      </c>
      <c r="G104" s="77">
        <v>1351</v>
      </c>
      <c r="H104" s="91">
        <f t="shared" si="38"/>
        <v>-125.42561065877129</v>
      </c>
      <c r="I104" s="77">
        <v>945.7</v>
      </c>
      <c r="J104" s="118">
        <f t="shared" si="39"/>
        <v>2640.2</v>
      </c>
      <c r="M104" s="236"/>
      <c r="N104" s="239"/>
      <c r="O104" s="117">
        <v>23</v>
      </c>
      <c r="P104" s="77">
        <v>1694.5</v>
      </c>
      <c r="Q104" s="77">
        <v>2558.6999999999998</v>
      </c>
      <c r="R104" s="77">
        <f t="shared" si="27"/>
        <v>2558.2999999999997</v>
      </c>
      <c r="S104" s="77">
        <f t="shared" si="28"/>
        <v>863.79999999999973</v>
      </c>
      <c r="T104" s="77">
        <v>1351</v>
      </c>
      <c r="U104" s="91">
        <f t="shared" si="40"/>
        <v>63.93782383419687</v>
      </c>
      <c r="V104" s="77">
        <v>945.7</v>
      </c>
      <c r="W104" s="118">
        <f t="shared" si="41"/>
        <v>81.900000000000318</v>
      </c>
      <c r="Y104" s="117">
        <v>23</v>
      </c>
      <c r="Z104" s="241"/>
      <c r="AA104" s="12">
        <f t="shared" si="42"/>
        <v>16.899999999999636</v>
      </c>
    </row>
    <row r="105" spans="1:27" x14ac:dyDescent="0.25">
      <c r="A105" s="236"/>
      <c r="B105" s="239"/>
      <c r="C105" s="117">
        <v>24</v>
      </c>
      <c r="D105" s="77">
        <v>1623.4</v>
      </c>
      <c r="E105" s="77"/>
      <c r="F105" s="77">
        <f t="shared" si="37"/>
        <v>-1623.4</v>
      </c>
      <c r="G105" s="77">
        <v>1245.0999999999999</v>
      </c>
      <c r="H105" s="91">
        <f t="shared" si="38"/>
        <v>-130.3831017588949</v>
      </c>
      <c r="I105" s="77">
        <v>871.57</v>
      </c>
      <c r="J105" s="118">
        <f t="shared" si="39"/>
        <v>2494.9700000000003</v>
      </c>
      <c r="M105" s="236"/>
      <c r="N105" s="239"/>
      <c r="O105" s="117">
        <v>24</v>
      </c>
      <c r="P105" s="77">
        <v>1623.4</v>
      </c>
      <c r="Q105" s="77">
        <v>2430</v>
      </c>
      <c r="R105" s="77">
        <f t="shared" si="27"/>
        <v>2429.6</v>
      </c>
      <c r="S105" s="77">
        <f t="shared" si="28"/>
        <v>806.19999999999982</v>
      </c>
      <c r="T105" s="77">
        <v>1245.0999999999999</v>
      </c>
      <c r="U105" s="91">
        <f t="shared" si="40"/>
        <v>64.749819291623155</v>
      </c>
      <c r="V105" s="77">
        <v>871.57</v>
      </c>
      <c r="W105" s="118">
        <f t="shared" si="41"/>
        <v>65.370000000000232</v>
      </c>
      <c r="Y105" s="117">
        <v>24</v>
      </c>
      <c r="Z105" s="241"/>
      <c r="AA105" s="12">
        <f t="shared" si="42"/>
        <v>13.199999999999818</v>
      </c>
    </row>
    <row r="106" spans="1:27" x14ac:dyDescent="0.25">
      <c r="A106" s="236"/>
      <c r="B106" s="239"/>
      <c r="C106" s="117">
        <v>25</v>
      </c>
      <c r="D106" s="77">
        <v>1579.9</v>
      </c>
      <c r="E106" s="77"/>
      <c r="F106" s="77">
        <f t="shared" si="37"/>
        <v>-1579.9</v>
      </c>
      <c r="G106" s="77">
        <v>1253.5999999999999</v>
      </c>
      <c r="H106" s="91">
        <f t="shared" si="38"/>
        <v>-126.02903637523933</v>
      </c>
      <c r="I106" s="77">
        <v>877.52</v>
      </c>
      <c r="J106" s="118">
        <f t="shared" si="39"/>
        <v>2457.42</v>
      </c>
      <c r="M106" s="236"/>
      <c r="N106" s="239"/>
      <c r="O106" s="117">
        <v>25</v>
      </c>
      <c r="P106" s="77">
        <v>1579.9</v>
      </c>
      <c r="Q106" s="77">
        <v>2402.4</v>
      </c>
      <c r="R106" s="77">
        <f t="shared" si="27"/>
        <v>2402</v>
      </c>
      <c r="S106" s="77">
        <f t="shared" si="28"/>
        <v>822.09999999999991</v>
      </c>
      <c r="T106" s="77">
        <v>1253.5999999999999</v>
      </c>
      <c r="U106" s="91">
        <f t="shared" si="40"/>
        <v>65.579132099553277</v>
      </c>
      <c r="V106" s="77">
        <v>877.52</v>
      </c>
      <c r="W106" s="118">
        <f t="shared" si="41"/>
        <v>55.420000000000073</v>
      </c>
      <c r="Y106" s="117">
        <v>25</v>
      </c>
      <c r="Z106" s="241"/>
      <c r="AA106" s="12">
        <f t="shared" si="42"/>
        <v>10.700000000000273</v>
      </c>
    </row>
    <row r="107" spans="1:27" x14ac:dyDescent="0.25">
      <c r="A107" s="236"/>
      <c r="B107" s="239"/>
      <c r="C107" s="117">
        <v>26</v>
      </c>
      <c r="D107" s="77">
        <v>1507</v>
      </c>
      <c r="E107" s="77"/>
      <c r="F107" s="77">
        <f t="shared" si="37"/>
        <v>-1507</v>
      </c>
      <c r="G107" s="77">
        <v>1216</v>
      </c>
      <c r="H107" s="91">
        <f t="shared" si="38"/>
        <v>-123.93092105263158</v>
      </c>
      <c r="I107" s="77">
        <v>851.2</v>
      </c>
      <c r="J107" s="118">
        <f t="shared" si="39"/>
        <v>2358.1999999999998</v>
      </c>
      <c r="M107" s="236"/>
      <c r="N107" s="239"/>
      <c r="O107" s="117">
        <v>26</v>
      </c>
      <c r="P107" s="77">
        <v>1507</v>
      </c>
      <c r="Q107" s="77">
        <v>2295.6999999999998</v>
      </c>
      <c r="R107" s="77">
        <f t="shared" si="27"/>
        <v>2295.2999999999997</v>
      </c>
      <c r="S107" s="77">
        <f t="shared" si="28"/>
        <v>788.29999999999973</v>
      </c>
      <c r="T107" s="77">
        <v>1216</v>
      </c>
      <c r="U107" s="91">
        <f t="shared" si="40"/>
        <v>64.827302631578917</v>
      </c>
      <c r="V107" s="77">
        <v>851.2</v>
      </c>
      <c r="W107" s="118">
        <f t="shared" si="41"/>
        <v>62.900000000000318</v>
      </c>
      <c r="Y107" s="117">
        <v>26</v>
      </c>
      <c r="Z107" s="241"/>
      <c r="AA107" s="12">
        <f t="shared" si="42"/>
        <v>11.299999999999727</v>
      </c>
    </row>
    <row r="108" spans="1:27" x14ac:dyDescent="0.25">
      <c r="A108" s="236"/>
      <c r="B108" s="239"/>
      <c r="C108" s="130">
        <v>27</v>
      </c>
      <c r="D108" s="18">
        <v>1494.6</v>
      </c>
      <c r="E108" s="18"/>
      <c r="F108" s="18">
        <f t="shared" si="37"/>
        <v>-1494.6</v>
      </c>
      <c r="G108" s="18">
        <v>1240.8000000000002</v>
      </c>
      <c r="H108" s="19">
        <f t="shared" si="38"/>
        <v>-120.45454545454544</v>
      </c>
      <c r="I108" s="18">
        <v>868.56000000000017</v>
      </c>
      <c r="J108" s="131">
        <f t="shared" si="39"/>
        <v>2363.16</v>
      </c>
      <c r="M108" s="236"/>
      <c r="N108" s="239"/>
      <c r="O108" s="130">
        <v>27</v>
      </c>
      <c r="P108" s="18">
        <v>1494.6</v>
      </c>
      <c r="Q108" s="18"/>
      <c r="R108" s="18">
        <f t="shared" si="27"/>
        <v>-0.4</v>
      </c>
      <c r="S108" s="18">
        <f t="shared" si="28"/>
        <v>-1495</v>
      </c>
      <c r="T108" s="18">
        <v>1240.8000000000002</v>
      </c>
      <c r="U108" s="19">
        <f t="shared" si="40"/>
        <v>-120.48678272082525</v>
      </c>
      <c r="V108" s="18">
        <v>868.56000000000017</v>
      </c>
      <c r="W108" s="131">
        <f t="shared" si="41"/>
        <v>2363.5600000000004</v>
      </c>
      <c r="Y108" s="130">
        <v>27</v>
      </c>
      <c r="Z108" s="241"/>
      <c r="AA108" s="18">
        <f t="shared" si="42"/>
        <v>0</v>
      </c>
    </row>
    <row r="109" spans="1:27" x14ac:dyDescent="0.25">
      <c r="A109" s="236"/>
      <c r="B109" s="239"/>
      <c r="C109" s="117">
        <v>28</v>
      </c>
      <c r="D109" s="77">
        <v>1433.8</v>
      </c>
      <c r="E109" s="77"/>
      <c r="F109" s="77">
        <f t="shared" si="37"/>
        <v>-1433.8</v>
      </c>
      <c r="G109" s="77">
        <v>1108.5000000000002</v>
      </c>
      <c r="H109" s="91">
        <f t="shared" si="38"/>
        <v>-129.34596301308071</v>
      </c>
      <c r="I109" s="77">
        <v>775.95000000000016</v>
      </c>
      <c r="J109" s="118">
        <f t="shared" si="39"/>
        <v>2209.75</v>
      </c>
      <c r="M109" s="236"/>
      <c r="N109" s="239"/>
      <c r="O109" s="117">
        <v>28</v>
      </c>
      <c r="P109" s="77">
        <v>1433.8</v>
      </c>
      <c r="Q109" s="77">
        <v>2136.9</v>
      </c>
      <c r="R109" s="77">
        <f t="shared" si="27"/>
        <v>2136.5</v>
      </c>
      <c r="S109" s="77">
        <f t="shared" si="28"/>
        <v>702.7</v>
      </c>
      <c r="T109" s="77">
        <v>1108.5000000000002</v>
      </c>
      <c r="U109" s="91">
        <f t="shared" si="40"/>
        <v>63.391971132160577</v>
      </c>
      <c r="V109" s="77">
        <v>775.95000000000016</v>
      </c>
      <c r="W109" s="118">
        <f t="shared" si="41"/>
        <v>73.250000000000114</v>
      </c>
      <c r="Y109" s="117">
        <v>28</v>
      </c>
      <c r="Z109" s="241"/>
      <c r="AA109" s="12">
        <f t="shared" si="42"/>
        <v>16.700000000000273</v>
      </c>
    </row>
    <row r="110" spans="1:27" x14ac:dyDescent="0.25">
      <c r="A110" s="236"/>
      <c r="B110" s="239"/>
      <c r="C110" s="130">
        <v>29</v>
      </c>
      <c r="D110" s="18">
        <v>1523.3</v>
      </c>
      <c r="E110" s="18"/>
      <c r="F110" s="18">
        <f t="shared" si="37"/>
        <v>-1523.3</v>
      </c>
      <c r="G110" s="18">
        <v>1345.1000000000001</v>
      </c>
      <c r="H110" s="19">
        <f t="shared" si="38"/>
        <v>-113.24808564419</v>
      </c>
      <c r="I110" s="18">
        <v>941.57000000000016</v>
      </c>
      <c r="J110" s="131">
        <f t="shared" si="39"/>
        <v>2464.87</v>
      </c>
      <c r="M110" s="236"/>
      <c r="N110" s="239"/>
      <c r="O110" s="130">
        <v>29</v>
      </c>
      <c r="P110" s="18">
        <v>1523.3</v>
      </c>
      <c r="Q110" s="18"/>
      <c r="R110" s="18">
        <f t="shared" si="27"/>
        <v>-0.4</v>
      </c>
      <c r="S110" s="18">
        <f t="shared" si="28"/>
        <v>-1523.7</v>
      </c>
      <c r="T110" s="18">
        <v>1345.1000000000001</v>
      </c>
      <c r="U110" s="19">
        <f t="shared" si="40"/>
        <v>-113.27782321017024</v>
      </c>
      <c r="V110" s="18">
        <v>941.57000000000016</v>
      </c>
      <c r="W110" s="131">
        <f t="shared" si="41"/>
        <v>2465.2700000000004</v>
      </c>
      <c r="Y110" s="130">
        <v>29</v>
      </c>
      <c r="Z110" s="241"/>
      <c r="AA110" s="18">
        <f t="shared" si="42"/>
        <v>0</v>
      </c>
    </row>
    <row r="111" spans="1:27" x14ac:dyDescent="0.25">
      <c r="A111" s="236"/>
      <c r="B111" s="239"/>
      <c r="C111" s="117">
        <v>30</v>
      </c>
      <c r="D111" s="77">
        <v>1480.6</v>
      </c>
      <c r="E111" s="77"/>
      <c r="F111" s="77">
        <f t="shared" si="37"/>
        <v>-1480.6</v>
      </c>
      <c r="G111" s="77">
        <v>1212.5999999999999</v>
      </c>
      <c r="H111" s="91">
        <f t="shared" si="38"/>
        <v>-122.10126999835065</v>
      </c>
      <c r="I111" s="77">
        <v>848.82</v>
      </c>
      <c r="J111" s="118">
        <f t="shared" si="39"/>
        <v>2329.42</v>
      </c>
      <c r="M111" s="236"/>
      <c r="N111" s="239"/>
      <c r="O111" s="117">
        <v>30</v>
      </c>
      <c r="P111" s="77">
        <v>1480.6</v>
      </c>
      <c r="Q111" s="77">
        <v>2270.4</v>
      </c>
      <c r="R111" s="77">
        <f t="shared" si="27"/>
        <v>2270</v>
      </c>
      <c r="S111" s="77">
        <f t="shared" si="28"/>
        <v>789.40000000000009</v>
      </c>
      <c r="T111" s="77">
        <v>1212.5999999999999</v>
      </c>
      <c r="U111" s="91">
        <f t="shared" si="40"/>
        <v>65.099785584694061</v>
      </c>
      <c r="V111" s="77">
        <v>848.82</v>
      </c>
      <c r="W111" s="118">
        <f t="shared" si="41"/>
        <v>59.419999999999959</v>
      </c>
      <c r="Y111" s="117">
        <v>30</v>
      </c>
      <c r="Z111" s="241"/>
      <c r="AA111" s="12">
        <f t="shared" si="42"/>
        <v>11.599999999999909</v>
      </c>
    </row>
    <row r="112" spans="1:27" x14ac:dyDescent="0.25">
      <c r="A112" s="236"/>
      <c r="B112" s="239"/>
      <c r="C112" s="117">
        <v>31</v>
      </c>
      <c r="D112" s="77">
        <v>1526.6</v>
      </c>
      <c r="E112" s="77"/>
      <c r="F112" s="77">
        <f t="shared" si="37"/>
        <v>-1526.6</v>
      </c>
      <c r="G112" s="77">
        <v>1252.0999999999999</v>
      </c>
      <c r="H112" s="91">
        <f t="shared" si="38"/>
        <v>-121.9231690759524</v>
      </c>
      <c r="I112" s="77">
        <v>876.47</v>
      </c>
      <c r="J112" s="118">
        <f t="shared" si="39"/>
        <v>2403.0699999999997</v>
      </c>
      <c r="M112" s="236"/>
      <c r="N112" s="239"/>
      <c r="O112" s="117">
        <v>31</v>
      </c>
      <c r="P112" s="77">
        <v>1526.6</v>
      </c>
      <c r="Q112" s="77">
        <v>2373.1999999999998</v>
      </c>
      <c r="R112" s="77">
        <f t="shared" si="27"/>
        <v>2372.7999999999997</v>
      </c>
      <c r="S112" s="77">
        <f t="shared" si="28"/>
        <v>846.19999999999982</v>
      </c>
      <c r="T112" s="77">
        <v>1252.0999999999999</v>
      </c>
      <c r="U112" s="91">
        <f t="shared" si="40"/>
        <v>67.582461464739225</v>
      </c>
      <c r="V112" s="77">
        <v>876.47</v>
      </c>
      <c r="W112" s="118">
        <f t="shared" si="41"/>
        <v>30.270000000000209</v>
      </c>
      <c r="Y112" s="117">
        <v>31</v>
      </c>
      <c r="Z112" s="241"/>
      <c r="AA112" s="12">
        <f t="shared" si="42"/>
        <v>5.6999999999998181</v>
      </c>
    </row>
    <row r="113" spans="1:27" x14ac:dyDescent="0.25">
      <c r="A113" s="237"/>
      <c r="B113" s="240"/>
      <c r="C113" s="119">
        <v>32</v>
      </c>
      <c r="D113" s="61">
        <v>1496.7</v>
      </c>
      <c r="E113" s="120"/>
      <c r="F113" s="120">
        <f t="shared" si="37"/>
        <v>-1496.7</v>
      </c>
      <c r="G113" s="120">
        <v>1307.1000000000001</v>
      </c>
      <c r="H113" s="95">
        <f t="shared" si="38"/>
        <v>-114.50539361946292</v>
      </c>
      <c r="I113" s="120">
        <v>914.97000000000014</v>
      </c>
      <c r="J113" s="121">
        <f t="shared" si="39"/>
        <v>2411.67</v>
      </c>
      <c r="M113" s="237"/>
      <c r="N113" s="240"/>
      <c r="O113" s="119">
        <v>32</v>
      </c>
      <c r="P113" s="61">
        <v>1496.7</v>
      </c>
      <c r="Q113" s="120">
        <v>2354</v>
      </c>
      <c r="R113" s="120">
        <f t="shared" si="27"/>
        <v>2353.6</v>
      </c>
      <c r="S113" s="120">
        <f t="shared" si="28"/>
        <v>856.89999999999986</v>
      </c>
      <c r="T113" s="120">
        <v>1307.1000000000001</v>
      </c>
      <c r="U113" s="95">
        <f t="shared" si="40"/>
        <v>65.557340677836422</v>
      </c>
      <c r="V113" s="120">
        <v>914.97000000000014</v>
      </c>
      <c r="W113" s="121">
        <f t="shared" si="41"/>
        <v>58.070000000000277</v>
      </c>
      <c r="Y113" s="119">
        <v>32</v>
      </c>
      <c r="Z113" s="241"/>
      <c r="AA113" s="12">
        <f t="shared" si="42"/>
        <v>11.800000000000182</v>
      </c>
    </row>
    <row r="114" spans="1:27" x14ac:dyDescent="0.25">
      <c r="A114" s="235"/>
      <c r="B114" s="238" t="s">
        <v>109</v>
      </c>
      <c r="C114" s="114">
        <v>17</v>
      </c>
      <c r="D114" s="77">
        <v>1433.3</v>
      </c>
      <c r="E114" s="115">
        <v>2171.6</v>
      </c>
      <c r="F114" s="115">
        <f>E114- D114</f>
        <v>738.3</v>
      </c>
      <c r="G114" s="115">
        <v>1184.3999999999999</v>
      </c>
      <c r="H114" s="88">
        <f>(F114/$G114)*100</f>
        <v>62.335359675785206</v>
      </c>
      <c r="I114" s="115">
        <v>829.07999999999981</v>
      </c>
      <c r="J114" s="116">
        <f>I114-F114</f>
        <v>90.779999999999859</v>
      </c>
      <c r="M114" s="235"/>
      <c r="N114" s="238" t="s">
        <v>109</v>
      </c>
      <c r="O114" s="114">
        <v>17</v>
      </c>
      <c r="P114" s="77">
        <v>1433.3</v>
      </c>
      <c r="Q114" s="115">
        <v>2176.4</v>
      </c>
      <c r="R114" s="115">
        <f t="shared" si="27"/>
        <v>2176</v>
      </c>
      <c r="S114" s="115">
        <f t="shared" si="28"/>
        <v>742.7</v>
      </c>
      <c r="T114" s="115">
        <v>1184.3999999999999</v>
      </c>
      <c r="U114" s="88">
        <f>(S114/$G114)*100</f>
        <v>62.706855791962191</v>
      </c>
      <c r="V114" s="115">
        <v>829.07999999999981</v>
      </c>
      <c r="W114" s="116">
        <f>V114-S114</f>
        <v>86.379999999999768</v>
      </c>
    </row>
    <row r="115" spans="1:27" x14ac:dyDescent="0.25">
      <c r="A115" s="236"/>
      <c r="B115" s="239"/>
      <c r="C115" s="117">
        <v>18</v>
      </c>
      <c r="D115" s="77">
        <v>1495.5</v>
      </c>
      <c r="E115" s="77">
        <v>2250.6</v>
      </c>
      <c r="F115" s="77">
        <f t="shared" ref="F115:F129" si="43">E115- D115</f>
        <v>755.09999999999991</v>
      </c>
      <c r="G115" s="77">
        <v>1186.5</v>
      </c>
      <c r="H115" s="91">
        <f t="shared" ref="H115:H129" si="44">(F115/$G115)*100</f>
        <v>63.640960809102396</v>
      </c>
      <c r="I115" s="77">
        <v>830.55</v>
      </c>
      <c r="J115" s="118">
        <f t="shared" ref="J115:J129" si="45">I115-F115</f>
        <v>75.450000000000045</v>
      </c>
      <c r="M115" s="236"/>
      <c r="N115" s="239"/>
      <c r="O115" s="117">
        <v>18</v>
      </c>
      <c r="P115" s="77">
        <v>1495.5</v>
      </c>
      <c r="Q115" s="77">
        <v>2253.5</v>
      </c>
      <c r="R115" s="77">
        <f t="shared" si="27"/>
        <v>2253.1</v>
      </c>
      <c r="S115" s="77">
        <f t="shared" si="28"/>
        <v>757.59999999999991</v>
      </c>
      <c r="T115" s="77">
        <v>1186.5</v>
      </c>
      <c r="U115" s="91">
        <f t="shared" ref="U115:U129" si="46">(S115/$G115)*100</f>
        <v>63.85166455962915</v>
      </c>
      <c r="V115" s="77">
        <v>830.55</v>
      </c>
      <c r="W115" s="118">
        <f t="shared" ref="W115:W129" si="47">V115-S115</f>
        <v>72.950000000000045</v>
      </c>
    </row>
    <row r="116" spans="1:27" x14ac:dyDescent="0.25">
      <c r="A116" s="236"/>
      <c r="B116" s="239"/>
      <c r="C116" s="117">
        <v>19</v>
      </c>
      <c r="D116" s="77">
        <v>1582.5</v>
      </c>
      <c r="E116" s="77">
        <v>2425.3000000000002</v>
      </c>
      <c r="F116" s="77">
        <f t="shared" si="43"/>
        <v>842.80000000000018</v>
      </c>
      <c r="G116" s="77">
        <v>1277.9000000000001</v>
      </c>
      <c r="H116" s="91">
        <f t="shared" si="44"/>
        <v>65.951952421942266</v>
      </c>
      <c r="I116" s="77">
        <v>894.53</v>
      </c>
      <c r="J116" s="118">
        <f t="shared" si="45"/>
        <v>51.729999999999791</v>
      </c>
      <c r="M116" s="236"/>
      <c r="N116" s="239"/>
      <c r="O116" s="117">
        <v>19</v>
      </c>
      <c r="P116" s="77">
        <v>1582.5</v>
      </c>
      <c r="Q116" s="77">
        <v>2426.3000000000002</v>
      </c>
      <c r="R116" s="77">
        <f t="shared" si="27"/>
        <v>2425.9</v>
      </c>
      <c r="S116" s="77">
        <f t="shared" si="28"/>
        <v>843.40000000000009</v>
      </c>
      <c r="T116" s="77">
        <v>1277.9000000000001</v>
      </c>
      <c r="U116" s="91">
        <f t="shared" si="46"/>
        <v>65.99890445261758</v>
      </c>
      <c r="V116" s="77">
        <v>894.53</v>
      </c>
      <c r="W116" s="118">
        <f t="shared" si="47"/>
        <v>51.129999999999882</v>
      </c>
    </row>
    <row r="117" spans="1:27" x14ac:dyDescent="0.25">
      <c r="A117" s="236"/>
      <c r="B117" s="239"/>
      <c r="C117" s="117">
        <v>20</v>
      </c>
      <c r="D117" s="77">
        <v>1849.2</v>
      </c>
      <c r="E117" s="77">
        <v>2724.2</v>
      </c>
      <c r="F117" s="77">
        <f t="shared" si="43"/>
        <v>874.99999999999977</v>
      </c>
      <c r="G117" s="77">
        <v>1354.8</v>
      </c>
      <c r="H117" s="91">
        <f t="shared" si="44"/>
        <v>64.585178624151155</v>
      </c>
      <c r="I117" s="77">
        <v>948.36</v>
      </c>
      <c r="J117" s="118">
        <f t="shared" si="45"/>
        <v>73.360000000000241</v>
      </c>
      <c r="M117" s="236"/>
      <c r="N117" s="239"/>
      <c r="O117" s="117">
        <v>20</v>
      </c>
      <c r="P117" s="77">
        <v>1849.2</v>
      </c>
      <c r="Q117" s="77">
        <v>2735.1</v>
      </c>
      <c r="R117" s="77">
        <f t="shared" si="27"/>
        <v>2734.7</v>
      </c>
      <c r="S117" s="77">
        <f t="shared" si="28"/>
        <v>885.49999999999977</v>
      </c>
      <c r="T117" s="77">
        <v>1354.8</v>
      </c>
      <c r="U117" s="91">
        <f t="shared" si="46"/>
        <v>65.360200767640961</v>
      </c>
      <c r="V117" s="77">
        <v>948.36</v>
      </c>
      <c r="W117" s="118">
        <f t="shared" si="47"/>
        <v>62.860000000000241</v>
      </c>
    </row>
    <row r="118" spans="1:27" x14ac:dyDescent="0.25">
      <c r="A118" s="236"/>
      <c r="B118" s="239"/>
      <c r="C118" s="117">
        <v>21</v>
      </c>
      <c r="D118" s="77">
        <v>1508.3</v>
      </c>
      <c r="E118" s="77">
        <v>2274.9</v>
      </c>
      <c r="F118" s="77">
        <f t="shared" si="43"/>
        <v>766.60000000000014</v>
      </c>
      <c r="G118" s="77">
        <v>1207.6000000000001</v>
      </c>
      <c r="H118" s="91">
        <f t="shared" si="44"/>
        <v>63.481285193772777</v>
      </c>
      <c r="I118" s="77">
        <v>845.32000000000016</v>
      </c>
      <c r="J118" s="118">
        <f t="shared" si="45"/>
        <v>78.720000000000027</v>
      </c>
      <c r="M118" s="236"/>
      <c r="N118" s="239"/>
      <c r="O118" s="117">
        <v>21</v>
      </c>
      <c r="P118" s="77">
        <v>1508.3</v>
      </c>
      <c r="Q118" s="77">
        <v>2278.1999999999998</v>
      </c>
      <c r="R118" s="77">
        <f t="shared" si="27"/>
        <v>2277.7999999999997</v>
      </c>
      <c r="S118" s="77">
        <f t="shared" si="28"/>
        <v>769.49999999999977</v>
      </c>
      <c r="T118" s="77">
        <v>1207.6000000000001</v>
      </c>
      <c r="U118" s="91">
        <f t="shared" si="46"/>
        <v>63.721430937396462</v>
      </c>
      <c r="V118" s="77">
        <v>845.32000000000016</v>
      </c>
      <c r="W118" s="118">
        <f t="shared" si="47"/>
        <v>75.820000000000391</v>
      </c>
    </row>
    <row r="119" spans="1:27" x14ac:dyDescent="0.25">
      <c r="A119" s="236"/>
      <c r="B119" s="239"/>
      <c r="C119" s="117">
        <v>22</v>
      </c>
      <c r="D119" s="77">
        <v>1564.3</v>
      </c>
      <c r="E119" s="77">
        <v>2391.1999999999998</v>
      </c>
      <c r="F119" s="77">
        <f t="shared" si="43"/>
        <v>826.89999999999986</v>
      </c>
      <c r="G119" s="77">
        <v>1266.1000000000001</v>
      </c>
      <c r="H119" s="91">
        <f t="shared" si="44"/>
        <v>65.310796935471117</v>
      </c>
      <c r="I119" s="77">
        <v>886.2700000000001</v>
      </c>
      <c r="J119" s="118">
        <f t="shared" si="45"/>
        <v>59.370000000000232</v>
      </c>
      <c r="M119" s="236"/>
      <c r="N119" s="239"/>
      <c r="O119" s="117">
        <v>22</v>
      </c>
      <c r="P119" s="77">
        <v>1564.3</v>
      </c>
      <c r="Q119" s="77">
        <v>2386.1</v>
      </c>
      <c r="R119" s="77">
        <f t="shared" si="27"/>
        <v>2385.6999999999998</v>
      </c>
      <c r="S119" s="77">
        <f t="shared" si="28"/>
        <v>821.39999999999986</v>
      </c>
      <c r="T119" s="77">
        <v>1266.1000000000001</v>
      </c>
      <c r="U119" s="91">
        <f t="shared" si="46"/>
        <v>64.876392070136617</v>
      </c>
      <c r="V119" s="77">
        <v>886.2700000000001</v>
      </c>
      <c r="W119" s="118">
        <f t="shared" si="47"/>
        <v>64.870000000000232</v>
      </c>
    </row>
    <row r="120" spans="1:27" x14ac:dyDescent="0.25">
      <c r="A120" s="236"/>
      <c r="B120" s="239"/>
      <c r="C120" s="117">
        <v>23</v>
      </c>
      <c r="D120" s="77">
        <v>1694.5</v>
      </c>
      <c r="E120" s="77">
        <v>2548.8000000000002</v>
      </c>
      <c r="F120" s="77">
        <f t="shared" si="43"/>
        <v>854.30000000000018</v>
      </c>
      <c r="G120" s="77">
        <v>1351</v>
      </c>
      <c r="H120" s="91">
        <f t="shared" si="44"/>
        <v>63.234641006661739</v>
      </c>
      <c r="I120" s="77">
        <v>945.7</v>
      </c>
      <c r="J120" s="118">
        <f t="shared" si="45"/>
        <v>91.399999999999864</v>
      </c>
      <c r="M120" s="236"/>
      <c r="N120" s="239"/>
      <c r="O120" s="117">
        <v>23</v>
      </c>
      <c r="P120" s="77">
        <v>1694.5</v>
      </c>
      <c r="Q120" s="77">
        <v>2541.8000000000002</v>
      </c>
      <c r="R120" s="77">
        <f t="shared" si="27"/>
        <v>2541.4</v>
      </c>
      <c r="S120" s="77">
        <f t="shared" si="28"/>
        <v>846.90000000000009</v>
      </c>
      <c r="T120" s="77">
        <v>1351</v>
      </c>
      <c r="U120" s="91">
        <f t="shared" si="46"/>
        <v>62.686898593634353</v>
      </c>
      <c r="V120" s="77">
        <v>945.7</v>
      </c>
      <c r="W120" s="118">
        <f t="shared" si="47"/>
        <v>98.799999999999955</v>
      </c>
    </row>
    <row r="121" spans="1:27" x14ac:dyDescent="0.25">
      <c r="A121" s="236"/>
      <c r="B121" s="239"/>
      <c r="C121" s="117">
        <v>24</v>
      </c>
      <c r="D121" s="77">
        <v>1623.4</v>
      </c>
      <c r="E121" s="77">
        <v>2416.1</v>
      </c>
      <c r="F121" s="77">
        <f t="shared" si="43"/>
        <v>792.69999999999982</v>
      </c>
      <c r="G121" s="77">
        <v>1245.0999999999999</v>
      </c>
      <c r="H121" s="91">
        <f t="shared" si="44"/>
        <v>63.665569030599947</v>
      </c>
      <c r="I121" s="77">
        <v>871.57</v>
      </c>
      <c r="J121" s="118">
        <f t="shared" si="45"/>
        <v>78.870000000000232</v>
      </c>
      <c r="M121" s="236"/>
      <c r="N121" s="239"/>
      <c r="O121" s="117">
        <v>24</v>
      </c>
      <c r="P121" s="77">
        <v>1623.4</v>
      </c>
      <c r="Q121" s="77">
        <v>2416.8000000000002</v>
      </c>
      <c r="R121" s="77">
        <f t="shared" si="27"/>
        <v>2416.4</v>
      </c>
      <c r="S121" s="77">
        <f t="shared" si="28"/>
        <v>793</v>
      </c>
      <c r="T121" s="77">
        <v>1245.0999999999999</v>
      </c>
      <c r="U121" s="91">
        <f t="shared" si="46"/>
        <v>63.689663480844914</v>
      </c>
      <c r="V121" s="77">
        <v>871.57</v>
      </c>
      <c r="W121" s="118">
        <f t="shared" si="47"/>
        <v>78.57000000000005</v>
      </c>
    </row>
    <row r="122" spans="1:27" x14ac:dyDescent="0.25">
      <c r="A122" s="236"/>
      <c r="B122" s="239"/>
      <c r="C122" s="117">
        <v>25</v>
      </c>
      <c r="D122" s="77">
        <v>1579.9</v>
      </c>
      <c r="E122" s="77">
        <v>2377.1999999999998</v>
      </c>
      <c r="F122" s="77">
        <f t="shared" si="43"/>
        <v>797.29999999999973</v>
      </c>
      <c r="G122" s="77">
        <v>1253.5999999999999</v>
      </c>
      <c r="H122" s="91">
        <f t="shared" si="44"/>
        <v>63.600829610721107</v>
      </c>
      <c r="I122" s="77">
        <v>877.52</v>
      </c>
      <c r="J122" s="118">
        <f t="shared" si="45"/>
        <v>80.220000000000255</v>
      </c>
      <c r="M122" s="236"/>
      <c r="N122" s="239"/>
      <c r="O122" s="117">
        <v>25</v>
      </c>
      <c r="P122" s="77">
        <v>1579.9</v>
      </c>
      <c r="Q122" s="77">
        <v>2391.6999999999998</v>
      </c>
      <c r="R122" s="77">
        <f t="shared" si="27"/>
        <v>2391.2999999999997</v>
      </c>
      <c r="S122" s="77">
        <f t="shared" si="28"/>
        <v>811.39999999999964</v>
      </c>
      <c r="T122" s="77">
        <v>1253.5999999999999</v>
      </c>
      <c r="U122" s="91">
        <f t="shared" si="46"/>
        <v>64.725590299936158</v>
      </c>
      <c r="V122" s="77">
        <v>877.52</v>
      </c>
      <c r="W122" s="118">
        <f t="shared" si="47"/>
        <v>66.120000000000346</v>
      </c>
    </row>
    <row r="123" spans="1:27" x14ac:dyDescent="0.25">
      <c r="A123" s="236"/>
      <c r="B123" s="239"/>
      <c r="C123" s="117">
        <v>26</v>
      </c>
      <c r="D123" s="77">
        <v>1507</v>
      </c>
      <c r="E123" s="77">
        <v>2273.9</v>
      </c>
      <c r="F123" s="77">
        <f t="shared" si="43"/>
        <v>766.90000000000009</v>
      </c>
      <c r="G123" s="77">
        <v>1216</v>
      </c>
      <c r="H123" s="91">
        <f t="shared" si="44"/>
        <v>63.067434210526315</v>
      </c>
      <c r="I123" s="77">
        <v>851.2</v>
      </c>
      <c r="J123" s="118">
        <f t="shared" si="45"/>
        <v>84.299999999999955</v>
      </c>
      <c r="M123" s="236"/>
      <c r="N123" s="239"/>
      <c r="O123" s="117">
        <v>26</v>
      </c>
      <c r="P123" s="77">
        <v>1507</v>
      </c>
      <c r="Q123" s="77">
        <v>2284.4</v>
      </c>
      <c r="R123" s="77">
        <f t="shared" si="27"/>
        <v>2284</v>
      </c>
      <c r="S123" s="77">
        <f t="shared" si="28"/>
        <v>777</v>
      </c>
      <c r="T123" s="77">
        <v>1216</v>
      </c>
      <c r="U123" s="91">
        <f t="shared" si="46"/>
        <v>63.898026315789465</v>
      </c>
      <c r="V123" s="77">
        <v>851.2</v>
      </c>
      <c r="W123" s="118">
        <f t="shared" si="47"/>
        <v>74.200000000000045</v>
      </c>
    </row>
    <row r="124" spans="1:27" x14ac:dyDescent="0.25">
      <c r="A124" s="236"/>
      <c r="B124" s="239"/>
      <c r="C124" s="130">
        <v>27</v>
      </c>
      <c r="D124" s="18">
        <v>1494.6</v>
      </c>
      <c r="E124" s="18"/>
      <c r="F124" s="18">
        <f t="shared" si="43"/>
        <v>-1494.6</v>
      </c>
      <c r="G124" s="18">
        <v>1240.8000000000002</v>
      </c>
      <c r="H124" s="19">
        <f t="shared" si="44"/>
        <v>-120.45454545454544</v>
      </c>
      <c r="I124" s="18">
        <v>868.56000000000017</v>
      </c>
      <c r="J124" s="131">
        <f t="shared" si="45"/>
        <v>2363.16</v>
      </c>
      <c r="M124" s="236"/>
      <c r="N124" s="239"/>
      <c r="O124" s="130">
        <v>27</v>
      </c>
      <c r="P124" s="18">
        <v>1494.6</v>
      </c>
      <c r="Q124" s="18"/>
      <c r="R124" s="18">
        <f t="shared" si="27"/>
        <v>-0.4</v>
      </c>
      <c r="S124" s="18">
        <f t="shared" si="28"/>
        <v>-1495</v>
      </c>
      <c r="T124" s="18">
        <v>1240.8000000000002</v>
      </c>
      <c r="U124" s="19">
        <f t="shared" si="46"/>
        <v>-120.48678272082525</v>
      </c>
      <c r="V124" s="18">
        <v>868.56000000000017</v>
      </c>
      <c r="W124" s="131">
        <f t="shared" si="47"/>
        <v>2363.5600000000004</v>
      </c>
    </row>
    <row r="125" spans="1:27" x14ac:dyDescent="0.25">
      <c r="A125" s="236"/>
      <c r="B125" s="239"/>
      <c r="C125" s="117">
        <v>28</v>
      </c>
      <c r="D125" s="77">
        <v>1433.8</v>
      </c>
      <c r="E125" s="77">
        <v>2112</v>
      </c>
      <c r="F125" s="77">
        <f t="shared" si="43"/>
        <v>678.2</v>
      </c>
      <c r="G125" s="77">
        <v>1108.5000000000002</v>
      </c>
      <c r="H125" s="91">
        <f t="shared" si="44"/>
        <v>61.181777176364449</v>
      </c>
      <c r="I125" s="77">
        <v>775.95000000000016</v>
      </c>
      <c r="J125" s="118">
        <f t="shared" si="45"/>
        <v>97.750000000000114</v>
      </c>
      <c r="M125" s="236"/>
      <c r="N125" s="239"/>
      <c r="O125" s="117">
        <v>28</v>
      </c>
      <c r="P125" s="77">
        <v>1433.8</v>
      </c>
      <c r="Q125" s="77">
        <v>2120.1999999999998</v>
      </c>
      <c r="R125" s="77">
        <f t="shared" si="27"/>
        <v>2119.7999999999997</v>
      </c>
      <c r="S125" s="77">
        <f t="shared" si="28"/>
        <v>685.99999999999977</v>
      </c>
      <c r="T125" s="77">
        <v>1108.5000000000002</v>
      </c>
      <c r="U125" s="91">
        <f t="shared" si="46"/>
        <v>61.88543076229135</v>
      </c>
      <c r="V125" s="77">
        <v>775.95000000000016</v>
      </c>
      <c r="W125" s="118">
        <f t="shared" si="47"/>
        <v>89.950000000000387</v>
      </c>
    </row>
    <row r="126" spans="1:27" x14ac:dyDescent="0.25">
      <c r="A126" s="236"/>
      <c r="B126" s="239"/>
      <c r="C126" s="130">
        <v>29</v>
      </c>
      <c r="D126" s="18">
        <v>1523.3</v>
      </c>
      <c r="E126" s="18"/>
      <c r="F126" s="18">
        <f t="shared" si="43"/>
        <v>-1523.3</v>
      </c>
      <c r="G126" s="18">
        <v>1345.1000000000001</v>
      </c>
      <c r="H126" s="19">
        <f t="shared" si="44"/>
        <v>-113.24808564419</v>
      </c>
      <c r="I126" s="18">
        <v>941.57000000000016</v>
      </c>
      <c r="J126" s="131">
        <f t="shared" si="45"/>
        <v>2464.87</v>
      </c>
      <c r="M126" s="236"/>
      <c r="N126" s="239"/>
      <c r="O126" s="130">
        <v>29</v>
      </c>
      <c r="P126" s="18">
        <v>1523.3</v>
      </c>
      <c r="Q126" s="18"/>
      <c r="R126" s="18">
        <f t="shared" si="27"/>
        <v>-0.4</v>
      </c>
      <c r="S126" s="18">
        <f t="shared" si="28"/>
        <v>-1523.7</v>
      </c>
      <c r="T126" s="18">
        <v>1345.1000000000001</v>
      </c>
      <c r="U126" s="19">
        <f t="shared" si="46"/>
        <v>-113.27782321017024</v>
      </c>
      <c r="V126" s="18">
        <v>941.57000000000016</v>
      </c>
      <c r="W126" s="131">
        <f t="shared" si="47"/>
        <v>2465.2700000000004</v>
      </c>
    </row>
    <row r="127" spans="1:27" x14ac:dyDescent="0.25">
      <c r="A127" s="236"/>
      <c r="B127" s="239"/>
      <c r="C127" s="117">
        <v>30</v>
      </c>
      <c r="D127" s="77">
        <v>1480.6</v>
      </c>
      <c r="E127" s="77">
        <v>2256.1999999999998</v>
      </c>
      <c r="F127" s="77">
        <f t="shared" si="43"/>
        <v>775.59999999999991</v>
      </c>
      <c r="G127" s="77">
        <v>1212.5999999999999</v>
      </c>
      <c r="H127" s="91">
        <f t="shared" si="44"/>
        <v>63.961735114629711</v>
      </c>
      <c r="I127" s="77">
        <v>848.82</v>
      </c>
      <c r="J127" s="118">
        <f t="shared" si="45"/>
        <v>73.220000000000141</v>
      </c>
      <c r="M127" s="236"/>
      <c r="N127" s="239"/>
      <c r="O127" s="117">
        <v>30</v>
      </c>
      <c r="P127" s="77">
        <v>1480.6</v>
      </c>
      <c r="Q127" s="77">
        <v>2258.8000000000002</v>
      </c>
      <c r="R127" s="77">
        <f t="shared" si="27"/>
        <v>2258.4</v>
      </c>
      <c r="S127" s="77">
        <f t="shared" si="28"/>
        <v>777.80000000000018</v>
      </c>
      <c r="T127" s="77">
        <v>1212.5999999999999</v>
      </c>
      <c r="U127" s="91">
        <f t="shared" si="46"/>
        <v>64.1431634504371</v>
      </c>
      <c r="V127" s="77">
        <v>848.82</v>
      </c>
      <c r="W127" s="118">
        <f t="shared" si="47"/>
        <v>71.019999999999868</v>
      </c>
    </row>
    <row r="128" spans="1:27" x14ac:dyDescent="0.25">
      <c r="A128" s="236"/>
      <c r="B128" s="239"/>
      <c r="C128" s="117">
        <v>31</v>
      </c>
      <c r="D128" s="77">
        <v>1526.6</v>
      </c>
      <c r="E128" s="77">
        <v>2367.5</v>
      </c>
      <c r="F128" s="77">
        <f t="shared" si="43"/>
        <v>840.90000000000009</v>
      </c>
      <c r="G128" s="77">
        <v>1252.0999999999999</v>
      </c>
      <c r="H128" s="91">
        <f t="shared" si="44"/>
        <v>67.159172590048726</v>
      </c>
      <c r="I128" s="77">
        <v>876.47</v>
      </c>
      <c r="J128" s="118">
        <f t="shared" si="45"/>
        <v>35.569999999999936</v>
      </c>
      <c r="M128" s="236"/>
      <c r="N128" s="239"/>
      <c r="O128" s="117">
        <v>31</v>
      </c>
      <c r="P128" s="77">
        <v>1526.6</v>
      </c>
      <c r="Q128" s="77">
        <v>2367.5</v>
      </c>
      <c r="R128" s="77">
        <f t="shared" si="27"/>
        <v>2367.1</v>
      </c>
      <c r="S128" s="77">
        <f t="shared" si="28"/>
        <v>840.5</v>
      </c>
      <c r="T128" s="77">
        <v>1252.0999999999999</v>
      </c>
      <c r="U128" s="91">
        <f t="shared" si="46"/>
        <v>67.1272262598834</v>
      </c>
      <c r="V128" s="77">
        <v>876.47</v>
      </c>
      <c r="W128" s="118">
        <f t="shared" si="47"/>
        <v>35.970000000000027</v>
      </c>
      <c r="Y128" s="242" t="s">
        <v>123</v>
      </c>
      <c r="Z128" s="242"/>
      <c r="AA128" s="242"/>
    </row>
    <row r="129" spans="1:27" ht="15.75" x14ac:dyDescent="0.25">
      <c r="A129" s="237"/>
      <c r="B129" s="240"/>
      <c r="C129" s="119">
        <v>32</v>
      </c>
      <c r="D129" s="61">
        <v>1496.7</v>
      </c>
      <c r="E129" s="120">
        <v>2347.1999999999998</v>
      </c>
      <c r="F129" s="120">
        <f t="shared" si="43"/>
        <v>850.49999999999977</v>
      </c>
      <c r="G129" s="120">
        <v>1307.1000000000001</v>
      </c>
      <c r="H129" s="95">
        <f t="shared" si="44"/>
        <v>65.067707137938925</v>
      </c>
      <c r="I129" s="120">
        <v>914.97000000000014</v>
      </c>
      <c r="J129" s="121">
        <f t="shared" si="45"/>
        <v>64.470000000000368</v>
      </c>
      <c r="M129" s="237"/>
      <c r="N129" s="240"/>
      <c r="O129" s="119">
        <v>32</v>
      </c>
      <c r="P129" s="61">
        <v>1496.7</v>
      </c>
      <c r="Q129" s="120">
        <v>2342.1999999999998</v>
      </c>
      <c r="R129" s="120">
        <f t="shared" si="27"/>
        <v>2341.7999999999997</v>
      </c>
      <c r="S129" s="120">
        <f t="shared" si="28"/>
        <v>845.09999999999968</v>
      </c>
      <c r="T129" s="120">
        <v>1307.1000000000001</v>
      </c>
      <c r="U129" s="95">
        <f t="shared" si="46"/>
        <v>64.654578838650409</v>
      </c>
      <c r="V129" s="120">
        <v>914.97000000000014</v>
      </c>
      <c r="W129" s="121">
        <f t="shared" si="47"/>
        <v>69.870000000000459</v>
      </c>
      <c r="Y129" s="133" t="s">
        <v>121</v>
      </c>
      <c r="Z129" s="133" t="s">
        <v>74</v>
      </c>
      <c r="AA129" s="133" t="s">
        <v>122</v>
      </c>
    </row>
    <row r="130" spans="1:27" x14ac:dyDescent="0.25">
      <c r="A130" s="227"/>
      <c r="B130" s="230" t="s">
        <v>110</v>
      </c>
      <c r="C130" s="122">
        <v>17</v>
      </c>
      <c r="D130" s="78">
        <v>1433.3</v>
      </c>
      <c r="E130" s="123"/>
      <c r="F130" s="123">
        <f>E130- D130</f>
        <v>-1433.3</v>
      </c>
      <c r="G130" s="123">
        <v>1184.3999999999999</v>
      </c>
      <c r="H130" s="88">
        <f>(F130/$G130)*100</f>
        <v>-121.01485984464708</v>
      </c>
      <c r="I130" s="123">
        <v>829.07999999999981</v>
      </c>
      <c r="J130" s="124">
        <f>I130-F130</f>
        <v>2262.3799999999997</v>
      </c>
      <c r="M130" s="227"/>
      <c r="N130" s="230" t="s">
        <v>110</v>
      </c>
      <c r="O130" s="122">
        <v>17</v>
      </c>
      <c r="P130" s="78">
        <v>1433.3</v>
      </c>
      <c r="Q130" s="123">
        <v>2164</v>
      </c>
      <c r="R130" s="123">
        <f t="shared" si="27"/>
        <v>2163.6</v>
      </c>
      <c r="S130" s="123">
        <f t="shared" si="28"/>
        <v>730.3</v>
      </c>
      <c r="T130" s="123">
        <v>1184.3999999999999</v>
      </c>
      <c r="U130" s="88">
        <f>(S130/$G130)*100</f>
        <v>61.65991219182709</v>
      </c>
      <c r="V130" s="123">
        <v>829.07999999999981</v>
      </c>
      <c r="W130" s="124">
        <f>V130-S130</f>
        <v>98.779999999999859</v>
      </c>
      <c r="Y130" s="122">
        <v>17</v>
      </c>
      <c r="Z130" s="241" t="s">
        <v>80</v>
      </c>
      <c r="AA130" s="12">
        <f>Q130-Q146</f>
        <v>15.900000000000091</v>
      </c>
    </row>
    <row r="131" spans="1:27" x14ac:dyDescent="0.25">
      <c r="A131" s="228"/>
      <c r="B131" s="231"/>
      <c r="C131" s="125">
        <v>18</v>
      </c>
      <c r="D131" s="78">
        <v>1495.5</v>
      </c>
      <c r="E131" s="78"/>
      <c r="F131" s="78">
        <f t="shared" ref="F131:F145" si="48">E131- D131</f>
        <v>-1495.5</v>
      </c>
      <c r="G131" s="78">
        <v>1186.5</v>
      </c>
      <c r="H131" s="91">
        <f t="shared" ref="H131:H145" si="49">(F131/$G131)*100</f>
        <v>-126.04298356510746</v>
      </c>
      <c r="I131" s="78">
        <v>830.55</v>
      </c>
      <c r="J131" s="126">
        <f t="shared" ref="J131:J145" si="50">I131-F131</f>
        <v>2326.0500000000002</v>
      </c>
      <c r="M131" s="228"/>
      <c r="N131" s="231"/>
      <c r="O131" s="125">
        <v>18</v>
      </c>
      <c r="P131" s="78">
        <v>1495.5</v>
      </c>
      <c r="Q131" s="78">
        <v>2243.8000000000002</v>
      </c>
      <c r="R131" s="78">
        <f t="shared" ref="R131:R161" si="51">Q131-0.4</f>
        <v>2243.4</v>
      </c>
      <c r="S131" s="78">
        <f t="shared" ref="S131:S161" si="52">R131- P131</f>
        <v>747.90000000000009</v>
      </c>
      <c r="T131" s="78">
        <v>1186.5</v>
      </c>
      <c r="U131" s="91">
        <f t="shared" ref="U131:U145" si="53">(S131/$G131)*100</f>
        <v>63.034134007585344</v>
      </c>
      <c r="V131" s="78">
        <v>830.55</v>
      </c>
      <c r="W131" s="126">
        <f t="shared" ref="W131:W145" si="54">V131-S131</f>
        <v>82.649999999999864</v>
      </c>
      <c r="Y131" s="125">
        <v>18</v>
      </c>
      <c r="Z131" s="241"/>
      <c r="AA131" s="12">
        <f>Q131-Q147</f>
        <v>12.300000000000182</v>
      </c>
    </row>
    <row r="132" spans="1:27" x14ac:dyDescent="0.25">
      <c r="A132" s="228"/>
      <c r="B132" s="231"/>
      <c r="C132" s="125">
        <v>19</v>
      </c>
      <c r="D132" s="78">
        <v>1582.5</v>
      </c>
      <c r="E132" s="78"/>
      <c r="F132" s="78">
        <f t="shared" si="48"/>
        <v>-1582.5</v>
      </c>
      <c r="G132" s="78">
        <v>1277.9000000000001</v>
      </c>
      <c r="H132" s="91">
        <f t="shared" si="49"/>
        <v>-123.83598090617419</v>
      </c>
      <c r="I132" s="78">
        <v>894.53</v>
      </c>
      <c r="J132" s="126">
        <f t="shared" si="50"/>
        <v>2477.0299999999997</v>
      </c>
      <c r="M132" s="228"/>
      <c r="N132" s="231"/>
      <c r="O132" s="125">
        <v>19</v>
      </c>
      <c r="P132" s="78">
        <v>1582.5</v>
      </c>
      <c r="Q132" s="78">
        <v>2419.1999999999998</v>
      </c>
      <c r="R132" s="78">
        <f t="shared" si="51"/>
        <v>2418.7999999999997</v>
      </c>
      <c r="S132" s="78">
        <f t="shared" si="52"/>
        <v>836.29999999999973</v>
      </c>
      <c r="T132" s="78">
        <v>1277.9000000000001</v>
      </c>
      <c r="U132" s="91">
        <f t="shared" si="53"/>
        <v>65.443305422959526</v>
      </c>
      <c r="V132" s="78">
        <v>894.53</v>
      </c>
      <c r="W132" s="126">
        <f t="shared" si="54"/>
        <v>58.230000000000246</v>
      </c>
      <c r="Y132" s="125">
        <v>19</v>
      </c>
      <c r="Z132" s="241"/>
      <c r="AA132" s="12">
        <f>Q132-Q148</f>
        <v>9.3999999999996362</v>
      </c>
    </row>
    <row r="133" spans="1:27" x14ac:dyDescent="0.25">
      <c r="A133" s="228"/>
      <c r="B133" s="231"/>
      <c r="C133" s="125">
        <v>20</v>
      </c>
      <c r="D133" s="78">
        <v>1849.2</v>
      </c>
      <c r="E133" s="78"/>
      <c r="F133" s="78">
        <f t="shared" si="48"/>
        <v>-1849.2</v>
      </c>
      <c r="G133" s="78">
        <v>1354.8</v>
      </c>
      <c r="H133" s="91">
        <f t="shared" si="49"/>
        <v>-136.49247121346323</v>
      </c>
      <c r="I133" s="78">
        <v>948.36</v>
      </c>
      <c r="J133" s="126">
        <f t="shared" si="50"/>
        <v>2797.56</v>
      </c>
      <c r="M133" s="228"/>
      <c r="N133" s="231"/>
      <c r="O133" s="125">
        <v>20</v>
      </c>
      <c r="P133" s="78">
        <v>1849.2</v>
      </c>
      <c r="Q133" s="78">
        <v>2726</v>
      </c>
      <c r="R133" s="78">
        <f t="shared" si="51"/>
        <v>2725.6</v>
      </c>
      <c r="S133" s="78">
        <f t="shared" si="52"/>
        <v>876.39999999999986</v>
      </c>
      <c r="T133" s="78">
        <v>1354.8</v>
      </c>
      <c r="U133" s="91">
        <f t="shared" si="53"/>
        <v>64.688514909949802</v>
      </c>
      <c r="V133" s="78">
        <v>948.36</v>
      </c>
      <c r="W133" s="126">
        <f t="shared" si="54"/>
        <v>71.96000000000015</v>
      </c>
      <c r="Y133" s="125">
        <v>20</v>
      </c>
      <c r="Z133" s="241"/>
      <c r="AA133" s="12">
        <f t="shared" ref="AA133:AA145" si="55">Q133-Q149</f>
        <v>11.599999999999909</v>
      </c>
    </row>
    <row r="134" spans="1:27" x14ac:dyDescent="0.25">
      <c r="A134" s="228"/>
      <c r="B134" s="231"/>
      <c r="C134" s="125">
        <v>21</v>
      </c>
      <c r="D134" s="78">
        <v>1508.3</v>
      </c>
      <c r="E134" s="78"/>
      <c r="F134" s="78">
        <f t="shared" si="48"/>
        <v>-1508.3</v>
      </c>
      <c r="G134" s="78">
        <v>1207.6000000000001</v>
      </c>
      <c r="H134" s="91">
        <f t="shared" si="49"/>
        <v>-124.90062934746604</v>
      </c>
      <c r="I134" s="78">
        <v>845.32000000000016</v>
      </c>
      <c r="J134" s="126">
        <f t="shared" si="50"/>
        <v>2353.62</v>
      </c>
      <c r="M134" s="228"/>
      <c r="N134" s="231"/>
      <c r="O134" s="125">
        <v>21</v>
      </c>
      <c r="P134" s="78">
        <v>1508.3</v>
      </c>
      <c r="Q134" s="78">
        <v>2267.6999999999998</v>
      </c>
      <c r="R134" s="78">
        <f t="shared" si="51"/>
        <v>2267.2999999999997</v>
      </c>
      <c r="S134" s="78">
        <f t="shared" si="52"/>
        <v>758.99999999999977</v>
      </c>
      <c r="T134" s="78">
        <v>1207.6000000000001</v>
      </c>
      <c r="U134" s="91">
        <f t="shared" si="53"/>
        <v>62.851937727724383</v>
      </c>
      <c r="V134" s="78">
        <v>845.32000000000016</v>
      </c>
      <c r="W134" s="126">
        <f t="shared" si="54"/>
        <v>86.320000000000391</v>
      </c>
      <c r="Y134" s="125">
        <v>21</v>
      </c>
      <c r="Z134" s="241"/>
      <c r="AA134" s="12">
        <f t="shared" si="55"/>
        <v>12.299999999999727</v>
      </c>
    </row>
    <row r="135" spans="1:27" x14ac:dyDescent="0.25">
      <c r="A135" s="228"/>
      <c r="B135" s="231"/>
      <c r="C135" s="125">
        <v>22</v>
      </c>
      <c r="D135" s="78">
        <v>1564.3</v>
      </c>
      <c r="E135" s="78"/>
      <c r="F135" s="78">
        <f t="shared" si="48"/>
        <v>-1564.3</v>
      </c>
      <c r="G135" s="78">
        <v>1266.1000000000001</v>
      </c>
      <c r="H135" s="91">
        <f t="shared" si="49"/>
        <v>-123.55264197140825</v>
      </c>
      <c r="I135" s="78">
        <v>886.2700000000001</v>
      </c>
      <c r="J135" s="126">
        <f t="shared" si="50"/>
        <v>2450.5700000000002</v>
      </c>
      <c r="M135" s="228"/>
      <c r="N135" s="231"/>
      <c r="O135" s="125">
        <v>22</v>
      </c>
      <c r="P135" s="78">
        <v>1564.3</v>
      </c>
      <c r="Q135" s="78">
        <v>2377.6</v>
      </c>
      <c r="R135" s="78">
        <f t="shared" si="51"/>
        <v>2377.1999999999998</v>
      </c>
      <c r="S135" s="78">
        <f t="shared" si="52"/>
        <v>812.89999999999986</v>
      </c>
      <c r="T135" s="78">
        <v>1266.1000000000001</v>
      </c>
      <c r="U135" s="91">
        <f t="shared" si="53"/>
        <v>64.205039096437872</v>
      </c>
      <c r="V135" s="78">
        <v>886.2700000000001</v>
      </c>
      <c r="W135" s="126">
        <f t="shared" si="54"/>
        <v>73.370000000000232</v>
      </c>
      <c r="Y135" s="125">
        <v>22</v>
      </c>
      <c r="Z135" s="241"/>
      <c r="AA135" s="12">
        <f t="shared" si="55"/>
        <v>10.099999999999909</v>
      </c>
    </row>
    <row r="136" spans="1:27" x14ac:dyDescent="0.25">
      <c r="A136" s="228"/>
      <c r="B136" s="231"/>
      <c r="C136" s="125">
        <v>23</v>
      </c>
      <c r="D136" s="78">
        <v>1694.5</v>
      </c>
      <c r="E136" s="78"/>
      <c r="F136" s="78">
        <f t="shared" si="48"/>
        <v>-1694.5</v>
      </c>
      <c r="G136" s="78">
        <v>1351</v>
      </c>
      <c r="H136" s="91">
        <f t="shared" si="49"/>
        <v>-125.42561065877129</v>
      </c>
      <c r="I136" s="78">
        <v>945.7</v>
      </c>
      <c r="J136" s="126">
        <f t="shared" si="50"/>
        <v>2640.2</v>
      </c>
      <c r="M136" s="228"/>
      <c r="N136" s="231"/>
      <c r="O136" s="125">
        <v>23</v>
      </c>
      <c r="P136" s="78">
        <v>1694.5</v>
      </c>
      <c r="Q136" s="78">
        <v>2527.8000000000002</v>
      </c>
      <c r="R136" s="78">
        <f t="shared" si="51"/>
        <v>2527.4</v>
      </c>
      <c r="S136" s="78">
        <f t="shared" si="52"/>
        <v>832.90000000000009</v>
      </c>
      <c r="T136" s="78">
        <v>1351</v>
      </c>
      <c r="U136" s="91">
        <f t="shared" si="53"/>
        <v>61.650629163582536</v>
      </c>
      <c r="V136" s="78">
        <v>945.7</v>
      </c>
      <c r="W136" s="126">
        <f t="shared" si="54"/>
        <v>112.79999999999995</v>
      </c>
      <c r="Y136" s="125">
        <v>23</v>
      </c>
      <c r="Z136" s="241"/>
      <c r="AA136" s="12">
        <f t="shared" si="55"/>
        <v>18.5</v>
      </c>
    </row>
    <row r="137" spans="1:27" x14ac:dyDescent="0.25">
      <c r="A137" s="228"/>
      <c r="B137" s="231"/>
      <c r="C137" s="125">
        <v>24</v>
      </c>
      <c r="D137" s="78">
        <v>1623.4</v>
      </c>
      <c r="E137" s="78"/>
      <c r="F137" s="78">
        <f t="shared" si="48"/>
        <v>-1623.4</v>
      </c>
      <c r="G137" s="78">
        <v>1245.0999999999999</v>
      </c>
      <c r="H137" s="91">
        <f t="shared" si="49"/>
        <v>-130.3831017588949</v>
      </c>
      <c r="I137" s="78">
        <v>871.57</v>
      </c>
      <c r="J137" s="126">
        <f t="shared" si="50"/>
        <v>2494.9700000000003</v>
      </c>
      <c r="M137" s="228"/>
      <c r="N137" s="231"/>
      <c r="O137" s="125">
        <v>24</v>
      </c>
      <c r="P137" s="78">
        <v>1623.4</v>
      </c>
      <c r="Q137" s="78">
        <v>2405.4</v>
      </c>
      <c r="R137" s="78">
        <f t="shared" si="51"/>
        <v>2405</v>
      </c>
      <c r="S137" s="78">
        <f t="shared" si="52"/>
        <v>781.59999999999991</v>
      </c>
      <c r="T137" s="78">
        <v>1245.0999999999999</v>
      </c>
      <c r="U137" s="91">
        <f t="shared" si="53"/>
        <v>62.774074371536415</v>
      </c>
      <c r="V137" s="78">
        <v>871.57</v>
      </c>
      <c r="W137" s="126">
        <f t="shared" si="54"/>
        <v>89.970000000000141</v>
      </c>
      <c r="Y137" s="125">
        <v>24</v>
      </c>
      <c r="Z137" s="241"/>
      <c r="AA137" s="12">
        <f t="shared" si="55"/>
        <v>15.900000000000091</v>
      </c>
    </row>
    <row r="138" spans="1:27" x14ac:dyDescent="0.25">
      <c r="A138" s="228"/>
      <c r="B138" s="231"/>
      <c r="C138" s="125">
        <v>25</v>
      </c>
      <c r="D138" s="78">
        <v>1579.9</v>
      </c>
      <c r="E138" s="78"/>
      <c r="F138" s="78">
        <f t="shared" si="48"/>
        <v>-1579.9</v>
      </c>
      <c r="G138" s="78">
        <v>1253.5999999999999</v>
      </c>
      <c r="H138" s="91">
        <f t="shared" si="49"/>
        <v>-126.02903637523933</v>
      </c>
      <c r="I138" s="78">
        <v>877.52</v>
      </c>
      <c r="J138" s="126">
        <f t="shared" si="50"/>
        <v>2457.42</v>
      </c>
      <c r="M138" s="228"/>
      <c r="N138" s="231"/>
      <c r="O138" s="125">
        <v>25</v>
      </c>
      <c r="P138" s="78">
        <v>1579.9</v>
      </c>
      <c r="Q138" s="78">
        <v>2381.5</v>
      </c>
      <c r="R138" s="78">
        <f t="shared" si="51"/>
        <v>2381.1</v>
      </c>
      <c r="S138" s="78">
        <f t="shared" si="52"/>
        <v>801.19999999999982</v>
      </c>
      <c r="T138" s="78">
        <v>1253.5999999999999</v>
      </c>
      <c r="U138" s="91">
        <f t="shared" si="53"/>
        <v>63.911933631142304</v>
      </c>
      <c r="V138" s="78">
        <v>877.52</v>
      </c>
      <c r="W138" s="126">
        <f t="shared" si="54"/>
        <v>76.320000000000164</v>
      </c>
      <c r="Y138" s="125">
        <v>25</v>
      </c>
      <c r="Z138" s="241"/>
      <c r="AA138" s="12">
        <f t="shared" si="55"/>
        <v>13.199999999999818</v>
      </c>
    </row>
    <row r="139" spans="1:27" x14ac:dyDescent="0.25">
      <c r="A139" s="228"/>
      <c r="B139" s="231"/>
      <c r="C139" s="125">
        <v>26</v>
      </c>
      <c r="D139" s="78">
        <v>1507</v>
      </c>
      <c r="E139" s="78"/>
      <c r="F139" s="78">
        <f t="shared" si="48"/>
        <v>-1507</v>
      </c>
      <c r="G139" s="78">
        <v>1216</v>
      </c>
      <c r="H139" s="91">
        <f t="shared" si="49"/>
        <v>-123.93092105263158</v>
      </c>
      <c r="I139" s="78">
        <v>851.2</v>
      </c>
      <c r="J139" s="126">
        <f t="shared" si="50"/>
        <v>2358.1999999999998</v>
      </c>
      <c r="M139" s="228"/>
      <c r="N139" s="231"/>
      <c r="O139" s="125">
        <v>26</v>
      </c>
      <c r="P139" s="78">
        <v>1507</v>
      </c>
      <c r="Q139" s="78">
        <v>2274.1999999999998</v>
      </c>
      <c r="R139" s="78">
        <f t="shared" si="51"/>
        <v>2273.7999999999997</v>
      </c>
      <c r="S139" s="78">
        <f t="shared" si="52"/>
        <v>766.79999999999973</v>
      </c>
      <c r="T139" s="78">
        <v>1216</v>
      </c>
      <c r="U139" s="91">
        <f t="shared" si="53"/>
        <v>63.059210526315766</v>
      </c>
      <c r="V139" s="78">
        <v>851.2</v>
      </c>
      <c r="W139" s="126">
        <f t="shared" si="54"/>
        <v>84.400000000000318</v>
      </c>
      <c r="Y139" s="125">
        <v>26</v>
      </c>
      <c r="Z139" s="241"/>
      <c r="AA139" s="12">
        <f t="shared" si="55"/>
        <v>12.299999999999727</v>
      </c>
    </row>
    <row r="140" spans="1:27" x14ac:dyDescent="0.25">
      <c r="A140" s="228"/>
      <c r="B140" s="231"/>
      <c r="C140" s="130">
        <v>27</v>
      </c>
      <c r="D140" s="18">
        <v>1494.6</v>
      </c>
      <c r="E140" s="18"/>
      <c r="F140" s="18">
        <f t="shared" si="48"/>
        <v>-1494.6</v>
      </c>
      <c r="G140" s="18">
        <v>1240.8000000000002</v>
      </c>
      <c r="H140" s="19">
        <f t="shared" si="49"/>
        <v>-120.45454545454544</v>
      </c>
      <c r="I140" s="18">
        <v>868.56000000000017</v>
      </c>
      <c r="J140" s="131">
        <f t="shared" si="50"/>
        <v>2363.16</v>
      </c>
      <c r="M140" s="228"/>
      <c r="N140" s="231"/>
      <c r="O140" s="130">
        <v>27</v>
      </c>
      <c r="P140" s="18">
        <v>1494.6</v>
      </c>
      <c r="Q140" s="18"/>
      <c r="R140" s="18">
        <f t="shared" si="51"/>
        <v>-0.4</v>
      </c>
      <c r="S140" s="18">
        <f t="shared" si="52"/>
        <v>-1495</v>
      </c>
      <c r="T140" s="18">
        <v>1240.8000000000002</v>
      </c>
      <c r="U140" s="19">
        <f t="shared" si="53"/>
        <v>-120.48678272082525</v>
      </c>
      <c r="V140" s="18">
        <v>868.56000000000017</v>
      </c>
      <c r="W140" s="131">
        <f t="shared" si="54"/>
        <v>2363.5600000000004</v>
      </c>
      <c r="Y140" s="130">
        <v>27</v>
      </c>
      <c r="Z140" s="241"/>
      <c r="AA140" s="18">
        <f t="shared" si="55"/>
        <v>0</v>
      </c>
    </row>
    <row r="141" spans="1:27" x14ac:dyDescent="0.25">
      <c r="A141" s="228"/>
      <c r="B141" s="231"/>
      <c r="C141" s="125">
        <v>28</v>
      </c>
      <c r="D141" s="78">
        <v>1433.8</v>
      </c>
      <c r="E141" s="78"/>
      <c r="F141" s="78">
        <f t="shared" si="48"/>
        <v>-1433.8</v>
      </c>
      <c r="G141" s="78">
        <v>1108.5000000000002</v>
      </c>
      <c r="H141" s="91">
        <f t="shared" si="49"/>
        <v>-129.34596301308071</v>
      </c>
      <c r="I141" s="78">
        <v>775.95000000000016</v>
      </c>
      <c r="J141" s="126">
        <f t="shared" si="50"/>
        <v>2209.75</v>
      </c>
      <c r="M141" s="228"/>
      <c r="N141" s="231"/>
      <c r="O141" s="125">
        <v>28</v>
      </c>
      <c r="P141" s="78">
        <v>1433.8</v>
      </c>
      <c r="Q141" s="78">
        <v>2106.8000000000002</v>
      </c>
      <c r="R141" s="78">
        <f t="shared" si="51"/>
        <v>2106.4</v>
      </c>
      <c r="S141" s="78">
        <f t="shared" si="52"/>
        <v>672.60000000000014</v>
      </c>
      <c r="T141" s="78">
        <v>1108.5000000000002</v>
      </c>
      <c r="U141" s="91">
        <f t="shared" si="53"/>
        <v>60.676589986468201</v>
      </c>
      <c r="V141" s="78">
        <v>775.95000000000016</v>
      </c>
      <c r="W141" s="126">
        <f t="shared" si="54"/>
        <v>103.35000000000002</v>
      </c>
      <c r="Y141" s="125">
        <v>28</v>
      </c>
      <c r="Z141" s="241"/>
      <c r="AA141" s="12">
        <f t="shared" si="55"/>
        <v>17.300000000000182</v>
      </c>
    </row>
    <row r="142" spans="1:27" x14ac:dyDescent="0.25">
      <c r="A142" s="228"/>
      <c r="B142" s="231"/>
      <c r="C142" s="130">
        <v>29</v>
      </c>
      <c r="D142" s="18">
        <v>1523.3</v>
      </c>
      <c r="E142" s="18"/>
      <c r="F142" s="18">
        <f t="shared" si="48"/>
        <v>-1523.3</v>
      </c>
      <c r="G142" s="18">
        <v>1345.1000000000001</v>
      </c>
      <c r="H142" s="19">
        <f t="shared" si="49"/>
        <v>-113.24808564419</v>
      </c>
      <c r="I142" s="18">
        <v>941.57000000000016</v>
      </c>
      <c r="J142" s="131">
        <f t="shared" si="50"/>
        <v>2464.87</v>
      </c>
      <c r="M142" s="228"/>
      <c r="N142" s="231"/>
      <c r="O142" s="130">
        <v>29</v>
      </c>
      <c r="P142" s="18">
        <v>1523.3</v>
      </c>
      <c r="Q142" s="18"/>
      <c r="R142" s="18">
        <f t="shared" si="51"/>
        <v>-0.4</v>
      </c>
      <c r="S142" s="18">
        <f t="shared" si="52"/>
        <v>-1523.7</v>
      </c>
      <c r="T142" s="18">
        <v>1345.1000000000001</v>
      </c>
      <c r="U142" s="19">
        <f t="shared" si="53"/>
        <v>-113.27782321017024</v>
      </c>
      <c r="V142" s="18">
        <v>941.57000000000016</v>
      </c>
      <c r="W142" s="131">
        <f t="shared" si="54"/>
        <v>2465.2700000000004</v>
      </c>
      <c r="Y142" s="130">
        <v>29</v>
      </c>
      <c r="Z142" s="241"/>
      <c r="AA142" s="18">
        <f t="shared" si="55"/>
        <v>0</v>
      </c>
    </row>
    <row r="143" spans="1:27" x14ac:dyDescent="0.25">
      <c r="A143" s="228"/>
      <c r="B143" s="231"/>
      <c r="C143" s="125">
        <v>30</v>
      </c>
      <c r="D143" s="78">
        <v>1480.6</v>
      </c>
      <c r="E143" s="78"/>
      <c r="F143" s="78">
        <f t="shared" si="48"/>
        <v>-1480.6</v>
      </c>
      <c r="G143" s="78">
        <v>1212.5999999999999</v>
      </c>
      <c r="H143" s="91">
        <f t="shared" si="49"/>
        <v>-122.10126999835065</v>
      </c>
      <c r="I143" s="78">
        <v>848.82</v>
      </c>
      <c r="J143" s="126">
        <f t="shared" si="50"/>
        <v>2329.42</v>
      </c>
      <c r="M143" s="228"/>
      <c r="N143" s="231"/>
      <c r="O143" s="125">
        <v>30</v>
      </c>
      <c r="P143" s="78">
        <v>1480.6</v>
      </c>
      <c r="Q143" s="78">
        <v>2248.3000000000002</v>
      </c>
      <c r="R143" s="78">
        <f t="shared" si="51"/>
        <v>2247.9</v>
      </c>
      <c r="S143" s="78">
        <f t="shared" si="52"/>
        <v>767.30000000000018</v>
      </c>
      <c r="T143" s="78">
        <v>1212.5999999999999</v>
      </c>
      <c r="U143" s="91">
        <f t="shared" si="53"/>
        <v>63.277255484083803</v>
      </c>
      <c r="V143" s="78">
        <v>848.82</v>
      </c>
      <c r="W143" s="126">
        <f t="shared" si="54"/>
        <v>81.519999999999868</v>
      </c>
      <c r="Y143" s="125">
        <v>30</v>
      </c>
      <c r="Z143" s="241"/>
      <c r="AA143" s="12">
        <f t="shared" si="55"/>
        <v>12</v>
      </c>
    </row>
    <row r="144" spans="1:27" x14ac:dyDescent="0.25">
      <c r="A144" s="228"/>
      <c r="B144" s="231"/>
      <c r="C144" s="125">
        <v>31</v>
      </c>
      <c r="D144" s="78">
        <v>1526.6</v>
      </c>
      <c r="E144" s="78"/>
      <c r="F144" s="78">
        <f t="shared" si="48"/>
        <v>-1526.6</v>
      </c>
      <c r="G144" s="78">
        <v>1252.0999999999999</v>
      </c>
      <c r="H144" s="91">
        <f t="shared" si="49"/>
        <v>-121.9231690759524</v>
      </c>
      <c r="I144" s="78">
        <v>876.47</v>
      </c>
      <c r="J144" s="126">
        <f t="shared" si="50"/>
        <v>2403.0699999999997</v>
      </c>
      <c r="M144" s="228"/>
      <c r="N144" s="231"/>
      <c r="O144" s="125">
        <v>31</v>
      </c>
      <c r="P144" s="78">
        <v>1526.6</v>
      </c>
      <c r="Q144" s="78">
        <v>2362.5</v>
      </c>
      <c r="R144" s="78">
        <f t="shared" si="51"/>
        <v>2362.1</v>
      </c>
      <c r="S144" s="78">
        <f t="shared" si="52"/>
        <v>835.5</v>
      </c>
      <c r="T144" s="78">
        <v>1252.0999999999999</v>
      </c>
      <c r="U144" s="91">
        <f t="shared" si="53"/>
        <v>66.727897132816878</v>
      </c>
      <c r="V144" s="78">
        <v>876.47</v>
      </c>
      <c r="W144" s="126">
        <f t="shared" si="54"/>
        <v>40.970000000000027</v>
      </c>
      <c r="Y144" s="125">
        <v>31</v>
      </c>
      <c r="Z144" s="241"/>
      <c r="AA144" s="12">
        <f t="shared" si="55"/>
        <v>6.5</v>
      </c>
    </row>
    <row r="145" spans="1:27" x14ac:dyDescent="0.25">
      <c r="A145" s="229"/>
      <c r="B145" s="232"/>
      <c r="C145" s="127">
        <v>32</v>
      </c>
      <c r="D145" s="62">
        <v>1496.7</v>
      </c>
      <c r="E145" s="128"/>
      <c r="F145" s="128">
        <f t="shared" si="48"/>
        <v>-1496.7</v>
      </c>
      <c r="G145" s="128">
        <v>1307.1000000000001</v>
      </c>
      <c r="H145" s="95">
        <f t="shared" si="49"/>
        <v>-114.50539361946292</v>
      </c>
      <c r="I145" s="128">
        <v>914.97000000000014</v>
      </c>
      <c r="J145" s="129">
        <f t="shared" si="50"/>
        <v>2411.67</v>
      </c>
      <c r="M145" s="229"/>
      <c r="N145" s="232"/>
      <c r="O145" s="127">
        <v>32</v>
      </c>
      <c r="P145" s="62">
        <v>1496.7</v>
      </c>
      <c r="Q145" s="128">
        <v>2332.3000000000002</v>
      </c>
      <c r="R145" s="128">
        <f t="shared" si="51"/>
        <v>2331.9</v>
      </c>
      <c r="S145" s="128">
        <f t="shared" si="52"/>
        <v>835.2</v>
      </c>
      <c r="T145" s="128">
        <v>1307.1000000000001</v>
      </c>
      <c r="U145" s="95">
        <f t="shared" si="53"/>
        <v>63.897176956621529</v>
      </c>
      <c r="V145" s="128">
        <v>914.97000000000014</v>
      </c>
      <c r="W145" s="129">
        <f t="shared" si="54"/>
        <v>79.770000000000095</v>
      </c>
      <c r="Y145" s="127">
        <v>32</v>
      </c>
      <c r="Z145" s="241"/>
      <c r="AA145" s="12">
        <f t="shared" si="55"/>
        <v>12.400000000000091</v>
      </c>
    </row>
    <row r="146" spans="1:27" x14ac:dyDescent="0.25">
      <c r="A146" s="227"/>
      <c r="B146" s="230" t="s">
        <v>111</v>
      </c>
      <c r="C146" s="122">
        <v>17</v>
      </c>
      <c r="D146" s="78">
        <v>1433.3</v>
      </c>
      <c r="E146" s="123">
        <v>2146.6</v>
      </c>
      <c r="F146" s="123">
        <f>E146- D146</f>
        <v>713.3</v>
      </c>
      <c r="G146" s="123">
        <v>1184.3999999999999</v>
      </c>
      <c r="H146" s="88">
        <f>(F146/$G146)*100</f>
        <v>60.224586288416084</v>
      </c>
      <c r="I146" s="123">
        <v>829.07999999999981</v>
      </c>
      <c r="J146" s="124">
        <f>I146-F146</f>
        <v>115.77999999999986</v>
      </c>
      <c r="M146" s="227"/>
      <c r="N146" s="230" t="s">
        <v>111</v>
      </c>
      <c r="O146" s="122">
        <v>17</v>
      </c>
      <c r="P146" s="78">
        <v>1433.3</v>
      </c>
      <c r="Q146" s="123">
        <v>2148.1</v>
      </c>
      <c r="R146" s="123">
        <f t="shared" si="51"/>
        <v>2147.6999999999998</v>
      </c>
      <c r="S146" s="123">
        <f t="shared" si="52"/>
        <v>714.39999999999986</v>
      </c>
      <c r="T146" s="123">
        <v>1184.3999999999999</v>
      </c>
      <c r="U146" s="88">
        <f>(S146/$G146)*100</f>
        <v>60.317460317460316</v>
      </c>
      <c r="V146" s="123">
        <v>829.07999999999981</v>
      </c>
      <c r="W146" s="124">
        <f>V146-S146</f>
        <v>114.67999999999995</v>
      </c>
    </row>
    <row r="147" spans="1:27" x14ac:dyDescent="0.25">
      <c r="A147" s="228"/>
      <c r="B147" s="231"/>
      <c r="C147" s="125">
        <v>18</v>
      </c>
      <c r="D147" s="78">
        <v>1495.5</v>
      </c>
      <c r="E147" s="78">
        <v>2230.6999999999998</v>
      </c>
      <c r="F147" s="78">
        <f t="shared" ref="F147:F161" si="56">E147- D147</f>
        <v>735.19999999999982</v>
      </c>
      <c r="G147" s="78">
        <v>1186.5</v>
      </c>
      <c r="H147" s="91">
        <f t="shared" ref="H147:H161" si="57">(F147/$G147)*100</f>
        <v>61.963758954909387</v>
      </c>
      <c r="I147" s="78">
        <v>830.55</v>
      </c>
      <c r="J147" s="126">
        <f t="shared" ref="J147:J161" si="58">I147-F147</f>
        <v>95.350000000000136</v>
      </c>
      <c r="M147" s="228"/>
      <c r="N147" s="231"/>
      <c r="O147" s="125">
        <v>18</v>
      </c>
      <c r="P147" s="78">
        <v>1495.5</v>
      </c>
      <c r="Q147" s="78">
        <v>2231.5</v>
      </c>
      <c r="R147" s="78">
        <f t="shared" si="51"/>
        <v>2231.1</v>
      </c>
      <c r="S147" s="78">
        <f t="shared" si="52"/>
        <v>735.59999999999991</v>
      </c>
      <c r="T147" s="78">
        <v>1186.5</v>
      </c>
      <c r="U147" s="91">
        <f t="shared" ref="U147:U161" si="59">(S147/$G147)*100</f>
        <v>61.997471554993666</v>
      </c>
      <c r="V147" s="78">
        <v>830.55</v>
      </c>
      <c r="W147" s="126">
        <f t="shared" ref="W147:W161" si="60">V147-S147</f>
        <v>94.950000000000045</v>
      </c>
    </row>
    <row r="148" spans="1:27" x14ac:dyDescent="0.25">
      <c r="A148" s="228"/>
      <c r="B148" s="231"/>
      <c r="C148" s="125">
        <v>19</v>
      </c>
      <c r="D148" s="78">
        <v>1582.5</v>
      </c>
      <c r="E148" s="78">
        <v>2412.6</v>
      </c>
      <c r="F148" s="78">
        <f t="shared" si="56"/>
        <v>830.09999999999991</v>
      </c>
      <c r="G148" s="78">
        <v>1277.9000000000001</v>
      </c>
      <c r="H148" s="91">
        <f t="shared" si="57"/>
        <v>64.958134439314492</v>
      </c>
      <c r="I148" s="78">
        <v>894.53</v>
      </c>
      <c r="J148" s="126">
        <f t="shared" si="58"/>
        <v>64.430000000000064</v>
      </c>
      <c r="M148" s="228"/>
      <c r="N148" s="231"/>
      <c r="O148" s="125">
        <v>19</v>
      </c>
      <c r="P148" s="78">
        <v>1582.5</v>
      </c>
      <c r="Q148" s="78">
        <v>2409.8000000000002</v>
      </c>
      <c r="R148" s="78">
        <f t="shared" si="51"/>
        <v>2409.4</v>
      </c>
      <c r="S148" s="78">
        <f t="shared" si="52"/>
        <v>826.90000000000009</v>
      </c>
      <c r="T148" s="78">
        <v>1277.9000000000001</v>
      </c>
      <c r="U148" s="91">
        <f t="shared" si="59"/>
        <v>64.707723609046099</v>
      </c>
      <c r="V148" s="78">
        <v>894.53</v>
      </c>
      <c r="W148" s="126">
        <f t="shared" si="60"/>
        <v>67.629999999999882</v>
      </c>
    </row>
    <row r="149" spans="1:27" x14ac:dyDescent="0.25">
      <c r="A149" s="228"/>
      <c r="B149" s="231"/>
      <c r="C149" s="125">
        <v>20</v>
      </c>
      <c r="D149" s="78">
        <v>1849.2</v>
      </c>
      <c r="E149" s="78">
        <v>2705.3</v>
      </c>
      <c r="F149" s="78">
        <f t="shared" si="56"/>
        <v>856.10000000000014</v>
      </c>
      <c r="G149" s="78">
        <v>1354.8</v>
      </c>
      <c r="H149" s="91">
        <f t="shared" si="57"/>
        <v>63.190138765869506</v>
      </c>
      <c r="I149" s="78">
        <v>948.36</v>
      </c>
      <c r="J149" s="126">
        <f t="shared" si="58"/>
        <v>92.259999999999877</v>
      </c>
      <c r="M149" s="228"/>
      <c r="N149" s="231"/>
      <c r="O149" s="125">
        <v>20</v>
      </c>
      <c r="P149" s="78">
        <v>1849.2</v>
      </c>
      <c r="Q149" s="78">
        <v>2714.4</v>
      </c>
      <c r="R149" s="78">
        <f t="shared" si="51"/>
        <v>2714</v>
      </c>
      <c r="S149" s="78">
        <f t="shared" si="52"/>
        <v>864.8</v>
      </c>
      <c r="T149" s="78">
        <v>1354.8</v>
      </c>
      <c r="U149" s="91">
        <f t="shared" si="59"/>
        <v>63.832299970475347</v>
      </c>
      <c r="V149" s="78">
        <v>948.36</v>
      </c>
      <c r="W149" s="126">
        <f t="shared" si="60"/>
        <v>83.560000000000059</v>
      </c>
    </row>
    <row r="150" spans="1:27" x14ac:dyDescent="0.25">
      <c r="A150" s="228"/>
      <c r="B150" s="231"/>
      <c r="C150" s="125">
        <v>21</v>
      </c>
      <c r="D150" s="78">
        <v>1508.3</v>
      </c>
      <c r="E150" s="78">
        <v>2253.3000000000002</v>
      </c>
      <c r="F150" s="78">
        <f t="shared" si="56"/>
        <v>745.00000000000023</v>
      </c>
      <c r="G150" s="78">
        <v>1207.6000000000001</v>
      </c>
      <c r="H150" s="91">
        <f t="shared" si="57"/>
        <v>61.692613448161659</v>
      </c>
      <c r="I150" s="78">
        <v>845.32000000000016</v>
      </c>
      <c r="J150" s="126">
        <f t="shared" si="58"/>
        <v>100.31999999999994</v>
      </c>
      <c r="M150" s="228"/>
      <c r="N150" s="231"/>
      <c r="O150" s="125">
        <v>21</v>
      </c>
      <c r="P150" s="78">
        <v>1508.3</v>
      </c>
      <c r="Q150" s="78">
        <v>2255.4</v>
      </c>
      <c r="R150" s="78">
        <f t="shared" si="51"/>
        <v>2255</v>
      </c>
      <c r="S150" s="78">
        <f t="shared" si="52"/>
        <v>746.7</v>
      </c>
      <c r="T150" s="78">
        <v>1207.6000000000001</v>
      </c>
      <c r="U150" s="91">
        <f t="shared" si="59"/>
        <v>61.833388539251402</v>
      </c>
      <c r="V150" s="78">
        <v>845.32000000000016</v>
      </c>
      <c r="W150" s="126">
        <f t="shared" si="60"/>
        <v>98.620000000000118</v>
      </c>
    </row>
    <row r="151" spans="1:27" x14ac:dyDescent="0.25">
      <c r="A151" s="228"/>
      <c r="B151" s="231"/>
      <c r="C151" s="125">
        <v>22</v>
      </c>
      <c r="D151" s="78">
        <v>1564.3</v>
      </c>
      <c r="E151" s="78">
        <v>2372.9</v>
      </c>
      <c r="F151" s="78">
        <f t="shared" si="56"/>
        <v>808.60000000000014</v>
      </c>
      <c r="G151" s="78">
        <v>1266.1000000000001</v>
      </c>
      <c r="H151" s="91">
        <f t="shared" si="57"/>
        <v>63.865413474449099</v>
      </c>
      <c r="I151" s="78">
        <v>886.2700000000001</v>
      </c>
      <c r="J151" s="126">
        <f t="shared" si="58"/>
        <v>77.669999999999959</v>
      </c>
      <c r="M151" s="228"/>
      <c r="N151" s="231"/>
      <c r="O151" s="125">
        <v>22</v>
      </c>
      <c r="P151" s="78">
        <v>1564.3</v>
      </c>
      <c r="Q151" s="78">
        <v>2367.5</v>
      </c>
      <c r="R151" s="78">
        <f t="shared" si="51"/>
        <v>2367.1</v>
      </c>
      <c r="S151" s="78">
        <f t="shared" si="52"/>
        <v>802.8</v>
      </c>
      <c r="T151" s="78">
        <v>1266.1000000000001</v>
      </c>
      <c r="U151" s="91">
        <f t="shared" si="59"/>
        <v>63.407313798278167</v>
      </c>
      <c r="V151" s="78">
        <v>886.2700000000001</v>
      </c>
      <c r="W151" s="126">
        <f t="shared" si="60"/>
        <v>83.470000000000141</v>
      </c>
    </row>
    <row r="152" spans="1:27" x14ac:dyDescent="0.25">
      <c r="A152" s="228"/>
      <c r="B152" s="231"/>
      <c r="C152" s="125">
        <v>23</v>
      </c>
      <c r="D152" s="78">
        <v>1694.5</v>
      </c>
      <c r="E152" s="78">
        <v>2522.8000000000002</v>
      </c>
      <c r="F152" s="78">
        <f t="shared" si="56"/>
        <v>828.30000000000018</v>
      </c>
      <c r="G152" s="78">
        <v>1351</v>
      </c>
      <c r="H152" s="91">
        <f t="shared" si="57"/>
        <v>61.310140636565521</v>
      </c>
      <c r="I152" s="78">
        <v>945.7</v>
      </c>
      <c r="J152" s="126">
        <f t="shared" si="58"/>
        <v>117.39999999999986</v>
      </c>
      <c r="M152" s="228"/>
      <c r="N152" s="231"/>
      <c r="O152" s="125">
        <v>23</v>
      </c>
      <c r="P152" s="78">
        <v>1694.5</v>
      </c>
      <c r="Q152" s="78">
        <v>2509.3000000000002</v>
      </c>
      <c r="R152" s="78">
        <f t="shared" si="51"/>
        <v>2508.9</v>
      </c>
      <c r="S152" s="78">
        <f t="shared" si="52"/>
        <v>814.40000000000009</v>
      </c>
      <c r="T152" s="78">
        <v>1351</v>
      </c>
      <c r="U152" s="91">
        <f t="shared" si="59"/>
        <v>60.281273131014068</v>
      </c>
      <c r="V152" s="78">
        <v>945.7</v>
      </c>
      <c r="W152" s="126">
        <f t="shared" si="60"/>
        <v>131.29999999999995</v>
      </c>
    </row>
    <row r="153" spans="1:27" x14ac:dyDescent="0.25">
      <c r="A153" s="228"/>
      <c r="B153" s="231"/>
      <c r="C153" s="125">
        <v>24</v>
      </c>
      <c r="D153" s="78">
        <v>1623.4</v>
      </c>
      <c r="E153" s="78">
        <v>2391.1</v>
      </c>
      <c r="F153" s="78">
        <f t="shared" si="56"/>
        <v>767.69999999999982</v>
      </c>
      <c r="G153" s="78">
        <v>1245.0999999999999</v>
      </c>
      <c r="H153" s="91">
        <f t="shared" si="57"/>
        <v>61.657698176853259</v>
      </c>
      <c r="I153" s="78">
        <v>871.57</v>
      </c>
      <c r="J153" s="126">
        <f t="shared" si="58"/>
        <v>103.87000000000023</v>
      </c>
      <c r="M153" s="228"/>
      <c r="N153" s="231"/>
      <c r="O153" s="125">
        <v>24</v>
      </c>
      <c r="P153" s="78">
        <v>1623.4</v>
      </c>
      <c r="Q153" s="78">
        <v>2389.5</v>
      </c>
      <c r="R153" s="78">
        <f t="shared" si="51"/>
        <v>2389.1</v>
      </c>
      <c r="S153" s="78">
        <f t="shared" si="52"/>
        <v>765.69999999999982</v>
      </c>
      <c r="T153" s="78">
        <v>1245.0999999999999</v>
      </c>
      <c r="U153" s="91">
        <f t="shared" si="59"/>
        <v>61.497068508553518</v>
      </c>
      <c r="V153" s="78">
        <v>871.57</v>
      </c>
      <c r="W153" s="126">
        <f t="shared" si="60"/>
        <v>105.87000000000023</v>
      </c>
    </row>
    <row r="154" spans="1:27" x14ac:dyDescent="0.25">
      <c r="A154" s="228"/>
      <c r="B154" s="231"/>
      <c r="C154" s="125">
        <v>25</v>
      </c>
      <c r="D154" s="78">
        <v>1579.9</v>
      </c>
      <c r="E154" s="78">
        <v>2355.1999999999998</v>
      </c>
      <c r="F154" s="78">
        <f t="shared" si="56"/>
        <v>775.29999999999973</v>
      </c>
      <c r="G154" s="78">
        <v>1253.5999999999999</v>
      </c>
      <c r="H154" s="91">
        <f t="shared" si="57"/>
        <v>61.845883854499029</v>
      </c>
      <c r="I154" s="78">
        <v>877.52</v>
      </c>
      <c r="J154" s="126">
        <f t="shared" si="58"/>
        <v>102.22000000000025</v>
      </c>
      <c r="M154" s="228"/>
      <c r="N154" s="231"/>
      <c r="O154" s="125">
        <v>25</v>
      </c>
      <c r="P154" s="78">
        <v>1579.9</v>
      </c>
      <c r="Q154" s="78">
        <v>2368.3000000000002</v>
      </c>
      <c r="R154" s="78">
        <f t="shared" si="51"/>
        <v>2367.9</v>
      </c>
      <c r="S154" s="78">
        <f t="shared" si="52"/>
        <v>788</v>
      </c>
      <c r="T154" s="78">
        <v>1253.5999999999999</v>
      </c>
      <c r="U154" s="91">
        <f t="shared" si="59"/>
        <v>62.858966177409073</v>
      </c>
      <c r="V154" s="78">
        <v>877.52</v>
      </c>
      <c r="W154" s="126">
        <f t="shared" si="60"/>
        <v>89.519999999999982</v>
      </c>
    </row>
    <row r="155" spans="1:27" x14ac:dyDescent="0.25">
      <c r="A155" s="228"/>
      <c r="B155" s="231"/>
      <c r="C155" s="125">
        <v>26</v>
      </c>
      <c r="D155" s="78">
        <v>1507</v>
      </c>
      <c r="E155" s="78">
        <v>2254.1</v>
      </c>
      <c r="F155" s="78">
        <f t="shared" si="56"/>
        <v>747.09999999999991</v>
      </c>
      <c r="G155" s="78">
        <v>1216</v>
      </c>
      <c r="H155" s="91">
        <f t="shared" si="57"/>
        <v>61.439144736842103</v>
      </c>
      <c r="I155" s="78">
        <v>851.2</v>
      </c>
      <c r="J155" s="126">
        <f t="shared" si="58"/>
        <v>104.10000000000014</v>
      </c>
      <c r="M155" s="228"/>
      <c r="N155" s="231"/>
      <c r="O155" s="125">
        <v>26</v>
      </c>
      <c r="P155" s="78">
        <v>1507</v>
      </c>
      <c r="Q155" s="78">
        <v>2261.9</v>
      </c>
      <c r="R155" s="78">
        <f t="shared" si="51"/>
        <v>2261.5</v>
      </c>
      <c r="S155" s="78">
        <f t="shared" si="52"/>
        <v>754.5</v>
      </c>
      <c r="T155" s="78">
        <v>1216</v>
      </c>
      <c r="U155" s="91">
        <f t="shared" si="59"/>
        <v>62.047697368421048</v>
      </c>
      <c r="V155" s="78">
        <v>851.2</v>
      </c>
      <c r="W155" s="126">
        <f t="shared" si="60"/>
        <v>96.700000000000045</v>
      </c>
    </row>
    <row r="156" spans="1:27" x14ac:dyDescent="0.25">
      <c r="A156" s="228"/>
      <c r="B156" s="231"/>
      <c r="C156" s="130">
        <v>27</v>
      </c>
      <c r="D156" s="18">
        <v>1494.6</v>
      </c>
      <c r="E156" s="18"/>
      <c r="F156" s="18">
        <f t="shared" si="56"/>
        <v>-1494.6</v>
      </c>
      <c r="G156" s="18">
        <v>1240.8000000000002</v>
      </c>
      <c r="H156" s="19">
        <f t="shared" si="57"/>
        <v>-120.45454545454544</v>
      </c>
      <c r="I156" s="18">
        <v>868.56000000000017</v>
      </c>
      <c r="J156" s="131">
        <f t="shared" si="58"/>
        <v>2363.16</v>
      </c>
      <c r="M156" s="228"/>
      <c r="N156" s="231"/>
      <c r="O156" s="130">
        <v>27</v>
      </c>
      <c r="P156" s="18">
        <v>1494.6</v>
      </c>
      <c r="Q156" s="18"/>
      <c r="R156" s="18">
        <f t="shared" si="51"/>
        <v>-0.4</v>
      </c>
      <c r="S156" s="18">
        <f t="shared" si="52"/>
        <v>-1495</v>
      </c>
      <c r="T156" s="18">
        <v>1240.8000000000002</v>
      </c>
      <c r="U156" s="19">
        <f t="shared" si="59"/>
        <v>-120.48678272082525</v>
      </c>
      <c r="V156" s="18">
        <v>868.56000000000017</v>
      </c>
      <c r="W156" s="131">
        <f t="shared" si="60"/>
        <v>2363.5600000000004</v>
      </c>
    </row>
    <row r="157" spans="1:27" x14ac:dyDescent="0.25">
      <c r="A157" s="228"/>
      <c r="B157" s="231"/>
      <c r="C157" s="125">
        <v>28</v>
      </c>
      <c r="D157" s="78">
        <v>1433.8</v>
      </c>
      <c r="E157" s="78">
        <v>2088.5</v>
      </c>
      <c r="F157" s="78">
        <f t="shared" si="56"/>
        <v>654.70000000000005</v>
      </c>
      <c r="G157" s="78">
        <v>1108.5000000000002</v>
      </c>
      <c r="H157" s="91">
        <f t="shared" si="57"/>
        <v>59.06179521876409</v>
      </c>
      <c r="I157" s="78">
        <v>775.95000000000016</v>
      </c>
      <c r="J157" s="126">
        <f t="shared" si="58"/>
        <v>121.25000000000011</v>
      </c>
      <c r="M157" s="228"/>
      <c r="N157" s="231"/>
      <c r="O157" s="125">
        <v>28</v>
      </c>
      <c r="P157" s="78">
        <v>1433.8</v>
      </c>
      <c r="Q157" s="78">
        <v>2089.5</v>
      </c>
      <c r="R157" s="78">
        <f t="shared" si="51"/>
        <v>2089.1</v>
      </c>
      <c r="S157" s="78">
        <f t="shared" si="52"/>
        <v>655.29999999999995</v>
      </c>
      <c r="T157" s="78">
        <v>1108.5000000000002</v>
      </c>
      <c r="U157" s="91">
        <f t="shared" si="59"/>
        <v>59.115922417681531</v>
      </c>
      <c r="V157" s="78">
        <v>775.95000000000016</v>
      </c>
      <c r="W157" s="126">
        <f t="shared" si="60"/>
        <v>120.6500000000002</v>
      </c>
    </row>
    <row r="158" spans="1:27" x14ac:dyDescent="0.25">
      <c r="A158" s="228"/>
      <c r="B158" s="231"/>
      <c r="C158" s="130">
        <v>29</v>
      </c>
      <c r="D158" s="18">
        <v>1523.3</v>
      </c>
      <c r="E158" s="18"/>
      <c r="F158" s="18">
        <f t="shared" si="56"/>
        <v>-1523.3</v>
      </c>
      <c r="G158" s="18">
        <v>1345.1000000000001</v>
      </c>
      <c r="H158" s="19">
        <f t="shared" si="57"/>
        <v>-113.24808564419</v>
      </c>
      <c r="I158" s="18">
        <v>941.57000000000016</v>
      </c>
      <c r="J158" s="131">
        <f t="shared" si="58"/>
        <v>2464.87</v>
      </c>
      <c r="M158" s="228"/>
      <c r="N158" s="231"/>
      <c r="O158" s="130">
        <v>29</v>
      </c>
      <c r="P158" s="18">
        <v>1523.3</v>
      </c>
      <c r="Q158" s="18"/>
      <c r="R158" s="18">
        <f t="shared" si="51"/>
        <v>-0.4</v>
      </c>
      <c r="S158" s="18">
        <f t="shared" si="52"/>
        <v>-1523.7</v>
      </c>
      <c r="T158" s="18">
        <v>1345.1000000000001</v>
      </c>
      <c r="U158" s="19">
        <f t="shared" si="59"/>
        <v>-113.27782321017024</v>
      </c>
      <c r="V158" s="18">
        <v>941.57000000000016</v>
      </c>
      <c r="W158" s="131">
        <f t="shared" si="60"/>
        <v>2465.2700000000004</v>
      </c>
    </row>
    <row r="159" spans="1:27" x14ac:dyDescent="0.25">
      <c r="A159" s="228"/>
      <c r="B159" s="231"/>
      <c r="C159" s="125">
        <v>30</v>
      </c>
      <c r="D159" s="78">
        <v>1480.6</v>
      </c>
      <c r="E159" s="78">
        <v>2236.3000000000002</v>
      </c>
      <c r="F159" s="78">
        <f t="shared" si="56"/>
        <v>755.70000000000027</v>
      </c>
      <c r="G159" s="78">
        <v>1212.5999999999999</v>
      </c>
      <c r="H159" s="91">
        <f t="shared" si="57"/>
        <v>62.320633349826849</v>
      </c>
      <c r="I159" s="78">
        <v>848.82</v>
      </c>
      <c r="J159" s="126">
        <f t="shared" si="58"/>
        <v>93.119999999999777</v>
      </c>
      <c r="M159" s="228"/>
      <c r="N159" s="231"/>
      <c r="O159" s="125">
        <v>30</v>
      </c>
      <c r="P159" s="78">
        <v>1480.6</v>
      </c>
      <c r="Q159" s="78">
        <v>2236.3000000000002</v>
      </c>
      <c r="R159" s="78">
        <f t="shared" si="51"/>
        <v>2235.9</v>
      </c>
      <c r="S159" s="78">
        <f t="shared" si="52"/>
        <v>755.30000000000018</v>
      </c>
      <c r="T159" s="78">
        <v>1212.5999999999999</v>
      </c>
      <c r="U159" s="91">
        <f t="shared" si="59"/>
        <v>62.287646379680048</v>
      </c>
      <c r="V159" s="78">
        <v>848.82</v>
      </c>
      <c r="W159" s="126">
        <f t="shared" si="60"/>
        <v>93.519999999999868</v>
      </c>
    </row>
    <row r="160" spans="1:27" x14ac:dyDescent="0.25">
      <c r="A160" s="228"/>
      <c r="B160" s="231"/>
      <c r="C160" s="125">
        <v>31</v>
      </c>
      <c r="D160" s="78">
        <v>1526.6</v>
      </c>
      <c r="E160" s="78">
        <v>2357.1</v>
      </c>
      <c r="F160" s="78">
        <f t="shared" si="56"/>
        <v>830.5</v>
      </c>
      <c r="G160" s="78">
        <v>1252.0999999999999</v>
      </c>
      <c r="H160" s="91">
        <f t="shared" si="57"/>
        <v>66.328568005750341</v>
      </c>
      <c r="I160" s="78">
        <v>876.47</v>
      </c>
      <c r="J160" s="126">
        <f t="shared" si="58"/>
        <v>45.970000000000027</v>
      </c>
      <c r="M160" s="228"/>
      <c r="N160" s="231"/>
      <c r="O160" s="125">
        <v>31</v>
      </c>
      <c r="P160" s="78">
        <v>1526.6</v>
      </c>
      <c r="Q160" s="78">
        <v>2356</v>
      </c>
      <c r="R160" s="78">
        <f t="shared" si="51"/>
        <v>2355.6</v>
      </c>
      <c r="S160" s="78">
        <f t="shared" si="52"/>
        <v>829</v>
      </c>
      <c r="T160" s="78">
        <v>1252.0999999999999</v>
      </c>
      <c r="U160" s="91">
        <f t="shared" si="59"/>
        <v>66.208769267630387</v>
      </c>
      <c r="V160" s="78">
        <v>876.47</v>
      </c>
      <c r="W160" s="126">
        <f t="shared" si="60"/>
        <v>47.470000000000027</v>
      </c>
    </row>
    <row r="161" spans="1:23" x14ac:dyDescent="0.25">
      <c r="A161" s="229"/>
      <c r="B161" s="232"/>
      <c r="C161" s="127">
        <v>32</v>
      </c>
      <c r="D161" s="62">
        <v>1496.7</v>
      </c>
      <c r="E161" s="128">
        <v>2327.6999999999998</v>
      </c>
      <c r="F161" s="128">
        <f t="shared" si="56"/>
        <v>830.99999999999977</v>
      </c>
      <c r="G161" s="128">
        <v>1307.1000000000001</v>
      </c>
      <c r="H161" s="95">
        <f t="shared" si="57"/>
        <v>63.575854946063778</v>
      </c>
      <c r="I161" s="128">
        <v>914.97000000000014</v>
      </c>
      <c r="J161" s="129">
        <f t="shared" si="58"/>
        <v>83.970000000000368</v>
      </c>
      <c r="M161" s="229"/>
      <c r="N161" s="232"/>
      <c r="O161" s="127">
        <v>32</v>
      </c>
      <c r="P161" s="62">
        <v>1496.7</v>
      </c>
      <c r="Q161" s="128">
        <v>2319.9</v>
      </c>
      <c r="R161" s="128">
        <f t="shared" si="51"/>
        <v>2319.5</v>
      </c>
      <c r="S161" s="128">
        <f t="shared" si="52"/>
        <v>822.8</v>
      </c>
      <c r="T161" s="128">
        <v>1307.1000000000001</v>
      </c>
      <c r="U161" s="95">
        <f t="shared" si="59"/>
        <v>62.94851197307014</v>
      </c>
      <c r="V161" s="128">
        <v>914.97000000000014</v>
      </c>
      <c r="W161" s="129">
        <f t="shared" si="60"/>
        <v>92.170000000000186</v>
      </c>
    </row>
  </sheetData>
  <mergeCells count="49">
    <mergeCell ref="Z130:Z145"/>
    <mergeCell ref="Y64:AA64"/>
    <mergeCell ref="Z66:Z81"/>
    <mergeCell ref="Y96:AA96"/>
    <mergeCell ref="Z98:Z113"/>
    <mergeCell ref="Z2:Z17"/>
    <mergeCell ref="Z34:Z49"/>
    <mergeCell ref="Y32:AA32"/>
    <mergeCell ref="M114:M129"/>
    <mergeCell ref="N114:N129"/>
    <mergeCell ref="Y128:AA128"/>
    <mergeCell ref="M130:M145"/>
    <mergeCell ref="N130:N145"/>
    <mergeCell ref="M146:M161"/>
    <mergeCell ref="N146:N161"/>
    <mergeCell ref="M66:M81"/>
    <mergeCell ref="N66:N81"/>
    <mergeCell ref="M82:M97"/>
    <mergeCell ref="N82:N97"/>
    <mergeCell ref="M98:M113"/>
    <mergeCell ref="N98:N113"/>
    <mergeCell ref="A146:A161"/>
    <mergeCell ref="B146:B161"/>
    <mergeCell ref="M2:M17"/>
    <mergeCell ref="N2:N17"/>
    <mergeCell ref="M18:M33"/>
    <mergeCell ref="N18:N33"/>
    <mergeCell ref="M34:M49"/>
    <mergeCell ref="N34:N49"/>
    <mergeCell ref="M50:M65"/>
    <mergeCell ref="N50:N65"/>
    <mergeCell ref="A98:A113"/>
    <mergeCell ref="B98:B113"/>
    <mergeCell ref="A114:A129"/>
    <mergeCell ref="B114:B129"/>
    <mergeCell ref="A130:A145"/>
    <mergeCell ref="B130:B145"/>
    <mergeCell ref="A50:A65"/>
    <mergeCell ref="B50:B65"/>
    <mergeCell ref="A66:A81"/>
    <mergeCell ref="B66:B81"/>
    <mergeCell ref="A82:A97"/>
    <mergeCell ref="B82:B97"/>
    <mergeCell ref="A2:A17"/>
    <mergeCell ref="B2:B17"/>
    <mergeCell ref="A18:A33"/>
    <mergeCell ref="B18:B33"/>
    <mergeCell ref="A34:A49"/>
    <mergeCell ref="B34:B4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80CF-E71C-4715-89F3-7AADE5CD7B5A}">
  <dimension ref="A1:T24"/>
  <sheetViews>
    <sheetView workbookViewId="0">
      <selection activeCell="M18" sqref="M18:N18"/>
    </sheetView>
  </sheetViews>
  <sheetFormatPr defaultRowHeight="15" x14ac:dyDescent="0.25"/>
  <cols>
    <col min="3" max="3" width="12.5703125" bestFit="1" customWidth="1"/>
    <col min="14" max="14" width="12.5703125" bestFit="1" customWidth="1"/>
  </cols>
  <sheetData>
    <row r="1" spans="1:20" x14ac:dyDescent="0.25">
      <c r="A1" s="69" t="s">
        <v>44</v>
      </c>
      <c r="B1" s="69" t="s">
        <v>75</v>
      </c>
      <c r="C1" s="69" t="s">
        <v>76</v>
      </c>
      <c r="D1" s="69" t="s">
        <v>77</v>
      </c>
      <c r="E1" s="69" t="s">
        <v>78</v>
      </c>
      <c r="F1" s="69" t="s">
        <v>79</v>
      </c>
      <c r="H1" s="69" t="s">
        <v>93</v>
      </c>
      <c r="I1" s="70" t="s">
        <v>94</v>
      </c>
      <c r="L1" s="69" t="s">
        <v>44</v>
      </c>
      <c r="M1" s="69" t="s">
        <v>75</v>
      </c>
      <c r="N1" s="69" t="s">
        <v>76</v>
      </c>
      <c r="O1" s="69" t="s">
        <v>77</v>
      </c>
      <c r="P1" s="69" t="s">
        <v>78</v>
      </c>
      <c r="Q1" s="69" t="s">
        <v>79</v>
      </c>
      <c r="S1" s="69" t="s">
        <v>93</v>
      </c>
      <c r="T1" s="70" t="s">
        <v>94</v>
      </c>
    </row>
    <row r="2" spans="1:20" x14ac:dyDescent="0.25">
      <c r="A2" s="71">
        <v>0.42499999999999999</v>
      </c>
      <c r="B2" s="35">
        <v>78</v>
      </c>
      <c r="C2" s="35">
        <v>32</v>
      </c>
      <c r="D2" s="36">
        <f>0.61081*EXP((17.27*C2)/(237.3+C2))</f>
        <v>4.7548532413075932</v>
      </c>
      <c r="E2" s="36">
        <f>B2*D2/100</f>
        <v>3.7087855282199227</v>
      </c>
      <c r="F2" s="37">
        <f>D2-E2</f>
        <v>1.0460677130876705</v>
      </c>
      <c r="H2" s="72" t="s">
        <v>80</v>
      </c>
      <c r="I2" s="73">
        <f>AVERAGE(F2:F6)</f>
        <v>0.69786154261753397</v>
      </c>
      <c r="J2" s="74"/>
      <c r="L2" s="71">
        <v>0.38472222222222224</v>
      </c>
      <c r="M2" s="35">
        <v>77</v>
      </c>
      <c r="N2" s="35">
        <v>32.299999999999997</v>
      </c>
      <c r="O2" s="36">
        <f>0.61081*EXP((17.27*N2)/(237.3+N2))</f>
        <v>4.8360567002314436</v>
      </c>
      <c r="P2" s="36">
        <f>M2*O2/100</f>
        <v>3.7237636591782115</v>
      </c>
      <c r="Q2" s="37">
        <f>O2-P2</f>
        <v>1.1122930410532321</v>
      </c>
      <c r="S2" s="72" t="s">
        <v>80</v>
      </c>
      <c r="T2" s="73">
        <f>AVERAGE(Q2:Q3)</f>
        <v>1.0732980907502156</v>
      </c>
    </row>
    <row r="3" spans="1:20" x14ac:dyDescent="0.25">
      <c r="A3" s="71"/>
      <c r="B3" s="35"/>
      <c r="C3" s="35"/>
      <c r="D3" s="36">
        <f t="shared" ref="D3:D19" si="0">0.61081*EXP((17.27*C3)/(237.3+C3))</f>
        <v>0.61080999999999996</v>
      </c>
      <c r="E3" s="36">
        <f t="shared" ref="E3:E19" si="1">B3*D3/100</f>
        <v>0</v>
      </c>
      <c r="F3" s="37">
        <f t="shared" ref="F3:F19" si="2">D3-E3</f>
        <v>0.61080999999999996</v>
      </c>
      <c r="H3" s="75" t="s">
        <v>81</v>
      </c>
      <c r="I3" s="73">
        <f>AVERAGE(F7:F10)</f>
        <v>0.61080999999999996</v>
      </c>
      <c r="L3" s="71">
        <v>0.3923611111111111</v>
      </c>
      <c r="M3" s="35">
        <v>78</v>
      </c>
      <c r="N3" s="35">
        <v>31.8</v>
      </c>
      <c r="O3" s="36">
        <f t="shared" ref="O3:O19" si="3">0.61081*EXP((17.27*N3)/(237.3+N3))</f>
        <v>4.7013779111236333</v>
      </c>
      <c r="P3" s="36">
        <f t="shared" ref="P3:P19" si="4">M3*O3/100</f>
        <v>3.6670747706764342</v>
      </c>
      <c r="Q3" s="37">
        <f t="shared" ref="Q3:Q19" si="5">O3-P3</f>
        <v>1.0343031404471992</v>
      </c>
      <c r="S3" s="75" t="s">
        <v>81</v>
      </c>
      <c r="T3" s="73">
        <f>AVERAGE(Q7:Q9)</f>
        <v>1.5615581469724649</v>
      </c>
    </row>
    <row r="4" spans="1:20" x14ac:dyDescent="0.25">
      <c r="A4" s="71"/>
      <c r="B4" s="35"/>
      <c r="C4" s="35"/>
      <c r="D4" s="36">
        <f t="shared" si="0"/>
        <v>0.61080999999999996</v>
      </c>
      <c r="E4" s="36">
        <f t="shared" si="1"/>
        <v>0</v>
      </c>
      <c r="F4" s="37">
        <f t="shared" si="2"/>
        <v>0.61080999999999996</v>
      </c>
      <c r="H4" s="76" t="s">
        <v>82</v>
      </c>
      <c r="I4" s="73">
        <f>AVERAGE(F11:F13)</f>
        <v>0.61080999999999996</v>
      </c>
      <c r="L4" s="71"/>
      <c r="M4" s="35"/>
      <c r="N4" s="35"/>
      <c r="O4" s="36">
        <f t="shared" si="3"/>
        <v>0.61080999999999996</v>
      </c>
      <c r="P4" s="36">
        <f t="shared" si="4"/>
        <v>0</v>
      </c>
      <c r="Q4" s="37">
        <f t="shared" si="5"/>
        <v>0.61080999999999996</v>
      </c>
      <c r="S4" s="76" t="s">
        <v>82</v>
      </c>
      <c r="T4" s="73">
        <f>AVERAGE(Q11:Q13)</f>
        <v>1.1125055605160212</v>
      </c>
    </row>
    <row r="5" spans="1:20" x14ac:dyDescent="0.25">
      <c r="A5" s="71"/>
      <c r="B5" s="35"/>
      <c r="C5" s="35"/>
      <c r="D5" s="36">
        <f t="shared" si="0"/>
        <v>0.61080999999999996</v>
      </c>
      <c r="E5" s="36">
        <f t="shared" si="1"/>
        <v>0</v>
      </c>
      <c r="F5" s="37">
        <f t="shared" si="2"/>
        <v>0.61080999999999996</v>
      </c>
      <c r="H5" s="77" t="s">
        <v>83</v>
      </c>
      <c r="I5" s="73">
        <f>AVERAGE(F14:F16)</f>
        <v>1.357756798825779</v>
      </c>
      <c r="L5" s="71"/>
      <c r="M5" s="35"/>
      <c r="N5" s="35"/>
      <c r="O5" s="36">
        <f t="shared" si="3"/>
        <v>0.61080999999999996</v>
      </c>
      <c r="P5" s="36">
        <f t="shared" si="4"/>
        <v>0</v>
      </c>
      <c r="Q5" s="37">
        <f t="shared" si="5"/>
        <v>0.61080999999999996</v>
      </c>
      <c r="S5" s="77" t="s">
        <v>83</v>
      </c>
      <c r="T5" s="73">
        <f>AVERAGE(Q14:Q16)</f>
        <v>1.357756798825779</v>
      </c>
    </row>
    <row r="6" spans="1:20" x14ac:dyDescent="0.25">
      <c r="A6" s="71"/>
      <c r="B6" s="35"/>
      <c r="C6" s="35"/>
      <c r="D6" s="36">
        <f t="shared" si="0"/>
        <v>0.61080999999999996</v>
      </c>
      <c r="E6" s="36">
        <f t="shared" si="1"/>
        <v>0</v>
      </c>
      <c r="F6" s="37">
        <f t="shared" si="2"/>
        <v>0.61080999999999996</v>
      </c>
      <c r="H6" s="78" t="s">
        <v>84</v>
      </c>
      <c r="I6" s="73">
        <f>AVERAGE(F17:F19)</f>
        <v>0.61080999999999996</v>
      </c>
      <c r="L6" s="71"/>
      <c r="M6" s="35"/>
      <c r="N6" s="35"/>
      <c r="O6" s="36">
        <f t="shared" si="3"/>
        <v>0.61080999999999996</v>
      </c>
      <c r="P6" s="36">
        <f t="shared" si="4"/>
        <v>0</v>
      </c>
      <c r="Q6" s="37">
        <f t="shared" si="5"/>
        <v>0.61080999999999996</v>
      </c>
      <c r="S6" s="78" t="s">
        <v>84</v>
      </c>
      <c r="T6" s="73">
        <f>AVERAGE(Q17:Q19)</f>
        <v>1.5419386442515191</v>
      </c>
    </row>
    <row r="7" spans="1:20" x14ac:dyDescent="0.25">
      <c r="A7" s="79"/>
      <c r="B7" s="41"/>
      <c r="C7" s="41"/>
      <c r="D7" s="42">
        <f t="shared" si="0"/>
        <v>0.61080999999999996</v>
      </c>
      <c r="E7" s="42">
        <f t="shared" si="1"/>
        <v>0</v>
      </c>
      <c r="F7" s="43">
        <f t="shared" si="2"/>
        <v>0.61080999999999996</v>
      </c>
      <c r="L7" s="79">
        <v>0.42499999999999999</v>
      </c>
      <c r="M7" s="41">
        <v>68</v>
      </c>
      <c r="N7" s="41">
        <v>31.5</v>
      </c>
      <c r="O7" s="42">
        <f t="shared" si="3"/>
        <v>4.622144575404401</v>
      </c>
      <c r="P7" s="42">
        <f t="shared" si="4"/>
        <v>3.1430583112749928</v>
      </c>
      <c r="Q7" s="43">
        <f t="shared" si="5"/>
        <v>1.4790862641294082</v>
      </c>
    </row>
    <row r="8" spans="1:20" x14ac:dyDescent="0.25">
      <c r="A8" s="79"/>
      <c r="B8" s="41"/>
      <c r="C8" s="41"/>
      <c r="D8" s="42">
        <f t="shared" si="0"/>
        <v>0.61080999999999996</v>
      </c>
      <c r="E8" s="42">
        <f t="shared" si="1"/>
        <v>0</v>
      </c>
      <c r="F8" s="43">
        <f t="shared" si="2"/>
        <v>0.61080999999999996</v>
      </c>
      <c r="H8" s="12"/>
      <c r="L8" s="79">
        <v>0.43055555555555558</v>
      </c>
      <c r="M8" s="41">
        <v>67</v>
      </c>
      <c r="N8" s="41">
        <v>31.7</v>
      </c>
      <c r="O8" s="42">
        <f t="shared" si="3"/>
        <v>4.6748367155366184</v>
      </c>
      <c r="P8" s="42">
        <f t="shared" si="4"/>
        <v>3.1321405994095342</v>
      </c>
      <c r="Q8" s="43">
        <f t="shared" si="5"/>
        <v>1.5426961161270842</v>
      </c>
    </row>
    <row r="9" spans="1:20" x14ac:dyDescent="0.25">
      <c r="A9" s="79"/>
      <c r="B9" s="41"/>
      <c r="C9" s="41"/>
      <c r="D9" s="42">
        <f t="shared" si="0"/>
        <v>0.61080999999999996</v>
      </c>
      <c r="E9" s="42">
        <f t="shared" si="1"/>
        <v>0</v>
      </c>
      <c r="F9" s="43">
        <f t="shared" si="2"/>
        <v>0.61080999999999996</v>
      </c>
      <c r="H9" s="12"/>
      <c r="L9" s="79">
        <v>0.44097222222222221</v>
      </c>
      <c r="M9" s="41">
        <v>66</v>
      </c>
      <c r="N9" s="41">
        <v>32.5</v>
      </c>
      <c r="O9" s="42">
        <f t="shared" si="3"/>
        <v>4.8908590019438289</v>
      </c>
      <c r="P9" s="42">
        <f t="shared" si="4"/>
        <v>3.227966941282927</v>
      </c>
      <c r="Q9" s="43">
        <f t="shared" si="5"/>
        <v>1.6628920606609019</v>
      </c>
    </row>
    <row r="10" spans="1:20" x14ac:dyDescent="0.25">
      <c r="A10" s="79"/>
      <c r="B10" s="41"/>
      <c r="C10" s="41"/>
      <c r="D10" s="42">
        <f t="shared" si="0"/>
        <v>0.61080999999999996</v>
      </c>
      <c r="E10" s="42">
        <f t="shared" si="1"/>
        <v>0</v>
      </c>
      <c r="F10" s="43">
        <f t="shared" si="2"/>
        <v>0.61080999999999996</v>
      </c>
      <c r="H10" s="12"/>
      <c r="L10" s="79"/>
      <c r="M10" s="41"/>
      <c r="N10" s="41"/>
      <c r="O10" s="42">
        <f t="shared" si="3"/>
        <v>0.61080999999999996</v>
      </c>
      <c r="P10" s="42">
        <f t="shared" si="4"/>
        <v>0</v>
      </c>
      <c r="Q10" s="43">
        <f t="shared" si="5"/>
        <v>0.61080999999999996</v>
      </c>
    </row>
    <row r="11" spans="1:20" x14ac:dyDescent="0.25">
      <c r="A11" s="80"/>
      <c r="B11" s="45"/>
      <c r="C11" s="45"/>
      <c r="D11" s="46">
        <f t="shared" si="0"/>
        <v>0.61080999999999996</v>
      </c>
      <c r="E11" s="46">
        <f t="shared" si="1"/>
        <v>0</v>
      </c>
      <c r="F11" s="47">
        <f t="shared" si="2"/>
        <v>0.61080999999999996</v>
      </c>
      <c r="H11" s="12"/>
      <c r="L11" s="80"/>
      <c r="M11" s="45">
        <v>56</v>
      </c>
      <c r="N11" s="45">
        <v>32.200000000000003</v>
      </c>
      <c r="O11" s="46">
        <f t="shared" si="3"/>
        <v>4.8088560944274183</v>
      </c>
      <c r="P11" s="46">
        <f t="shared" si="4"/>
        <v>2.6929594128793544</v>
      </c>
      <c r="Q11" s="47">
        <f t="shared" si="5"/>
        <v>2.115896681548064</v>
      </c>
    </row>
    <row r="12" spans="1:20" x14ac:dyDescent="0.25">
      <c r="A12" s="80"/>
      <c r="B12" s="45"/>
      <c r="C12" s="45"/>
      <c r="D12" s="46">
        <f t="shared" si="0"/>
        <v>0.61080999999999996</v>
      </c>
      <c r="E12" s="46">
        <f t="shared" si="1"/>
        <v>0</v>
      </c>
      <c r="F12" s="47">
        <f t="shared" si="2"/>
        <v>0.61080999999999996</v>
      </c>
      <c r="H12" s="12"/>
      <c r="L12" s="80"/>
      <c r="M12" s="45"/>
      <c r="N12" s="45"/>
      <c r="O12" s="46">
        <f t="shared" si="3"/>
        <v>0.61080999999999996</v>
      </c>
      <c r="P12" s="46">
        <f t="shared" si="4"/>
        <v>0</v>
      </c>
      <c r="Q12" s="47">
        <f t="shared" si="5"/>
        <v>0.61080999999999996</v>
      </c>
    </row>
    <row r="13" spans="1:20" x14ac:dyDescent="0.25">
      <c r="A13" s="80"/>
      <c r="B13" s="45"/>
      <c r="C13" s="45"/>
      <c r="D13" s="46">
        <f t="shared" si="0"/>
        <v>0.61080999999999996</v>
      </c>
      <c r="E13" s="46">
        <f t="shared" si="1"/>
        <v>0</v>
      </c>
      <c r="F13" s="47">
        <f t="shared" si="2"/>
        <v>0.61080999999999996</v>
      </c>
      <c r="H13" s="12"/>
      <c r="L13" s="80"/>
      <c r="M13" s="45"/>
      <c r="N13" s="45"/>
      <c r="O13" s="46">
        <f t="shared" si="3"/>
        <v>0.61080999999999996</v>
      </c>
      <c r="P13" s="46">
        <f t="shared" si="4"/>
        <v>0</v>
      </c>
      <c r="Q13" s="47">
        <f t="shared" si="5"/>
        <v>0.61080999999999996</v>
      </c>
    </row>
    <row r="14" spans="1:20" x14ac:dyDescent="0.25">
      <c r="A14" s="81"/>
      <c r="B14" s="49">
        <v>39</v>
      </c>
      <c r="C14" s="49">
        <v>31.7</v>
      </c>
      <c r="D14" s="50">
        <f t="shared" si="0"/>
        <v>4.6748367155366184</v>
      </c>
      <c r="E14" s="50">
        <f t="shared" si="1"/>
        <v>1.8231863190592812</v>
      </c>
      <c r="F14" s="51">
        <f t="shared" si="2"/>
        <v>2.8516503964773374</v>
      </c>
      <c r="H14" s="12"/>
      <c r="L14" s="81"/>
      <c r="M14" s="49">
        <v>39</v>
      </c>
      <c r="N14" s="49">
        <v>31.7</v>
      </c>
      <c r="O14" s="50">
        <f t="shared" si="3"/>
        <v>4.6748367155366184</v>
      </c>
      <c r="P14" s="50">
        <f t="shared" si="4"/>
        <v>1.8231863190592812</v>
      </c>
      <c r="Q14" s="51">
        <f t="shared" si="5"/>
        <v>2.8516503964773374</v>
      </c>
    </row>
    <row r="15" spans="1:20" x14ac:dyDescent="0.25">
      <c r="A15" s="81"/>
      <c r="B15" s="49"/>
      <c r="C15" s="49"/>
      <c r="D15" s="50">
        <f t="shared" si="0"/>
        <v>0.61080999999999996</v>
      </c>
      <c r="E15" s="50">
        <f t="shared" si="1"/>
        <v>0</v>
      </c>
      <c r="F15" s="51">
        <f t="shared" si="2"/>
        <v>0.61080999999999996</v>
      </c>
      <c r="H15" s="12"/>
      <c r="L15" s="81"/>
      <c r="M15" s="49"/>
      <c r="N15" s="49"/>
      <c r="O15" s="50">
        <f t="shared" si="3"/>
        <v>0.61080999999999996</v>
      </c>
      <c r="P15" s="50">
        <f t="shared" si="4"/>
        <v>0</v>
      </c>
      <c r="Q15" s="51">
        <f t="shared" si="5"/>
        <v>0.61080999999999996</v>
      </c>
    </row>
    <row r="16" spans="1:20" x14ac:dyDescent="0.25">
      <c r="A16" s="81"/>
      <c r="B16" s="49"/>
      <c r="C16" s="49"/>
      <c r="D16" s="50">
        <f t="shared" si="0"/>
        <v>0.61080999999999996</v>
      </c>
      <c r="E16" s="50">
        <f t="shared" si="1"/>
        <v>0</v>
      </c>
      <c r="F16" s="51">
        <f t="shared" si="2"/>
        <v>0.61080999999999996</v>
      </c>
      <c r="H16" s="12"/>
      <c r="L16" s="81"/>
      <c r="M16" s="49"/>
      <c r="N16" s="49"/>
      <c r="O16" s="50">
        <f t="shared" si="3"/>
        <v>0.61080999999999996</v>
      </c>
      <c r="P16" s="50">
        <f t="shared" si="4"/>
        <v>0</v>
      </c>
      <c r="Q16" s="51">
        <f t="shared" si="5"/>
        <v>0.61080999999999996</v>
      </c>
    </row>
    <row r="17" spans="1:17" x14ac:dyDescent="0.25">
      <c r="A17" s="82"/>
      <c r="B17" s="53"/>
      <c r="C17" s="53"/>
      <c r="D17" s="54">
        <f t="shared" si="0"/>
        <v>0.61080999999999996</v>
      </c>
      <c r="E17" s="54">
        <f t="shared" si="1"/>
        <v>0</v>
      </c>
      <c r="F17" s="55">
        <f t="shared" si="2"/>
        <v>0.61080999999999996</v>
      </c>
      <c r="H17" s="12"/>
      <c r="L17" s="82"/>
      <c r="M17" s="53">
        <v>28</v>
      </c>
      <c r="N17" s="53">
        <v>31.9</v>
      </c>
      <c r="O17" s="54">
        <f t="shared" si="3"/>
        <v>4.7280499066035517</v>
      </c>
      <c r="P17" s="54">
        <f t="shared" si="4"/>
        <v>1.3238539738489945</v>
      </c>
      <c r="Q17" s="55">
        <f t="shared" si="5"/>
        <v>3.4041959327545572</v>
      </c>
    </row>
    <row r="18" spans="1:17" x14ac:dyDescent="0.25">
      <c r="A18" s="82"/>
      <c r="B18" s="53"/>
      <c r="C18" s="53"/>
      <c r="D18" s="54">
        <f t="shared" si="0"/>
        <v>0.61080999999999996</v>
      </c>
      <c r="E18" s="54">
        <f t="shared" si="1"/>
        <v>0</v>
      </c>
      <c r="F18" s="55">
        <f t="shared" si="2"/>
        <v>0.61080999999999996</v>
      </c>
      <c r="H18" s="12"/>
      <c r="L18" s="82"/>
      <c r="M18" s="53"/>
      <c r="N18" s="53"/>
      <c r="O18" s="54">
        <f t="shared" si="3"/>
        <v>0.61080999999999996</v>
      </c>
      <c r="P18" s="54">
        <f t="shared" si="4"/>
        <v>0</v>
      </c>
      <c r="Q18" s="55">
        <f t="shared" si="5"/>
        <v>0.61080999999999996</v>
      </c>
    </row>
    <row r="19" spans="1:17" x14ac:dyDescent="0.25">
      <c r="A19" s="82"/>
      <c r="B19" s="53"/>
      <c r="C19" s="53"/>
      <c r="D19" s="54">
        <f t="shared" si="0"/>
        <v>0.61080999999999996</v>
      </c>
      <c r="E19" s="54">
        <f t="shared" si="1"/>
        <v>0</v>
      </c>
      <c r="F19" s="55">
        <f t="shared" si="2"/>
        <v>0.61080999999999996</v>
      </c>
      <c r="H19" s="12"/>
      <c r="L19" s="82"/>
      <c r="M19" s="53"/>
      <c r="N19" s="53"/>
      <c r="O19" s="54">
        <f t="shared" si="3"/>
        <v>0.61080999999999996</v>
      </c>
      <c r="P19" s="54">
        <f t="shared" si="4"/>
        <v>0</v>
      </c>
      <c r="Q19" s="55">
        <f t="shared" si="5"/>
        <v>0.61080999999999996</v>
      </c>
    </row>
    <row r="20" spans="1:17" x14ac:dyDescent="0.25">
      <c r="A20" s="243" t="s">
        <v>95</v>
      </c>
      <c r="B20" s="243"/>
      <c r="C20" s="243"/>
      <c r="D20" s="243"/>
      <c r="E20" s="243"/>
      <c r="F20" s="243"/>
      <c r="H20" s="12"/>
      <c r="L20" s="244" t="s">
        <v>117</v>
      </c>
      <c r="M20" s="245"/>
      <c r="N20" s="245"/>
      <c r="O20" s="245"/>
      <c r="P20" s="245"/>
      <c r="Q20" s="246"/>
    </row>
    <row r="21" spans="1:17" x14ac:dyDescent="0.25">
      <c r="H21" s="12"/>
    </row>
    <row r="22" spans="1:17" x14ac:dyDescent="0.25">
      <c r="H22" s="12"/>
    </row>
    <row r="23" spans="1:17" x14ac:dyDescent="0.25">
      <c r="H23" s="12"/>
    </row>
    <row r="24" spans="1:17" x14ac:dyDescent="0.25">
      <c r="H24" s="12"/>
    </row>
  </sheetData>
  <mergeCells count="2">
    <mergeCell ref="A20:F20"/>
    <mergeCell ref="L20:Q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8729-D9A9-411A-AC88-FDBBB252EE05}">
  <dimension ref="A1:BA204"/>
  <sheetViews>
    <sheetView topLeftCell="A7" workbookViewId="0">
      <selection activeCell="A18" sqref="A18:D23"/>
    </sheetView>
  </sheetViews>
  <sheetFormatPr defaultRowHeight="15" x14ac:dyDescent="0.25"/>
  <cols>
    <col min="1" max="1" width="11.28515625" bestFit="1" customWidth="1"/>
    <col min="5" max="5" width="17.5703125" bestFit="1" customWidth="1"/>
    <col min="93" max="93" width="10.5703125" bestFit="1" customWidth="1"/>
  </cols>
  <sheetData>
    <row r="1" spans="1:53" x14ac:dyDescent="0.25">
      <c r="F1" s="248" t="s">
        <v>76</v>
      </c>
      <c r="G1" s="248"/>
      <c r="H1" s="248"/>
      <c r="I1" s="248"/>
      <c r="J1" s="248"/>
      <c r="K1" s="248"/>
      <c r="L1" s="248"/>
      <c r="M1" s="248"/>
      <c r="N1" s="248"/>
      <c r="O1" s="248"/>
      <c r="P1" s="248"/>
      <c r="Q1" s="248"/>
      <c r="R1" s="248"/>
      <c r="S1" s="248"/>
      <c r="T1" s="248"/>
      <c r="U1" s="248"/>
      <c r="V1" s="248"/>
      <c r="W1" s="248"/>
      <c r="X1" s="248"/>
      <c r="Y1" s="248"/>
      <c r="Z1" s="248"/>
      <c r="AA1" s="248"/>
      <c r="AB1" s="248"/>
      <c r="AE1" s="249" t="s">
        <v>124</v>
      </c>
      <c r="AF1" s="250"/>
      <c r="AG1" s="250"/>
      <c r="AH1" s="250"/>
      <c r="AI1" s="250"/>
      <c r="AJ1" s="250"/>
      <c r="AK1" s="250"/>
      <c r="AL1" s="250"/>
      <c r="AM1" s="250"/>
      <c r="AN1" s="250"/>
      <c r="AO1" s="250"/>
      <c r="AP1" s="250"/>
      <c r="AQ1" s="250"/>
      <c r="AR1" s="250"/>
      <c r="AS1" s="250"/>
      <c r="AT1" s="250"/>
      <c r="AU1" s="250"/>
      <c r="AV1" s="250"/>
      <c r="AW1" s="250"/>
      <c r="AX1" s="250"/>
      <c r="AY1" s="250"/>
      <c r="AZ1" s="250"/>
      <c r="BA1" s="250"/>
    </row>
    <row r="2" spans="1:53" x14ac:dyDescent="0.25">
      <c r="A2" s="251" t="s">
        <v>134</v>
      </c>
      <c r="B2" s="251"/>
      <c r="C2" s="251"/>
      <c r="D2" s="251"/>
      <c r="F2" s="10" t="s">
        <v>125</v>
      </c>
      <c r="G2" s="10" t="s">
        <v>125</v>
      </c>
      <c r="H2" s="10" t="s">
        <v>125</v>
      </c>
      <c r="J2" s="10" t="s">
        <v>84</v>
      </c>
      <c r="K2" s="10" t="s">
        <v>84</v>
      </c>
      <c r="L2" s="10" t="s">
        <v>84</v>
      </c>
      <c r="N2" s="10" t="s">
        <v>83</v>
      </c>
      <c r="O2" s="10" t="s">
        <v>83</v>
      </c>
      <c r="P2" s="10" t="s">
        <v>83</v>
      </c>
      <c r="R2" s="10" t="s">
        <v>82</v>
      </c>
      <c r="S2" s="10" t="s">
        <v>82</v>
      </c>
      <c r="T2" s="10" t="s">
        <v>82</v>
      </c>
      <c r="V2" s="10" t="s">
        <v>81</v>
      </c>
      <c r="W2" s="10" t="s">
        <v>81</v>
      </c>
      <c r="X2" s="10" t="s">
        <v>81</v>
      </c>
      <c r="Z2" s="10" t="s">
        <v>80</v>
      </c>
      <c r="AA2" s="10" t="s">
        <v>80</v>
      </c>
      <c r="AB2" s="10" t="s">
        <v>80</v>
      </c>
      <c r="AE2" s="10" t="s">
        <v>125</v>
      </c>
      <c r="AF2" s="10" t="s">
        <v>125</v>
      </c>
      <c r="AG2" s="10" t="s">
        <v>125</v>
      </c>
      <c r="AI2" s="10" t="s">
        <v>84</v>
      </c>
      <c r="AJ2" s="10" t="s">
        <v>84</v>
      </c>
      <c r="AK2" s="10" t="s">
        <v>84</v>
      </c>
      <c r="AM2" s="10" t="s">
        <v>83</v>
      </c>
      <c r="AN2" s="10" t="s">
        <v>83</v>
      </c>
      <c r="AO2" s="10" t="s">
        <v>83</v>
      </c>
      <c r="AQ2" s="10" t="s">
        <v>82</v>
      </c>
      <c r="AR2" s="10" t="s">
        <v>82</v>
      </c>
      <c r="AS2" s="10" t="s">
        <v>82</v>
      </c>
      <c r="AU2" s="10" t="s">
        <v>81</v>
      </c>
      <c r="AV2" s="10" t="s">
        <v>81</v>
      </c>
      <c r="AW2" s="10" t="s">
        <v>81</v>
      </c>
      <c r="AY2" s="10" t="s">
        <v>80</v>
      </c>
      <c r="AZ2" s="10" t="s">
        <v>80</v>
      </c>
      <c r="BA2" s="10" t="s">
        <v>80</v>
      </c>
    </row>
    <row r="3" spans="1:53" x14ac:dyDescent="0.25">
      <c r="A3" s="137" t="s">
        <v>74</v>
      </c>
      <c r="B3" s="31" t="s">
        <v>75</v>
      </c>
      <c r="C3" s="138" t="s">
        <v>126</v>
      </c>
      <c r="D3" s="31" t="s">
        <v>79</v>
      </c>
      <c r="J3">
        <v>326</v>
      </c>
      <c r="K3">
        <f>J3/10</f>
        <v>32.6</v>
      </c>
      <c r="L3" s="73">
        <f>AVERAGE(K3:K104)</f>
        <v>32.042156862745117</v>
      </c>
      <c r="N3">
        <v>315</v>
      </c>
      <c r="O3">
        <f>N3/10</f>
        <v>31.5</v>
      </c>
      <c r="P3" s="73">
        <f>AVERAGE(O3:O202)</f>
        <v>31.986999999999995</v>
      </c>
      <c r="R3">
        <v>321</v>
      </c>
      <c r="S3">
        <f>R3/10</f>
        <v>32.1</v>
      </c>
      <c r="T3" s="73">
        <f>AVERAGE(S3:S109)</f>
        <v>31.860747663551397</v>
      </c>
      <c r="V3">
        <v>322</v>
      </c>
      <c r="W3">
        <f>V3/10</f>
        <v>32.200000000000003</v>
      </c>
      <c r="X3" s="73">
        <f>AVERAGE(W55:W153)</f>
        <v>31.95353535353534</v>
      </c>
      <c r="Z3" s="147">
        <v>319</v>
      </c>
      <c r="AA3">
        <f>Z3/10</f>
        <v>31.9</v>
      </c>
      <c r="AB3" s="73">
        <f>AVERAGE(AA3:AA74)</f>
        <v>31.883333333333319</v>
      </c>
      <c r="AI3">
        <v>32</v>
      </c>
      <c r="AJ3" s="73">
        <f>AVERAGE(AI3:AI106)</f>
        <v>29.817307692307693</v>
      </c>
      <c r="AM3">
        <v>55</v>
      </c>
      <c r="AN3" s="73">
        <f>AVERAGE(AM3:AM204)</f>
        <v>43.940594059405939</v>
      </c>
      <c r="AQ3">
        <v>58</v>
      </c>
      <c r="AR3" s="73">
        <f>AVERAGE(AQ32:AQ106)</f>
        <v>56.773333333333333</v>
      </c>
      <c r="AU3">
        <v>77</v>
      </c>
      <c r="AV3" s="73">
        <f>AVERAGE(AU3:AU156)</f>
        <v>68.733766233766232</v>
      </c>
      <c r="AY3">
        <v>78</v>
      </c>
      <c r="AZ3" s="73">
        <f>AVERAGE(AY3:AY74)</f>
        <v>78.013888888888886</v>
      </c>
    </row>
    <row r="4" spans="1:53" x14ac:dyDescent="0.25">
      <c r="A4" s="139" t="s">
        <v>80</v>
      </c>
      <c r="B4" s="140">
        <v>78.010000000000005</v>
      </c>
      <c r="C4" s="141">
        <v>31.88</v>
      </c>
      <c r="D4" s="149">
        <v>1</v>
      </c>
      <c r="J4">
        <v>326</v>
      </c>
      <c r="K4">
        <f t="shared" ref="K4:K67" si="0">J4/10</f>
        <v>32.6</v>
      </c>
      <c r="N4">
        <v>316</v>
      </c>
      <c r="O4">
        <f t="shared" ref="O4:O67" si="1">N4/10</f>
        <v>31.6</v>
      </c>
      <c r="R4">
        <v>320</v>
      </c>
      <c r="S4">
        <f t="shared" ref="S4:S67" si="2">R4/10</f>
        <v>32</v>
      </c>
      <c r="V4">
        <v>321</v>
      </c>
      <c r="W4">
        <f t="shared" ref="W4:W67" si="3">V4/10</f>
        <v>32.1</v>
      </c>
      <c r="Z4" s="147">
        <v>319</v>
      </c>
      <c r="AA4">
        <f t="shared" ref="AA4:AA67" si="4">Z4/10</f>
        <v>31.9</v>
      </c>
      <c r="AI4">
        <v>32</v>
      </c>
      <c r="AM4">
        <v>55</v>
      </c>
      <c r="AQ4">
        <v>56</v>
      </c>
      <c r="AU4">
        <v>75</v>
      </c>
      <c r="AY4">
        <v>78</v>
      </c>
    </row>
    <row r="5" spans="1:53" x14ac:dyDescent="0.25">
      <c r="A5" s="142" t="s">
        <v>81</v>
      </c>
      <c r="B5" s="143">
        <v>68.73</v>
      </c>
      <c r="C5" s="141">
        <v>31.95</v>
      </c>
      <c r="D5" s="142">
        <v>1.5</v>
      </c>
      <c r="J5">
        <v>327</v>
      </c>
      <c r="K5">
        <f t="shared" si="0"/>
        <v>32.700000000000003</v>
      </c>
      <c r="N5">
        <v>317</v>
      </c>
      <c r="O5">
        <f t="shared" si="1"/>
        <v>31.7</v>
      </c>
      <c r="R5">
        <v>319</v>
      </c>
      <c r="S5">
        <f t="shared" si="2"/>
        <v>31.9</v>
      </c>
      <c r="V5">
        <v>321</v>
      </c>
      <c r="W5">
        <f t="shared" si="3"/>
        <v>32.1</v>
      </c>
      <c r="Z5" s="147">
        <v>319</v>
      </c>
      <c r="AA5">
        <f t="shared" si="4"/>
        <v>31.9</v>
      </c>
      <c r="AI5">
        <v>32</v>
      </c>
      <c r="AM5">
        <v>54</v>
      </c>
      <c r="AQ5">
        <v>55</v>
      </c>
      <c r="AU5">
        <v>70</v>
      </c>
      <c r="AY5">
        <v>78</v>
      </c>
    </row>
    <row r="6" spans="1:53" x14ac:dyDescent="0.25">
      <c r="A6" s="142" t="s">
        <v>82</v>
      </c>
      <c r="B6" s="143">
        <v>56.77</v>
      </c>
      <c r="C6" s="141">
        <v>31.86</v>
      </c>
      <c r="D6" s="150">
        <v>2</v>
      </c>
      <c r="J6">
        <v>326</v>
      </c>
      <c r="K6">
        <f t="shared" si="0"/>
        <v>32.6</v>
      </c>
      <c r="N6">
        <v>319</v>
      </c>
      <c r="O6">
        <f t="shared" si="1"/>
        <v>31.9</v>
      </c>
      <c r="R6">
        <v>318</v>
      </c>
      <c r="S6">
        <f t="shared" si="2"/>
        <v>31.8</v>
      </c>
      <c r="V6">
        <v>320</v>
      </c>
      <c r="W6">
        <f t="shared" si="3"/>
        <v>32</v>
      </c>
      <c r="Z6" s="147">
        <v>318</v>
      </c>
      <c r="AA6">
        <f t="shared" si="4"/>
        <v>31.8</v>
      </c>
      <c r="AI6">
        <v>32</v>
      </c>
      <c r="AM6">
        <v>54</v>
      </c>
      <c r="AQ6">
        <v>54</v>
      </c>
      <c r="AU6">
        <v>67</v>
      </c>
      <c r="AY6">
        <v>78</v>
      </c>
    </row>
    <row r="7" spans="1:53" x14ac:dyDescent="0.25">
      <c r="A7" s="142" t="s">
        <v>83</v>
      </c>
      <c r="B7" s="143">
        <v>43.94</v>
      </c>
      <c r="C7" s="141">
        <v>31.99</v>
      </c>
      <c r="D7" s="142">
        <v>2.7</v>
      </c>
      <c r="J7">
        <v>326</v>
      </c>
      <c r="K7">
        <f t="shared" si="0"/>
        <v>32.6</v>
      </c>
      <c r="N7">
        <v>320</v>
      </c>
      <c r="O7">
        <f t="shared" si="1"/>
        <v>32</v>
      </c>
      <c r="R7">
        <v>317</v>
      </c>
      <c r="S7">
        <f t="shared" si="2"/>
        <v>31.7</v>
      </c>
      <c r="V7">
        <v>319</v>
      </c>
      <c r="W7">
        <f t="shared" si="3"/>
        <v>31.9</v>
      </c>
      <c r="Z7" s="147">
        <v>318</v>
      </c>
      <c r="AA7">
        <f t="shared" si="4"/>
        <v>31.8</v>
      </c>
      <c r="AI7">
        <v>32</v>
      </c>
      <c r="AM7">
        <v>54</v>
      </c>
      <c r="AQ7">
        <v>53</v>
      </c>
      <c r="AU7">
        <v>65</v>
      </c>
      <c r="AY7">
        <v>78</v>
      </c>
    </row>
    <row r="8" spans="1:53" x14ac:dyDescent="0.25">
      <c r="A8" s="142" t="s">
        <v>84</v>
      </c>
      <c r="B8" s="143">
        <v>29.82</v>
      </c>
      <c r="C8" s="141">
        <v>32.04</v>
      </c>
      <c r="D8" s="142">
        <v>3.3</v>
      </c>
      <c r="J8">
        <v>326</v>
      </c>
      <c r="K8">
        <f t="shared" si="0"/>
        <v>32.6</v>
      </c>
      <c r="N8">
        <v>322</v>
      </c>
      <c r="O8">
        <f t="shared" si="1"/>
        <v>32.200000000000003</v>
      </c>
      <c r="R8">
        <v>315</v>
      </c>
      <c r="S8">
        <f t="shared" si="2"/>
        <v>31.5</v>
      </c>
      <c r="V8">
        <v>318</v>
      </c>
      <c r="W8">
        <f t="shared" si="3"/>
        <v>31.8</v>
      </c>
      <c r="Z8" s="147">
        <v>318</v>
      </c>
      <c r="AA8">
        <f t="shared" si="4"/>
        <v>31.8</v>
      </c>
      <c r="AI8">
        <v>32</v>
      </c>
      <c r="AM8">
        <v>54</v>
      </c>
      <c r="AQ8">
        <v>54</v>
      </c>
      <c r="AU8">
        <v>64</v>
      </c>
      <c r="AY8">
        <v>78</v>
      </c>
    </row>
    <row r="9" spans="1:53" x14ac:dyDescent="0.25">
      <c r="A9" s="148"/>
      <c r="B9" s="148"/>
      <c r="C9" s="148"/>
      <c r="D9" s="148"/>
      <c r="J9">
        <v>326</v>
      </c>
      <c r="K9">
        <f t="shared" si="0"/>
        <v>32.6</v>
      </c>
      <c r="N9">
        <v>323</v>
      </c>
      <c r="O9">
        <f t="shared" si="1"/>
        <v>32.299999999999997</v>
      </c>
      <c r="R9">
        <v>314</v>
      </c>
      <c r="S9">
        <f t="shared" si="2"/>
        <v>31.4</v>
      </c>
      <c r="V9">
        <v>317</v>
      </c>
      <c r="W9">
        <f t="shared" si="3"/>
        <v>31.7</v>
      </c>
      <c r="Z9" s="147">
        <v>318</v>
      </c>
      <c r="AA9">
        <f t="shared" si="4"/>
        <v>31.8</v>
      </c>
      <c r="AI9">
        <v>32</v>
      </c>
      <c r="AM9">
        <v>54</v>
      </c>
      <c r="AQ9">
        <v>54</v>
      </c>
      <c r="AU9">
        <v>63</v>
      </c>
      <c r="AY9">
        <v>78</v>
      </c>
    </row>
    <row r="10" spans="1:53" x14ac:dyDescent="0.25">
      <c r="A10" s="247" t="s">
        <v>266</v>
      </c>
      <c r="B10" s="247"/>
      <c r="C10" s="247"/>
      <c r="D10" s="247"/>
      <c r="J10">
        <v>325</v>
      </c>
      <c r="K10">
        <f t="shared" si="0"/>
        <v>32.5</v>
      </c>
      <c r="N10">
        <v>324</v>
      </c>
      <c r="O10">
        <f t="shared" si="1"/>
        <v>32.4</v>
      </c>
      <c r="R10">
        <v>313</v>
      </c>
      <c r="S10">
        <f t="shared" si="2"/>
        <v>31.3</v>
      </c>
      <c r="V10">
        <v>316</v>
      </c>
      <c r="W10">
        <f t="shared" si="3"/>
        <v>31.6</v>
      </c>
      <c r="Z10" s="147">
        <v>318</v>
      </c>
      <c r="AA10">
        <f t="shared" si="4"/>
        <v>31.8</v>
      </c>
      <c r="AI10">
        <v>32</v>
      </c>
      <c r="AM10">
        <v>53</v>
      </c>
      <c r="AQ10">
        <v>54</v>
      </c>
      <c r="AU10">
        <v>62</v>
      </c>
      <c r="AY10">
        <v>78</v>
      </c>
    </row>
    <row r="11" spans="1:53" x14ac:dyDescent="0.25">
      <c r="A11" s="31" t="s">
        <v>223</v>
      </c>
      <c r="B11" s="31" t="s">
        <v>220</v>
      </c>
      <c r="C11" s="31" t="s">
        <v>221</v>
      </c>
      <c r="D11" s="137" t="s">
        <v>222</v>
      </c>
      <c r="E11" s="180" t="s">
        <v>224</v>
      </c>
      <c r="J11">
        <v>325</v>
      </c>
      <c r="K11">
        <f t="shared" si="0"/>
        <v>32.5</v>
      </c>
      <c r="N11">
        <v>326</v>
      </c>
      <c r="O11">
        <f t="shared" si="1"/>
        <v>32.6</v>
      </c>
      <c r="R11">
        <v>312</v>
      </c>
      <c r="S11">
        <f t="shared" si="2"/>
        <v>31.2</v>
      </c>
      <c r="V11">
        <v>314</v>
      </c>
      <c r="W11">
        <f t="shared" si="3"/>
        <v>31.4</v>
      </c>
      <c r="Z11" s="147">
        <v>317</v>
      </c>
      <c r="AA11">
        <f t="shared" si="4"/>
        <v>31.7</v>
      </c>
      <c r="AI11">
        <v>32</v>
      </c>
      <c r="AM11">
        <v>53</v>
      </c>
      <c r="AQ11">
        <v>54</v>
      </c>
      <c r="AU11">
        <v>63</v>
      </c>
      <c r="AY11">
        <v>78</v>
      </c>
    </row>
    <row r="12" spans="1:53" x14ac:dyDescent="0.25">
      <c r="A12" s="142" t="s">
        <v>80</v>
      </c>
      <c r="B12" s="178">
        <v>0.4465277777777778</v>
      </c>
      <c r="C12" s="178">
        <v>0.47083333333333333</v>
      </c>
      <c r="D12" s="142">
        <v>35</v>
      </c>
      <c r="J12">
        <v>325</v>
      </c>
      <c r="K12">
        <f t="shared" si="0"/>
        <v>32.5</v>
      </c>
      <c r="N12">
        <v>327</v>
      </c>
      <c r="O12">
        <f t="shared" si="1"/>
        <v>32.700000000000003</v>
      </c>
      <c r="R12">
        <v>311</v>
      </c>
      <c r="S12">
        <f t="shared" si="2"/>
        <v>31.1</v>
      </c>
      <c r="V12">
        <v>313</v>
      </c>
      <c r="W12">
        <f t="shared" si="3"/>
        <v>31.3</v>
      </c>
      <c r="Z12" s="147">
        <v>317</v>
      </c>
      <c r="AA12">
        <f t="shared" si="4"/>
        <v>31.7</v>
      </c>
      <c r="AI12">
        <v>31</v>
      </c>
      <c r="AM12">
        <v>53</v>
      </c>
      <c r="AQ12">
        <v>54</v>
      </c>
      <c r="AU12">
        <v>64</v>
      </c>
      <c r="AY12">
        <v>78</v>
      </c>
    </row>
    <row r="13" spans="1:53" x14ac:dyDescent="0.25">
      <c r="A13" s="142" t="s">
        <v>81</v>
      </c>
      <c r="B13" s="178">
        <v>0.47083333333333333</v>
      </c>
      <c r="C13" s="178">
        <v>0.52430555555555558</v>
      </c>
      <c r="D13" s="142">
        <v>76</v>
      </c>
      <c r="J13">
        <v>324</v>
      </c>
      <c r="K13">
        <f t="shared" si="0"/>
        <v>32.4</v>
      </c>
      <c r="N13">
        <v>327</v>
      </c>
      <c r="O13">
        <f t="shared" si="1"/>
        <v>32.700000000000003</v>
      </c>
      <c r="R13">
        <v>310</v>
      </c>
      <c r="S13">
        <f t="shared" si="2"/>
        <v>31</v>
      </c>
      <c r="V13">
        <v>312</v>
      </c>
      <c r="W13">
        <f t="shared" si="3"/>
        <v>31.2</v>
      </c>
      <c r="Z13" s="147">
        <v>317</v>
      </c>
      <c r="AA13">
        <f t="shared" si="4"/>
        <v>31.7</v>
      </c>
      <c r="AI13">
        <v>31</v>
      </c>
      <c r="AM13">
        <v>53</v>
      </c>
      <c r="AQ13">
        <v>54</v>
      </c>
      <c r="AU13">
        <v>68</v>
      </c>
      <c r="AY13">
        <v>78</v>
      </c>
    </row>
    <row r="14" spans="1:53" x14ac:dyDescent="0.25">
      <c r="A14" s="142" t="s">
        <v>82</v>
      </c>
      <c r="B14" s="178">
        <v>0.52500000000000002</v>
      </c>
      <c r="C14" s="178">
        <v>0.56111111111111112</v>
      </c>
      <c r="D14" s="142">
        <v>51</v>
      </c>
      <c r="J14">
        <v>324</v>
      </c>
      <c r="K14">
        <f t="shared" si="0"/>
        <v>32.4</v>
      </c>
      <c r="N14">
        <v>328</v>
      </c>
      <c r="O14">
        <f t="shared" si="1"/>
        <v>32.799999999999997</v>
      </c>
      <c r="R14">
        <v>310</v>
      </c>
      <c r="S14">
        <f t="shared" si="2"/>
        <v>31</v>
      </c>
      <c r="V14">
        <v>312</v>
      </c>
      <c r="W14">
        <f t="shared" si="3"/>
        <v>31.2</v>
      </c>
      <c r="Z14" s="147">
        <v>317</v>
      </c>
      <c r="AA14">
        <f t="shared" si="4"/>
        <v>31.7</v>
      </c>
      <c r="AI14">
        <v>31</v>
      </c>
      <c r="AM14">
        <v>53</v>
      </c>
      <c r="AQ14">
        <v>55</v>
      </c>
      <c r="AU14">
        <v>70</v>
      </c>
      <c r="AY14">
        <v>78</v>
      </c>
    </row>
    <row r="15" spans="1:53" x14ac:dyDescent="0.25">
      <c r="A15" s="142" t="s">
        <v>83</v>
      </c>
      <c r="B15" s="178">
        <v>0.56111111111111112</v>
      </c>
      <c r="C15" s="178">
        <v>0.63124999999999998</v>
      </c>
      <c r="D15" s="142">
        <v>101</v>
      </c>
      <c r="J15">
        <v>324</v>
      </c>
      <c r="K15">
        <f t="shared" si="0"/>
        <v>32.4</v>
      </c>
      <c r="N15">
        <v>328</v>
      </c>
      <c r="O15">
        <f t="shared" si="1"/>
        <v>32.799999999999997</v>
      </c>
      <c r="R15">
        <v>310</v>
      </c>
      <c r="S15">
        <f t="shared" si="2"/>
        <v>31</v>
      </c>
      <c r="V15">
        <v>313</v>
      </c>
      <c r="W15">
        <f t="shared" si="3"/>
        <v>31.3</v>
      </c>
      <c r="Z15" s="147">
        <v>317</v>
      </c>
      <c r="AA15">
        <f t="shared" si="4"/>
        <v>31.7</v>
      </c>
      <c r="AI15">
        <v>31</v>
      </c>
      <c r="AM15">
        <v>53</v>
      </c>
      <c r="AQ15">
        <v>58</v>
      </c>
      <c r="AU15">
        <v>72</v>
      </c>
      <c r="AY15">
        <v>78</v>
      </c>
    </row>
    <row r="16" spans="1:53" x14ac:dyDescent="0.25">
      <c r="A16" s="154" t="s">
        <v>84</v>
      </c>
      <c r="B16" s="179">
        <v>0.63124999999999998</v>
      </c>
      <c r="C16" s="179">
        <v>0.66736111111111107</v>
      </c>
      <c r="D16" s="157">
        <v>52</v>
      </c>
      <c r="J16">
        <v>324</v>
      </c>
      <c r="K16">
        <f t="shared" si="0"/>
        <v>32.4</v>
      </c>
      <c r="N16">
        <v>328</v>
      </c>
      <c r="O16">
        <f t="shared" si="1"/>
        <v>32.799999999999997</v>
      </c>
      <c r="R16">
        <v>311</v>
      </c>
      <c r="S16">
        <f t="shared" si="2"/>
        <v>31.1</v>
      </c>
      <c r="V16">
        <v>313</v>
      </c>
      <c r="W16">
        <f t="shared" si="3"/>
        <v>31.3</v>
      </c>
      <c r="Z16" s="147">
        <v>317</v>
      </c>
      <c r="AA16">
        <f t="shared" si="4"/>
        <v>31.7</v>
      </c>
      <c r="AI16">
        <v>31</v>
      </c>
      <c r="AM16">
        <v>53</v>
      </c>
      <c r="AQ16">
        <v>60</v>
      </c>
      <c r="AU16">
        <v>73</v>
      </c>
      <c r="AY16">
        <v>78</v>
      </c>
    </row>
    <row r="17" spans="1:51" x14ac:dyDescent="0.25">
      <c r="J17">
        <v>324</v>
      </c>
      <c r="K17">
        <f t="shared" si="0"/>
        <v>32.4</v>
      </c>
      <c r="N17">
        <v>328</v>
      </c>
      <c r="O17">
        <f t="shared" si="1"/>
        <v>32.799999999999997</v>
      </c>
      <c r="R17">
        <v>312</v>
      </c>
      <c r="S17">
        <f t="shared" si="2"/>
        <v>31.2</v>
      </c>
      <c r="V17">
        <v>314</v>
      </c>
      <c r="W17">
        <f t="shared" si="3"/>
        <v>31.4</v>
      </c>
      <c r="Z17" s="147">
        <v>317</v>
      </c>
      <c r="AA17">
        <f t="shared" si="4"/>
        <v>31.7</v>
      </c>
      <c r="AI17">
        <v>31</v>
      </c>
      <c r="AM17">
        <v>53</v>
      </c>
      <c r="AQ17">
        <v>62</v>
      </c>
      <c r="AU17">
        <v>74</v>
      </c>
      <c r="AY17">
        <v>78</v>
      </c>
    </row>
    <row r="18" spans="1:51" x14ac:dyDescent="0.25">
      <c r="A18" s="31" t="s">
        <v>223</v>
      </c>
      <c r="B18" s="31" t="s">
        <v>220</v>
      </c>
      <c r="C18" s="31" t="s">
        <v>221</v>
      </c>
      <c r="D18" s="137" t="s">
        <v>222</v>
      </c>
      <c r="E18" s="180" t="s">
        <v>267</v>
      </c>
      <c r="J18">
        <v>324</v>
      </c>
      <c r="K18">
        <f t="shared" si="0"/>
        <v>32.4</v>
      </c>
      <c r="N18">
        <v>327</v>
      </c>
      <c r="O18">
        <f t="shared" si="1"/>
        <v>32.700000000000003</v>
      </c>
      <c r="R18">
        <v>313</v>
      </c>
      <c r="S18">
        <f t="shared" si="2"/>
        <v>31.3</v>
      </c>
      <c r="V18">
        <v>315</v>
      </c>
      <c r="W18">
        <f t="shared" si="3"/>
        <v>31.5</v>
      </c>
      <c r="Z18" s="147">
        <v>316</v>
      </c>
      <c r="AA18">
        <f t="shared" si="4"/>
        <v>31.6</v>
      </c>
      <c r="AI18">
        <v>31</v>
      </c>
      <c r="AM18">
        <v>53</v>
      </c>
      <c r="AQ18">
        <v>63</v>
      </c>
      <c r="AU18">
        <v>75</v>
      </c>
      <c r="AY18">
        <v>78</v>
      </c>
    </row>
    <row r="19" spans="1:51" x14ac:dyDescent="0.25">
      <c r="A19" s="142" t="s">
        <v>80</v>
      </c>
      <c r="B19" s="178">
        <v>0.40972222222222221</v>
      </c>
      <c r="C19" s="178">
        <v>0.43402777777777779</v>
      </c>
      <c r="D19" s="142">
        <v>35</v>
      </c>
      <c r="J19">
        <v>323</v>
      </c>
      <c r="K19">
        <f t="shared" si="0"/>
        <v>32.299999999999997</v>
      </c>
      <c r="N19">
        <v>327</v>
      </c>
      <c r="O19">
        <f t="shared" si="1"/>
        <v>32.700000000000003</v>
      </c>
      <c r="R19">
        <v>314</v>
      </c>
      <c r="S19">
        <f t="shared" si="2"/>
        <v>31.4</v>
      </c>
      <c r="V19">
        <v>316</v>
      </c>
      <c r="W19">
        <f t="shared" si="3"/>
        <v>31.6</v>
      </c>
      <c r="Z19" s="147">
        <v>317</v>
      </c>
      <c r="AA19">
        <f t="shared" si="4"/>
        <v>31.7</v>
      </c>
      <c r="AI19">
        <v>31</v>
      </c>
      <c r="AM19">
        <v>53</v>
      </c>
      <c r="AQ19">
        <v>64</v>
      </c>
      <c r="AU19">
        <v>75</v>
      </c>
      <c r="AY19">
        <v>78</v>
      </c>
    </row>
    <row r="20" spans="1:51" x14ac:dyDescent="0.25">
      <c r="A20" s="142" t="s">
        <v>81</v>
      </c>
      <c r="B20" s="178">
        <v>0.45347222222222222</v>
      </c>
      <c r="C20" s="178">
        <v>0.48680555555555555</v>
      </c>
      <c r="D20" s="142">
        <v>76</v>
      </c>
      <c r="J20">
        <v>324</v>
      </c>
      <c r="K20">
        <f t="shared" si="0"/>
        <v>32.4</v>
      </c>
      <c r="N20">
        <v>327</v>
      </c>
      <c r="O20">
        <f t="shared" si="1"/>
        <v>32.700000000000003</v>
      </c>
      <c r="R20">
        <v>315</v>
      </c>
      <c r="S20">
        <f t="shared" si="2"/>
        <v>31.5</v>
      </c>
      <c r="V20">
        <v>317</v>
      </c>
      <c r="W20">
        <f t="shared" si="3"/>
        <v>31.7</v>
      </c>
      <c r="Z20" s="147">
        <v>316</v>
      </c>
      <c r="AA20">
        <f t="shared" si="4"/>
        <v>31.6</v>
      </c>
      <c r="AI20">
        <v>31</v>
      </c>
      <c r="AM20">
        <v>53</v>
      </c>
      <c r="AQ20">
        <v>64</v>
      </c>
      <c r="AU20">
        <v>75</v>
      </c>
      <c r="AY20">
        <v>78</v>
      </c>
    </row>
    <row r="21" spans="1:51" x14ac:dyDescent="0.25">
      <c r="A21" s="142" t="s">
        <v>82</v>
      </c>
      <c r="B21" s="178">
        <v>0.49861111111111112</v>
      </c>
      <c r="C21" s="178">
        <v>0.52361111111111114</v>
      </c>
      <c r="D21" s="142">
        <v>51</v>
      </c>
      <c r="J21">
        <v>323</v>
      </c>
      <c r="K21">
        <f t="shared" si="0"/>
        <v>32.299999999999997</v>
      </c>
      <c r="N21">
        <v>326</v>
      </c>
      <c r="O21">
        <f t="shared" si="1"/>
        <v>32.6</v>
      </c>
      <c r="R21">
        <v>316</v>
      </c>
      <c r="S21">
        <f t="shared" si="2"/>
        <v>31.6</v>
      </c>
      <c r="V21">
        <v>318</v>
      </c>
      <c r="W21">
        <f t="shared" si="3"/>
        <v>31.8</v>
      </c>
      <c r="Z21" s="147">
        <v>316</v>
      </c>
      <c r="AA21">
        <f t="shared" si="4"/>
        <v>31.6</v>
      </c>
      <c r="AI21">
        <v>31</v>
      </c>
      <c r="AM21">
        <v>53</v>
      </c>
      <c r="AQ21">
        <v>65</v>
      </c>
      <c r="AU21">
        <v>75</v>
      </c>
      <c r="AY21">
        <v>78</v>
      </c>
    </row>
    <row r="22" spans="1:51" x14ac:dyDescent="0.25">
      <c r="A22" s="142" t="s">
        <v>83</v>
      </c>
      <c r="B22" s="178">
        <v>0.56041666666666667</v>
      </c>
      <c r="C22" s="178">
        <v>0.5854166666666667</v>
      </c>
      <c r="D22" s="142">
        <v>101</v>
      </c>
      <c r="J22">
        <v>324</v>
      </c>
      <c r="K22">
        <f t="shared" si="0"/>
        <v>32.4</v>
      </c>
      <c r="N22">
        <v>326</v>
      </c>
      <c r="O22">
        <f t="shared" si="1"/>
        <v>32.6</v>
      </c>
      <c r="R22">
        <v>317</v>
      </c>
      <c r="S22">
        <f t="shared" si="2"/>
        <v>31.7</v>
      </c>
      <c r="V22">
        <v>319</v>
      </c>
      <c r="W22">
        <f t="shared" si="3"/>
        <v>31.9</v>
      </c>
      <c r="Z22" s="147">
        <v>316</v>
      </c>
      <c r="AA22">
        <f t="shared" si="4"/>
        <v>31.6</v>
      </c>
      <c r="AI22">
        <v>30</v>
      </c>
      <c r="AM22">
        <v>53</v>
      </c>
      <c r="AQ22">
        <v>64</v>
      </c>
      <c r="AU22">
        <v>75</v>
      </c>
      <c r="AY22">
        <v>78</v>
      </c>
    </row>
    <row r="23" spans="1:51" x14ac:dyDescent="0.25">
      <c r="A23" s="154" t="s">
        <v>84</v>
      </c>
      <c r="B23" s="179">
        <v>0.60624999999999996</v>
      </c>
      <c r="C23" s="179">
        <v>0.63055555555555554</v>
      </c>
      <c r="D23" s="157">
        <v>52</v>
      </c>
      <c r="J23">
        <v>323</v>
      </c>
      <c r="K23">
        <f t="shared" si="0"/>
        <v>32.299999999999997</v>
      </c>
      <c r="N23">
        <v>326</v>
      </c>
      <c r="O23">
        <f t="shared" si="1"/>
        <v>32.6</v>
      </c>
      <c r="R23">
        <v>319</v>
      </c>
      <c r="S23">
        <f t="shared" si="2"/>
        <v>31.9</v>
      </c>
      <c r="V23">
        <v>320</v>
      </c>
      <c r="W23">
        <f t="shared" si="3"/>
        <v>32</v>
      </c>
      <c r="Z23" s="147">
        <v>316</v>
      </c>
      <c r="AA23">
        <f t="shared" si="4"/>
        <v>31.6</v>
      </c>
      <c r="AI23">
        <v>30</v>
      </c>
      <c r="AM23">
        <v>53</v>
      </c>
      <c r="AQ23">
        <v>65</v>
      </c>
      <c r="AU23">
        <v>75</v>
      </c>
      <c r="AY23">
        <v>78</v>
      </c>
    </row>
    <row r="24" spans="1:51" x14ac:dyDescent="0.25">
      <c r="J24">
        <v>323</v>
      </c>
      <c r="K24">
        <f t="shared" si="0"/>
        <v>32.299999999999997</v>
      </c>
      <c r="N24">
        <v>325</v>
      </c>
      <c r="O24">
        <f t="shared" si="1"/>
        <v>32.5</v>
      </c>
      <c r="R24">
        <v>320</v>
      </c>
      <c r="S24">
        <f t="shared" si="2"/>
        <v>32</v>
      </c>
      <c r="V24">
        <v>321</v>
      </c>
      <c r="W24">
        <f t="shared" si="3"/>
        <v>32.1</v>
      </c>
      <c r="Z24" s="147">
        <v>316</v>
      </c>
      <c r="AA24">
        <f t="shared" si="4"/>
        <v>31.6</v>
      </c>
      <c r="AI24">
        <v>30</v>
      </c>
      <c r="AM24">
        <v>52</v>
      </c>
      <c r="AQ24">
        <v>64</v>
      </c>
      <c r="AU24">
        <v>75</v>
      </c>
      <c r="AY24">
        <v>78</v>
      </c>
    </row>
    <row r="25" spans="1:51" x14ac:dyDescent="0.25">
      <c r="J25">
        <v>323</v>
      </c>
      <c r="K25">
        <f t="shared" si="0"/>
        <v>32.299999999999997</v>
      </c>
      <c r="N25">
        <v>325</v>
      </c>
      <c r="O25">
        <f t="shared" si="1"/>
        <v>32.5</v>
      </c>
      <c r="R25">
        <v>321</v>
      </c>
      <c r="S25">
        <f t="shared" si="2"/>
        <v>32.1</v>
      </c>
      <c r="V25">
        <v>322</v>
      </c>
      <c r="W25">
        <f t="shared" si="3"/>
        <v>32.200000000000003</v>
      </c>
      <c r="Z25" s="147">
        <v>316</v>
      </c>
      <c r="AA25">
        <f t="shared" si="4"/>
        <v>31.6</v>
      </c>
      <c r="AI25">
        <v>30</v>
      </c>
      <c r="AM25">
        <v>52</v>
      </c>
      <c r="AQ25">
        <v>65</v>
      </c>
      <c r="AU25">
        <v>75</v>
      </c>
      <c r="AY25">
        <v>78</v>
      </c>
    </row>
    <row r="26" spans="1:51" x14ac:dyDescent="0.25">
      <c r="J26">
        <v>323</v>
      </c>
      <c r="K26">
        <f t="shared" si="0"/>
        <v>32.299999999999997</v>
      </c>
      <c r="N26">
        <v>325</v>
      </c>
      <c r="O26">
        <f t="shared" si="1"/>
        <v>32.5</v>
      </c>
      <c r="R26">
        <v>322</v>
      </c>
      <c r="S26">
        <f t="shared" si="2"/>
        <v>32.200000000000003</v>
      </c>
      <c r="V26">
        <v>323</v>
      </c>
      <c r="W26">
        <f t="shared" si="3"/>
        <v>32.299999999999997</v>
      </c>
      <c r="Z26" s="147">
        <v>316</v>
      </c>
      <c r="AA26">
        <f t="shared" si="4"/>
        <v>31.6</v>
      </c>
      <c r="AI26">
        <v>30</v>
      </c>
      <c r="AM26">
        <v>52</v>
      </c>
      <c r="AQ26">
        <v>64</v>
      </c>
      <c r="AU26">
        <v>75</v>
      </c>
      <c r="AY26">
        <v>78</v>
      </c>
    </row>
    <row r="27" spans="1:51" x14ac:dyDescent="0.25">
      <c r="J27">
        <v>322</v>
      </c>
      <c r="K27">
        <f t="shared" si="0"/>
        <v>32.200000000000003</v>
      </c>
      <c r="N27">
        <v>325</v>
      </c>
      <c r="O27">
        <f t="shared" si="1"/>
        <v>32.5</v>
      </c>
      <c r="R27">
        <v>323</v>
      </c>
      <c r="S27">
        <f t="shared" si="2"/>
        <v>32.299999999999997</v>
      </c>
      <c r="V27">
        <v>324</v>
      </c>
      <c r="W27">
        <f t="shared" si="3"/>
        <v>32.4</v>
      </c>
      <c r="Z27" s="147">
        <v>316</v>
      </c>
      <c r="AA27">
        <f t="shared" si="4"/>
        <v>31.6</v>
      </c>
      <c r="AI27">
        <v>30</v>
      </c>
      <c r="AM27">
        <v>52</v>
      </c>
      <c r="AQ27">
        <v>64</v>
      </c>
      <c r="AU27">
        <v>74</v>
      </c>
      <c r="AY27">
        <v>78</v>
      </c>
    </row>
    <row r="28" spans="1:51" x14ac:dyDescent="0.25">
      <c r="J28">
        <v>322</v>
      </c>
      <c r="K28">
        <f t="shared" si="0"/>
        <v>32.200000000000003</v>
      </c>
      <c r="N28">
        <v>325</v>
      </c>
      <c r="O28">
        <f t="shared" si="1"/>
        <v>32.5</v>
      </c>
      <c r="R28">
        <v>324</v>
      </c>
      <c r="S28">
        <f t="shared" si="2"/>
        <v>32.4</v>
      </c>
      <c r="V28">
        <v>325</v>
      </c>
      <c r="W28">
        <f t="shared" si="3"/>
        <v>32.5</v>
      </c>
      <c r="Z28" s="147">
        <v>316</v>
      </c>
      <c r="AA28">
        <f t="shared" si="4"/>
        <v>31.6</v>
      </c>
      <c r="AI28">
        <v>30</v>
      </c>
      <c r="AM28">
        <v>52</v>
      </c>
      <c r="AQ28">
        <v>64</v>
      </c>
      <c r="AU28">
        <v>74</v>
      </c>
      <c r="AY28">
        <v>78</v>
      </c>
    </row>
    <row r="29" spans="1:51" x14ac:dyDescent="0.25">
      <c r="J29">
        <v>321</v>
      </c>
      <c r="K29">
        <f t="shared" si="0"/>
        <v>32.1</v>
      </c>
      <c r="N29">
        <v>324</v>
      </c>
      <c r="O29">
        <f t="shared" si="1"/>
        <v>32.4</v>
      </c>
      <c r="R29">
        <v>325</v>
      </c>
      <c r="S29">
        <f t="shared" si="2"/>
        <v>32.5</v>
      </c>
      <c r="V29">
        <v>325</v>
      </c>
      <c r="W29">
        <f t="shared" si="3"/>
        <v>32.5</v>
      </c>
      <c r="Z29" s="147">
        <v>316</v>
      </c>
      <c r="AA29">
        <f t="shared" si="4"/>
        <v>31.6</v>
      </c>
      <c r="AI29">
        <v>30</v>
      </c>
      <c r="AM29">
        <v>51</v>
      </c>
      <c r="AQ29">
        <v>63</v>
      </c>
      <c r="AU29">
        <v>74</v>
      </c>
      <c r="AY29">
        <v>78</v>
      </c>
    </row>
    <row r="30" spans="1:51" x14ac:dyDescent="0.25">
      <c r="J30">
        <v>321</v>
      </c>
      <c r="K30">
        <f t="shared" si="0"/>
        <v>32.1</v>
      </c>
      <c r="N30">
        <v>324</v>
      </c>
      <c r="O30">
        <f t="shared" si="1"/>
        <v>32.4</v>
      </c>
      <c r="R30">
        <v>325</v>
      </c>
      <c r="S30">
        <f t="shared" si="2"/>
        <v>32.5</v>
      </c>
      <c r="V30">
        <v>326</v>
      </c>
      <c r="W30">
        <f t="shared" si="3"/>
        <v>32.6</v>
      </c>
      <c r="Z30" s="147">
        <v>317</v>
      </c>
      <c r="AA30">
        <f t="shared" si="4"/>
        <v>31.7</v>
      </c>
      <c r="AI30">
        <v>30</v>
      </c>
      <c r="AM30">
        <v>51</v>
      </c>
      <c r="AQ30">
        <v>63</v>
      </c>
      <c r="AU30">
        <v>74</v>
      </c>
      <c r="AY30">
        <v>79</v>
      </c>
    </row>
    <row r="31" spans="1:51" x14ac:dyDescent="0.25">
      <c r="J31">
        <v>321</v>
      </c>
      <c r="K31">
        <f t="shared" si="0"/>
        <v>32.1</v>
      </c>
      <c r="N31">
        <v>324</v>
      </c>
      <c r="O31">
        <f t="shared" si="1"/>
        <v>32.4</v>
      </c>
      <c r="R31">
        <v>325</v>
      </c>
      <c r="S31">
        <f t="shared" si="2"/>
        <v>32.5</v>
      </c>
      <c r="V31">
        <v>326</v>
      </c>
      <c r="W31">
        <f t="shared" si="3"/>
        <v>32.6</v>
      </c>
      <c r="Z31" s="147">
        <v>317</v>
      </c>
      <c r="AA31">
        <f t="shared" si="4"/>
        <v>31.7</v>
      </c>
      <c r="AI31">
        <v>30</v>
      </c>
      <c r="AM31">
        <v>51</v>
      </c>
      <c r="AQ31">
        <v>63</v>
      </c>
      <c r="AU31">
        <v>74</v>
      </c>
      <c r="AY31">
        <v>78</v>
      </c>
    </row>
    <row r="32" spans="1:51" x14ac:dyDescent="0.25">
      <c r="J32">
        <v>320</v>
      </c>
      <c r="K32">
        <f t="shared" si="0"/>
        <v>32</v>
      </c>
      <c r="N32">
        <v>324</v>
      </c>
      <c r="O32">
        <f t="shared" si="1"/>
        <v>32.4</v>
      </c>
      <c r="R32">
        <v>326</v>
      </c>
      <c r="S32">
        <f t="shared" si="2"/>
        <v>32.6</v>
      </c>
      <c r="V32">
        <v>325</v>
      </c>
      <c r="W32">
        <f t="shared" si="3"/>
        <v>32.5</v>
      </c>
      <c r="Z32" s="147">
        <v>317</v>
      </c>
      <c r="AA32">
        <f t="shared" si="4"/>
        <v>31.7</v>
      </c>
      <c r="AI32">
        <v>30</v>
      </c>
      <c r="AM32">
        <v>51</v>
      </c>
      <c r="AQ32">
        <v>63</v>
      </c>
      <c r="AU32">
        <v>74</v>
      </c>
      <c r="AY32">
        <v>78</v>
      </c>
    </row>
    <row r="33" spans="10:51" x14ac:dyDescent="0.25">
      <c r="J33">
        <v>320</v>
      </c>
      <c r="K33">
        <f t="shared" si="0"/>
        <v>32</v>
      </c>
      <c r="N33">
        <v>324</v>
      </c>
      <c r="O33">
        <f t="shared" si="1"/>
        <v>32.4</v>
      </c>
      <c r="R33">
        <v>326</v>
      </c>
      <c r="S33">
        <f t="shared" si="2"/>
        <v>32.6</v>
      </c>
      <c r="V33">
        <v>326</v>
      </c>
      <c r="W33">
        <f t="shared" si="3"/>
        <v>32.6</v>
      </c>
      <c r="Z33" s="147">
        <v>317</v>
      </c>
      <c r="AA33">
        <f t="shared" si="4"/>
        <v>31.7</v>
      </c>
      <c r="AI33">
        <v>30</v>
      </c>
      <c r="AM33">
        <v>51</v>
      </c>
      <c r="AQ33">
        <v>62</v>
      </c>
      <c r="AU33">
        <v>74</v>
      </c>
      <c r="AY33">
        <v>78</v>
      </c>
    </row>
    <row r="34" spans="10:51" x14ac:dyDescent="0.25">
      <c r="J34">
        <v>320</v>
      </c>
      <c r="K34">
        <f t="shared" si="0"/>
        <v>32</v>
      </c>
      <c r="N34">
        <v>323</v>
      </c>
      <c r="O34">
        <f t="shared" si="1"/>
        <v>32.299999999999997</v>
      </c>
      <c r="R34">
        <v>326</v>
      </c>
      <c r="S34">
        <f t="shared" si="2"/>
        <v>32.6</v>
      </c>
      <c r="V34">
        <v>325</v>
      </c>
      <c r="W34">
        <f t="shared" si="3"/>
        <v>32.5</v>
      </c>
      <c r="Z34" s="147">
        <v>318</v>
      </c>
      <c r="AA34">
        <f t="shared" si="4"/>
        <v>31.8</v>
      </c>
      <c r="AI34">
        <v>30</v>
      </c>
      <c r="AM34">
        <v>51</v>
      </c>
      <c r="AQ34">
        <v>62</v>
      </c>
      <c r="AU34">
        <v>74</v>
      </c>
      <c r="AY34">
        <v>78</v>
      </c>
    </row>
    <row r="35" spans="10:51" x14ac:dyDescent="0.25">
      <c r="J35">
        <v>319</v>
      </c>
      <c r="K35">
        <f t="shared" si="0"/>
        <v>31.9</v>
      </c>
      <c r="N35">
        <v>323</v>
      </c>
      <c r="O35">
        <f t="shared" si="1"/>
        <v>32.299999999999997</v>
      </c>
      <c r="R35">
        <v>326</v>
      </c>
      <c r="S35">
        <f t="shared" si="2"/>
        <v>32.6</v>
      </c>
      <c r="V35">
        <v>325</v>
      </c>
      <c r="W35">
        <f t="shared" si="3"/>
        <v>32.5</v>
      </c>
      <c r="Z35" s="147">
        <v>318</v>
      </c>
      <c r="AA35">
        <f t="shared" si="4"/>
        <v>31.8</v>
      </c>
      <c r="AI35">
        <v>30</v>
      </c>
      <c r="AM35">
        <v>50</v>
      </c>
      <c r="AQ35">
        <v>62</v>
      </c>
      <c r="AU35">
        <v>74</v>
      </c>
      <c r="AY35">
        <v>78</v>
      </c>
    </row>
    <row r="36" spans="10:51" x14ac:dyDescent="0.25">
      <c r="J36">
        <v>319</v>
      </c>
      <c r="K36">
        <f t="shared" si="0"/>
        <v>31.9</v>
      </c>
      <c r="N36">
        <v>323</v>
      </c>
      <c r="O36">
        <f t="shared" si="1"/>
        <v>32.299999999999997</v>
      </c>
      <c r="R36">
        <v>325</v>
      </c>
      <c r="S36">
        <f t="shared" si="2"/>
        <v>32.5</v>
      </c>
      <c r="V36">
        <v>325</v>
      </c>
      <c r="W36">
        <f t="shared" si="3"/>
        <v>32.5</v>
      </c>
      <c r="Z36" s="147">
        <v>318</v>
      </c>
      <c r="AA36">
        <f t="shared" si="4"/>
        <v>31.8</v>
      </c>
      <c r="AI36">
        <v>30</v>
      </c>
      <c r="AM36">
        <v>50</v>
      </c>
      <c r="AQ36">
        <v>62</v>
      </c>
      <c r="AU36">
        <v>73</v>
      </c>
      <c r="AY36">
        <v>78</v>
      </c>
    </row>
    <row r="37" spans="10:51" x14ac:dyDescent="0.25">
      <c r="J37">
        <v>319</v>
      </c>
      <c r="K37">
        <f t="shared" si="0"/>
        <v>31.9</v>
      </c>
      <c r="N37">
        <v>323</v>
      </c>
      <c r="O37">
        <f t="shared" si="1"/>
        <v>32.299999999999997</v>
      </c>
      <c r="R37">
        <v>326</v>
      </c>
      <c r="S37">
        <f t="shared" si="2"/>
        <v>32.6</v>
      </c>
      <c r="V37">
        <v>324</v>
      </c>
      <c r="W37">
        <f t="shared" si="3"/>
        <v>32.4</v>
      </c>
      <c r="Z37" s="147">
        <v>318</v>
      </c>
      <c r="AA37">
        <f t="shared" si="4"/>
        <v>31.8</v>
      </c>
      <c r="AI37">
        <v>30</v>
      </c>
      <c r="AM37">
        <v>50</v>
      </c>
      <c r="AQ37">
        <v>61</v>
      </c>
      <c r="AU37">
        <v>74</v>
      </c>
      <c r="AY37">
        <v>78</v>
      </c>
    </row>
    <row r="38" spans="10:51" x14ac:dyDescent="0.25">
      <c r="J38">
        <v>318</v>
      </c>
      <c r="K38">
        <f t="shared" si="0"/>
        <v>31.8</v>
      </c>
      <c r="N38">
        <v>322</v>
      </c>
      <c r="O38">
        <f t="shared" si="1"/>
        <v>32.200000000000003</v>
      </c>
      <c r="R38">
        <v>325</v>
      </c>
      <c r="S38">
        <f t="shared" si="2"/>
        <v>32.5</v>
      </c>
      <c r="V38">
        <v>324</v>
      </c>
      <c r="W38">
        <f t="shared" si="3"/>
        <v>32.4</v>
      </c>
      <c r="Z38" s="147">
        <v>319</v>
      </c>
      <c r="AA38">
        <f t="shared" si="4"/>
        <v>31.9</v>
      </c>
      <c r="AI38">
        <v>30</v>
      </c>
      <c r="AM38">
        <v>50</v>
      </c>
      <c r="AQ38">
        <v>61</v>
      </c>
      <c r="AU38">
        <v>73</v>
      </c>
      <c r="AY38">
        <v>78</v>
      </c>
    </row>
    <row r="39" spans="10:51" x14ac:dyDescent="0.25">
      <c r="J39">
        <v>318</v>
      </c>
      <c r="K39">
        <f t="shared" si="0"/>
        <v>31.8</v>
      </c>
      <c r="N39">
        <v>322</v>
      </c>
      <c r="O39">
        <f t="shared" si="1"/>
        <v>32.200000000000003</v>
      </c>
      <c r="R39">
        <v>325</v>
      </c>
      <c r="S39">
        <f t="shared" si="2"/>
        <v>32.5</v>
      </c>
      <c r="V39">
        <v>324</v>
      </c>
      <c r="W39">
        <f t="shared" si="3"/>
        <v>32.4</v>
      </c>
      <c r="Z39" s="147">
        <v>319</v>
      </c>
      <c r="AA39">
        <f t="shared" si="4"/>
        <v>31.9</v>
      </c>
      <c r="AI39">
        <v>30</v>
      </c>
      <c r="AM39">
        <v>50</v>
      </c>
      <c r="AQ39">
        <v>61</v>
      </c>
      <c r="AU39">
        <v>74</v>
      </c>
      <c r="AY39">
        <v>78</v>
      </c>
    </row>
    <row r="40" spans="10:51" x14ac:dyDescent="0.25">
      <c r="J40">
        <v>318</v>
      </c>
      <c r="K40">
        <f t="shared" si="0"/>
        <v>31.8</v>
      </c>
      <c r="N40">
        <v>322</v>
      </c>
      <c r="O40">
        <f t="shared" si="1"/>
        <v>32.200000000000003</v>
      </c>
      <c r="R40">
        <v>325</v>
      </c>
      <c r="S40">
        <f t="shared" si="2"/>
        <v>32.5</v>
      </c>
      <c r="V40">
        <v>323</v>
      </c>
      <c r="W40">
        <f t="shared" si="3"/>
        <v>32.299999999999997</v>
      </c>
      <c r="Z40" s="147">
        <v>319</v>
      </c>
      <c r="AA40">
        <f t="shared" si="4"/>
        <v>31.9</v>
      </c>
      <c r="AI40">
        <v>30</v>
      </c>
      <c r="AM40">
        <v>49</v>
      </c>
      <c r="AQ40">
        <v>61</v>
      </c>
      <c r="AU40">
        <v>73</v>
      </c>
      <c r="AY40">
        <v>78</v>
      </c>
    </row>
    <row r="41" spans="10:51" x14ac:dyDescent="0.25">
      <c r="J41">
        <v>318</v>
      </c>
      <c r="K41">
        <f t="shared" si="0"/>
        <v>31.8</v>
      </c>
      <c r="N41">
        <v>322</v>
      </c>
      <c r="O41">
        <f t="shared" si="1"/>
        <v>32.200000000000003</v>
      </c>
      <c r="R41">
        <v>325</v>
      </c>
      <c r="S41">
        <f t="shared" si="2"/>
        <v>32.5</v>
      </c>
      <c r="V41">
        <v>323</v>
      </c>
      <c r="W41">
        <f t="shared" si="3"/>
        <v>32.299999999999997</v>
      </c>
      <c r="Z41" s="147">
        <v>319</v>
      </c>
      <c r="AA41">
        <f t="shared" si="4"/>
        <v>31.9</v>
      </c>
      <c r="AI41">
        <v>30</v>
      </c>
      <c r="AM41">
        <v>49</v>
      </c>
      <c r="AQ41">
        <v>60</v>
      </c>
      <c r="AU41">
        <v>73</v>
      </c>
      <c r="AY41">
        <v>78</v>
      </c>
    </row>
    <row r="42" spans="10:51" x14ac:dyDescent="0.25">
      <c r="J42">
        <v>318</v>
      </c>
      <c r="K42">
        <f t="shared" si="0"/>
        <v>31.8</v>
      </c>
      <c r="N42">
        <v>321</v>
      </c>
      <c r="O42">
        <f t="shared" si="1"/>
        <v>32.1</v>
      </c>
      <c r="R42">
        <v>325</v>
      </c>
      <c r="S42">
        <f t="shared" si="2"/>
        <v>32.5</v>
      </c>
      <c r="V42">
        <v>323</v>
      </c>
      <c r="W42">
        <f t="shared" si="3"/>
        <v>32.299999999999997</v>
      </c>
      <c r="Z42" s="147">
        <v>319</v>
      </c>
      <c r="AA42">
        <f t="shared" si="4"/>
        <v>31.9</v>
      </c>
      <c r="AI42">
        <v>30</v>
      </c>
      <c r="AM42">
        <v>49</v>
      </c>
      <c r="AQ42">
        <v>60</v>
      </c>
      <c r="AU42">
        <v>73</v>
      </c>
      <c r="AY42">
        <v>78</v>
      </c>
    </row>
    <row r="43" spans="10:51" x14ac:dyDescent="0.25">
      <c r="J43">
        <v>318</v>
      </c>
      <c r="K43">
        <f t="shared" si="0"/>
        <v>31.8</v>
      </c>
      <c r="N43">
        <v>322</v>
      </c>
      <c r="O43">
        <f t="shared" si="1"/>
        <v>32.200000000000003</v>
      </c>
      <c r="R43">
        <v>325</v>
      </c>
      <c r="S43">
        <f t="shared" si="2"/>
        <v>32.5</v>
      </c>
      <c r="V43">
        <v>322</v>
      </c>
      <c r="W43">
        <f t="shared" si="3"/>
        <v>32.200000000000003</v>
      </c>
      <c r="Z43" s="147">
        <v>319</v>
      </c>
      <c r="AA43">
        <f t="shared" si="4"/>
        <v>31.9</v>
      </c>
      <c r="AI43">
        <v>30</v>
      </c>
      <c r="AM43">
        <v>49</v>
      </c>
      <c r="AQ43">
        <v>60</v>
      </c>
      <c r="AU43">
        <v>73</v>
      </c>
      <c r="AY43">
        <v>78</v>
      </c>
    </row>
    <row r="44" spans="10:51" x14ac:dyDescent="0.25">
      <c r="J44">
        <v>318</v>
      </c>
      <c r="K44">
        <f t="shared" si="0"/>
        <v>31.8</v>
      </c>
      <c r="N44">
        <v>321</v>
      </c>
      <c r="O44">
        <f t="shared" si="1"/>
        <v>32.1</v>
      </c>
      <c r="R44">
        <v>325</v>
      </c>
      <c r="S44">
        <f t="shared" si="2"/>
        <v>32.5</v>
      </c>
      <c r="V44">
        <v>322</v>
      </c>
      <c r="W44">
        <f t="shared" si="3"/>
        <v>32.200000000000003</v>
      </c>
      <c r="Z44" s="147">
        <v>319</v>
      </c>
      <c r="AA44">
        <f t="shared" si="4"/>
        <v>31.9</v>
      </c>
      <c r="AI44">
        <v>30</v>
      </c>
      <c r="AM44">
        <v>49</v>
      </c>
      <c r="AQ44">
        <v>59</v>
      </c>
      <c r="AU44">
        <v>73</v>
      </c>
      <c r="AY44">
        <v>78</v>
      </c>
    </row>
    <row r="45" spans="10:51" x14ac:dyDescent="0.25">
      <c r="J45">
        <v>318</v>
      </c>
      <c r="K45">
        <f t="shared" si="0"/>
        <v>31.8</v>
      </c>
      <c r="N45">
        <v>321</v>
      </c>
      <c r="O45">
        <f t="shared" si="1"/>
        <v>32.1</v>
      </c>
      <c r="R45">
        <v>325</v>
      </c>
      <c r="S45">
        <f t="shared" si="2"/>
        <v>32.5</v>
      </c>
      <c r="V45">
        <v>322</v>
      </c>
      <c r="W45">
        <f t="shared" si="3"/>
        <v>32.200000000000003</v>
      </c>
      <c r="Z45" s="147">
        <v>320</v>
      </c>
      <c r="AA45">
        <f t="shared" si="4"/>
        <v>32</v>
      </c>
      <c r="AI45">
        <v>30</v>
      </c>
      <c r="AM45">
        <v>49</v>
      </c>
      <c r="AQ45">
        <v>59</v>
      </c>
      <c r="AU45">
        <v>73</v>
      </c>
      <c r="AY45">
        <v>78</v>
      </c>
    </row>
    <row r="46" spans="10:51" x14ac:dyDescent="0.25">
      <c r="J46">
        <v>317</v>
      </c>
      <c r="K46">
        <f t="shared" si="0"/>
        <v>31.7</v>
      </c>
      <c r="N46">
        <v>321</v>
      </c>
      <c r="O46">
        <f t="shared" si="1"/>
        <v>32.1</v>
      </c>
      <c r="R46">
        <v>325</v>
      </c>
      <c r="S46">
        <f t="shared" si="2"/>
        <v>32.5</v>
      </c>
      <c r="V46">
        <v>322</v>
      </c>
      <c r="W46">
        <f t="shared" si="3"/>
        <v>32.200000000000003</v>
      </c>
      <c r="Z46" s="147">
        <v>319</v>
      </c>
      <c r="AA46">
        <f t="shared" si="4"/>
        <v>31.9</v>
      </c>
      <c r="AI46">
        <v>30</v>
      </c>
      <c r="AM46">
        <v>49</v>
      </c>
      <c r="AQ46">
        <v>59</v>
      </c>
      <c r="AU46">
        <v>73</v>
      </c>
      <c r="AY46">
        <v>78</v>
      </c>
    </row>
    <row r="47" spans="10:51" x14ac:dyDescent="0.25">
      <c r="J47">
        <v>318</v>
      </c>
      <c r="K47">
        <f t="shared" si="0"/>
        <v>31.8</v>
      </c>
      <c r="N47">
        <v>320</v>
      </c>
      <c r="O47">
        <f t="shared" si="1"/>
        <v>32</v>
      </c>
      <c r="R47">
        <v>324</v>
      </c>
      <c r="S47">
        <f t="shared" si="2"/>
        <v>32.4</v>
      </c>
      <c r="V47">
        <v>322</v>
      </c>
      <c r="W47">
        <f t="shared" si="3"/>
        <v>32.200000000000003</v>
      </c>
      <c r="Z47" s="147">
        <v>320</v>
      </c>
      <c r="AA47">
        <f t="shared" si="4"/>
        <v>32</v>
      </c>
      <c r="AI47">
        <v>30</v>
      </c>
      <c r="AM47">
        <v>49</v>
      </c>
      <c r="AQ47">
        <v>59</v>
      </c>
      <c r="AU47">
        <v>73</v>
      </c>
      <c r="AY47">
        <v>78</v>
      </c>
    </row>
    <row r="48" spans="10:51" x14ac:dyDescent="0.25">
      <c r="J48">
        <v>318</v>
      </c>
      <c r="K48">
        <f t="shared" si="0"/>
        <v>31.8</v>
      </c>
      <c r="N48">
        <v>321</v>
      </c>
      <c r="O48">
        <f t="shared" si="1"/>
        <v>32.1</v>
      </c>
      <c r="R48">
        <v>324</v>
      </c>
      <c r="S48">
        <f t="shared" si="2"/>
        <v>32.4</v>
      </c>
      <c r="V48">
        <v>322</v>
      </c>
      <c r="W48">
        <f t="shared" si="3"/>
        <v>32.200000000000003</v>
      </c>
      <c r="Z48" s="147">
        <v>320</v>
      </c>
      <c r="AA48">
        <f t="shared" si="4"/>
        <v>32</v>
      </c>
      <c r="AI48">
        <v>30</v>
      </c>
      <c r="AM48">
        <v>49</v>
      </c>
      <c r="AQ48">
        <v>59</v>
      </c>
      <c r="AU48">
        <v>72</v>
      </c>
      <c r="AY48">
        <v>78</v>
      </c>
    </row>
    <row r="49" spans="10:51" x14ac:dyDescent="0.25">
      <c r="J49">
        <v>318</v>
      </c>
      <c r="K49">
        <f t="shared" si="0"/>
        <v>31.8</v>
      </c>
      <c r="N49">
        <v>320</v>
      </c>
      <c r="O49">
        <f t="shared" si="1"/>
        <v>32</v>
      </c>
      <c r="R49">
        <v>324</v>
      </c>
      <c r="S49">
        <f t="shared" si="2"/>
        <v>32.4</v>
      </c>
      <c r="V49">
        <v>321</v>
      </c>
      <c r="W49">
        <f t="shared" si="3"/>
        <v>32.1</v>
      </c>
      <c r="Z49" s="147">
        <v>320</v>
      </c>
      <c r="AA49">
        <f t="shared" si="4"/>
        <v>32</v>
      </c>
      <c r="AI49">
        <v>30</v>
      </c>
      <c r="AM49">
        <v>48</v>
      </c>
      <c r="AQ49">
        <v>58</v>
      </c>
      <c r="AU49">
        <v>72</v>
      </c>
      <c r="AY49">
        <v>78</v>
      </c>
    </row>
    <row r="50" spans="10:51" x14ac:dyDescent="0.25">
      <c r="J50">
        <v>318</v>
      </c>
      <c r="K50">
        <f t="shared" si="0"/>
        <v>31.8</v>
      </c>
      <c r="N50">
        <v>320</v>
      </c>
      <c r="O50">
        <f t="shared" si="1"/>
        <v>32</v>
      </c>
      <c r="R50">
        <v>323</v>
      </c>
      <c r="S50">
        <f t="shared" si="2"/>
        <v>32.299999999999997</v>
      </c>
      <c r="V50">
        <v>322</v>
      </c>
      <c r="W50">
        <f t="shared" si="3"/>
        <v>32.200000000000003</v>
      </c>
      <c r="Z50" s="147">
        <v>320</v>
      </c>
      <c r="AA50">
        <f t="shared" si="4"/>
        <v>32</v>
      </c>
      <c r="AI50">
        <v>30</v>
      </c>
      <c r="AM50">
        <v>48</v>
      </c>
      <c r="AQ50">
        <v>58</v>
      </c>
      <c r="AU50">
        <v>72</v>
      </c>
      <c r="AY50">
        <v>78</v>
      </c>
    </row>
    <row r="51" spans="10:51" x14ac:dyDescent="0.25">
      <c r="J51">
        <v>318</v>
      </c>
      <c r="K51">
        <f t="shared" si="0"/>
        <v>31.8</v>
      </c>
      <c r="N51">
        <v>320</v>
      </c>
      <c r="O51">
        <f t="shared" si="1"/>
        <v>32</v>
      </c>
      <c r="R51">
        <v>323</v>
      </c>
      <c r="S51">
        <f t="shared" si="2"/>
        <v>32.299999999999997</v>
      </c>
      <c r="V51">
        <v>321</v>
      </c>
      <c r="W51">
        <f t="shared" si="3"/>
        <v>32.1</v>
      </c>
      <c r="Z51" s="147">
        <v>320</v>
      </c>
      <c r="AA51">
        <f t="shared" si="4"/>
        <v>32</v>
      </c>
      <c r="AI51">
        <v>30</v>
      </c>
      <c r="AM51">
        <v>48</v>
      </c>
      <c r="AQ51">
        <v>58</v>
      </c>
      <c r="AU51">
        <v>72</v>
      </c>
      <c r="AY51">
        <v>78</v>
      </c>
    </row>
    <row r="52" spans="10:51" x14ac:dyDescent="0.25">
      <c r="J52">
        <v>319</v>
      </c>
      <c r="K52">
        <f t="shared" si="0"/>
        <v>31.9</v>
      </c>
      <c r="N52">
        <v>320</v>
      </c>
      <c r="O52">
        <f t="shared" si="1"/>
        <v>32</v>
      </c>
      <c r="R52">
        <v>323</v>
      </c>
      <c r="S52">
        <f t="shared" si="2"/>
        <v>32.299999999999997</v>
      </c>
      <c r="V52">
        <v>322</v>
      </c>
      <c r="W52">
        <f t="shared" si="3"/>
        <v>32.200000000000003</v>
      </c>
      <c r="Z52" s="147">
        <v>320</v>
      </c>
      <c r="AA52">
        <f t="shared" si="4"/>
        <v>32</v>
      </c>
      <c r="AI52">
        <v>30</v>
      </c>
      <c r="AM52">
        <v>48</v>
      </c>
      <c r="AQ52">
        <v>58</v>
      </c>
      <c r="AU52">
        <v>72</v>
      </c>
      <c r="AY52">
        <v>78</v>
      </c>
    </row>
    <row r="53" spans="10:51" x14ac:dyDescent="0.25">
      <c r="J53">
        <v>318</v>
      </c>
      <c r="K53">
        <f t="shared" si="0"/>
        <v>31.8</v>
      </c>
      <c r="N53">
        <v>320</v>
      </c>
      <c r="O53">
        <f t="shared" si="1"/>
        <v>32</v>
      </c>
      <c r="R53">
        <v>322</v>
      </c>
      <c r="S53">
        <f t="shared" si="2"/>
        <v>32.200000000000003</v>
      </c>
      <c r="V53">
        <v>321</v>
      </c>
      <c r="W53">
        <f t="shared" si="3"/>
        <v>32.1</v>
      </c>
      <c r="Z53" s="147">
        <v>321</v>
      </c>
      <c r="AA53">
        <f t="shared" si="4"/>
        <v>32.1</v>
      </c>
      <c r="AI53">
        <v>30</v>
      </c>
      <c r="AM53">
        <v>48</v>
      </c>
      <c r="AQ53">
        <v>58</v>
      </c>
      <c r="AU53">
        <v>71</v>
      </c>
      <c r="AY53">
        <v>78</v>
      </c>
    </row>
    <row r="54" spans="10:51" x14ac:dyDescent="0.25">
      <c r="J54">
        <v>319</v>
      </c>
      <c r="K54">
        <f t="shared" si="0"/>
        <v>31.9</v>
      </c>
      <c r="N54">
        <v>320</v>
      </c>
      <c r="O54">
        <f t="shared" si="1"/>
        <v>32</v>
      </c>
      <c r="R54">
        <v>322</v>
      </c>
      <c r="S54">
        <f t="shared" si="2"/>
        <v>32.200000000000003</v>
      </c>
      <c r="V54">
        <v>321</v>
      </c>
      <c r="W54">
        <f t="shared" si="3"/>
        <v>32.1</v>
      </c>
      <c r="Z54" s="147">
        <v>320</v>
      </c>
      <c r="AA54">
        <f t="shared" si="4"/>
        <v>32</v>
      </c>
      <c r="AI54">
        <v>30</v>
      </c>
      <c r="AM54">
        <v>48</v>
      </c>
      <c r="AQ54">
        <v>58</v>
      </c>
      <c r="AU54">
        <v>71</v>
      </c>
      <c r="AY54">
        <v>78</v>
      </c>
    </row>
    <row r="55" spans="10:51" x14ac:dyDescent="0.25">
      <c r="J55">
        <v>319</v>
      </c>
      <c r="K55">
        <f t="shared" si="0"/>
        <v>31.9</v>
      </c>
      <c r="N55">
        <v>320</v>
      </c>
      <c r="O55">
        <f t="shared" si="1"/>
        <v>32</v>
      </c>
      <c r="R55">
        <v>322</v>
      </c>
      <c r="S55">
        <f t="shared" si="2"/>
        <v>32.200000000000003</v>
      </c>
      <c r="V55">
        <v>321</v>
      </c>
      <c r="W55">
        <f t="shared" si="3"/>
        <v>32.1</v>
      </c>
      <c r="Z55" s="147">
        <v>321</v>
      </c>
      <c r="AA55">
        <f t="shared" si="4"/>
        <v>32.1</v>
      </c>
      <c r="AI55">
        <v>30</v>
      </c>
      <c r="AM55">
        <v>48</v>
      </c>
      <c r="AQ55">
        <v>58</v>
      </c>
      <c r="AU55">
        <v>71</v>
      </c>
      <c r="AY55">
        <v>78</v>
      </c>
    </row>
    <row r="56" spans="10:51" x14ac:dyDescent="0.25">
      <c r="J56">
        <v>319</v>
      </c>
      <c r="K56">
        <f t="shared" si="0"/>
        <v>31.9</v>
      </c>
      <c r="N56">
        <v>320</v>
      </c>
      <c r="O56">
        <f t="shared" si="1"/>
        <v>32</v>
      </c>
      <c r="R56">
        <v>321</v>
      </c>
      <c r="S56">
        <f t="shared" si="2"/>
        <v>32.1</v>
      </c>
      <c r="V56">
        <v>321</v>
      </c>
      <c r="W56">
        <f t="shared" si="3"/>
        <v>32.1</v>
      </c>
      <c r="Z56" s="147">
        <v>321</v>
      </c>
      <c r="AA56">
        <f t="shared" si="4"/>
        <v>32.1</v>
      </c>
      <c r="AI56">
        <v>30</v>
      </c>
      <c r="AM56">
        <v>48</v>
      </c>
      <c r="AQ56">
        <v>57</v>
      </c>
      <c r="AU56">
        <v>71</v>
      </c>
      <c r="AY56">
        <v>78</v>
      </c>
    </row>
    <row r="57" spans="10:51" x14ac:dyDescent="0.25">
      <c r="J57">
        <v>319</v>
      </c>
      <c r="K57">
        <f t="shared" si="0"/>
        <v>31.9</v>
      </c>
      <c r="N57">
        <v>320</v>
      </c>
      <c r="O57">
        <f t="shared" si="1"/>
        <v>32</v>
      </c>
      <c r="R57">
        <v>321</v>
      </c>
      <c r="S57">
        <f t="shared" si="2"/>
        <v>32.1</v>
      </c>
      <c r="V57">
        <v>321</v>
      </c>
      <c r="W57">
        <f t="shared" si="3"/>
        <v>32.1</v>
      </c>
      <c r="Z57" s="147">
        <v>321</v>
      </c>
      <c r="AA57">
        <f t="shared" si="4"/>
        <v>32.1</v>
      </c>
      <c r="AI57">
        <v>30</v>
      </c>
      <c r="AM57">
        <v>48</v>
      </c>
      <c r="AQ57">
        <v>57</v>
      </c>
      <c r="AU57">
        <v>70</v>
      </c>
      <c r="AY57">
        <v>78</v>
      </c>
    </row>
    <row r="58" spans="10:51" x14ac:dyDescent="0.25">
      <c r="J58">
        <v>319</v>
      </c>
      <c r="K58">
        <f t="shared" si="0"/>
        <v>31.9</v>
      </c>
      <c r="N58">
        <v>320</v>
      </c>
      <c r="O58">
        <f t="shared" si="1"/>
        <v>32</v>
      </c>
      <c r="R58">
        <v>321</v>
      </c>
      <c r="S58">
        <f t="shared" si="2"/>
        <v>32.1</v>
      </c>
      <c r="V58">
        <v>321</v>
      </c>
      <c r="W58">
        <f t="shared" si="3"/>
        <v>32.1</v>
      </c>
      <c r="Z58" s="147">
        <v>321</v>
      </c>
      <c r="AA58">
        <f t="shared" si="4"/>
        <v>32.1</v>
      </c>
      <c r="AI58">
        <v>30</v>
      </c>
      <c r="AM58">
        <v>48</v>
      </c>
      <c r="AQ58">
        <v>57</v>
      </c>
      <c r="AU58">
        <v>70</v>
      </c>
      <c r="AY58">
        <v>78</v>
      </c>
    </row>
    <row r="59" spans="10:51" x14ac:dyDescent="0.25">
      <c r="J59">
        <v>320</v>
      </c>
      <c r="K59">
        <f t="shared" si="0"/>
        <v>32</v>
      </c>
      <c r="N59">
        <v>319</v>
      </c>
      <c r="O59">
        <f t="shared" si="1"/>
        <v>31.9</v>
      </c>
      <c r="R59">
        <v>321</v>
      </c>
      <c r="S59">
        <f t="shared" si="2"/>
        <v>32.1</v>
      </c>
      <c r="V59">
        <v>321</v>
      </c>
      <c r="W59">
        <f t="shared" si="3"/>
        <v>32.1</v>
      </c>
      <c r="Z59" s="147">
        <v>321</v>
      </c>
      <c r="AA59">
        <f t="shared" si="4"/>
        <v>32.1</v>
      </c>
      <c r="AI59">
        <v>30</v>
      </c>
      <c r="AM59">
        <v>48</v>
      </c>
      <c r="AQ59">
        <v>57</v>
      </c>
      <c r="AU59">
        <v>70</v>
      </c>
      <c r="AY59">
        <v>78</v>
      </c>
    </row>
    <row r="60" spans="10:51" x14ac:dyDescent="0.25">
      <c r="J60">
        <v>320</v>
      </c>
      <c r="K60">
        <f t="shared" si="0"/>
        <v>32</v>
      </c>
      <c r="N60">
        <v>320</v>
      </c>
      <c r="O60">
        <f t="shared" si="1"/>
        <v>32</v>
      </c>
      <c r="R60">
        <v>320</v>
      </c>
      <c r="S60">
        <f t="shared" si="2"/>
        <v>32</v>
      </c>
      <c r="V60">
        <v>321</v>
      </c>
      <c r="W60">
        <f t="shared" si="3"/>
        <v>32.1</v>
      </c>
      <c r="Z60" s="147">
        <v>321</v>
      </c>
      <c r="AA60">
        <f t="shared" si="4"/>
        <v>32.1</v>
      </c>
      <c r="AI60">
        <v>30</v>
      </c>
      <c r="AM60">
        <v>48</v>
      </c>
      <c r="AQ60">
        <v>57</v>
      </c>
      <c r="AU60">
        <v>69</v>
      </c>
      <c r="AY60">
        <v>78</v>
      </c>
    </row>
    <row r="61" spans="10:51" x14ac:dyDescent="0.25">
      <c r="J61">
        <v>320</v>
      </c>
      <c r="K61">
        <f t="shared" si="0"/>
        <v>32</v>
      </c>
      <c r="N61">
        <v>319</v>
      </c>
      <c r="O61">
        <f t="shared" si="1"/>
        <v>31.9</v>
      </c>
      <c r="R61">
        <v>320</v>
      </c>
      <c r="S61">
        <f t="shared" si="2"/>
        <v>32</v>
      </c>
      <c r="V61">
        <v>322</v>
      </c>
      <c r="W61">
        <f t="shared" si="3"/>
        <v>32.200000000000003</v>
      </c>
      <c r="Z61" s="147">
        <v>321</v>
      </c>
      <c r="AA61">
        <f t="shared" si="4"/>
        <v>32.1</v>
      </c>
      <c r="AI61">
        <v>29</v>
      </c>
      <c r="AM61">
        <v>48</v>
      </c>
      <c r="AQ61">
        <v>57</v>
      </c>
      <c r="AU61">
        <v>69</v>
      </c>
      <c r="AY61">
        <v>78</v>
      </c>
    </row>
    <row r="62" spans="10:51" x14ac:dyDescent="0.25">
      <c r="J62">
        <v>320</v>
      </c>
      <c r="K62">
        <f t="shared" si="0"/>
        <v>32</v>
      </c>
      <c r="N62">
        <v>319</v>
      </c>
      <c r="O62">
        <f t="shared" si="1"/>
        <v>31.9</v>
      </c>
      <c r="R62">
        <v>320</v>
      </c>
      <c r="S62">
        <f t="shared" si="2"/>
        <v>32</v>
      </c>
      <c r="V62">
        <v>321</v>
      </c>
      <c r="W62">
        <f t="shared" si="3"/>
        <v>32.1</v>
      </c>
      <c r="Z62" s="147">
        <v>321</v>
      </c>
      <c r="AA62">
        <f t="shared" si="4"/>
        <v>32.1</v>
      </c>
      <c r="AI62">
        <v>30</v>
      </c>
      <c r="AM62">
        <v>48</v>
      </c>
      <c r="AQ62">
        <v>57</v>
      </c>
      <c r="AU62">
        <v>69</v>
      </c>
      <c r="AY62">
        <v>78</v>
      </c>
    </row>
    <row r="63" spans="10:51" x14ac:dyDescent="0.25">
      <c r="J63">
        <v>320</v>
      </c>
      <c r="K63">
        <f t="shared" si="0"/>
        <v>32</v>
      </c>
      <c r="N63">
        <v>320</v>
      </c>
      <c r="O63">
        <f t="shared" si="1"/>
        <v>32</v>
      </c>
      <c r="R63">
        <v>320</v>
      </c>
      <c r="S63">
        <f t="shared" si="2"/>
        <v>32</v>
      </c>
      <c r="V63">
        <v>322</v>
      </c>
      <c r="W63">
        <f t="shared" si="3"/>
        <v>32.200000000000003</v>
      </c>
      <c r="Z63" s="147">
        <v>321</v>
      </c>
      <c r="AA63">
        <f t="shared" si="4"/>
        <v>32.1</v>
      </c>
      <c r="AI63">
        <v>29</v>
      </c>
      <c r="AM63">
        <v>48</v>
      </c>
      <c r="AQ63">
        <v>57</v>
      </c>
      <c r="AU63">
        <v>69</v>
      </c>
      <c r="AY63">
        <v>78</v>
      </c>
    </row>
    <row r="64" spans="10:51" x14ac:dyDescent="0.25">
      <c r="J64">
        <v>320</v>
      </c>
      <c r="K64">
        <f t="shared" si="0"/>
        <v>32</v>
      </c>
      <c r="N64">
        <v>319</v>
      </c>
      <c r="O64">
        <f t="shared" si="1"/>
        <v>31.9</v>
      </c>
      <c r="R64">
        <v>319</v>
      </c>
      <c r="S64">
        <f t="shared" si="2"/>
        <v>31.9</v>
      </c>
      <c r="V64">
        <v>322</v>
      </c>
      <c r="W64">
        <f t="shared" si="3"/>
        <v>32.200000000000003</v>
      </c>
      <c r="Z64" s="147">
        <v>321</v>
      </c>
      <c r="AA64">
        <f t="shared" si="4"/>
        <v>32.1</v>
      </c>
      <c r="AI64">
        <v>29</v>
      </c>
      <c r="AM64">
        <v>48</v>
      </c>
      <c r="AQ64">
        <v>57</v>
      </c>
      <c r="AU64">
        <v>68</v>
      </c>
      <c r="AY64">
        <v>78</v>
      </c>
    </row>
    <row r="65" spans="10:51" x14ac:dyDescent="0.25">
      <c r="J65">
        <v>320</v>
      </c>
      <c r="K65">
        <f t="shared" si="0"/>
        <v>32</v>
      </c>
      <c r="N65">
        <v>319</v>
      </c>
      <c r="O65">
        <f t="shared" si="1"/>
        <v>31.9</v>
      </c>
      <c r="R65">
        <v>320</v>
      </c>
      <c r="S65">
        <f t="shared" si="2"/>
        <v>32</v>
      </c>
      <c r="V65">
        <v>322</v>
      </c>
      <c r="W65">
        <f t="shared" si="3"/>
        <v>32.200000000000003</v>
      </c>
      <c r="Z65" s="147">
        <v>321</v>
      </c>
      <c r="AA65">
        <f t="shared" si="4"/>
        <v>32.1</v>
      </c>
      <c r="AI65">
        <v>29</v>
      </c>
      <c r="AM65">
        <v>48</v>
      </c>
      <c r="AQ65">
        <v>57</v>
      </c>
      <c r="AU65">
        <v>68</v>
      </c>
      <c r="AY65">
        <v>78</v>
      </c>
    </row>
    <row r="66" spans="10:51" x14ac:dyDescent="0.25">
      <c r="J66">
        <v>320</v>
      </c>
      <c r="K66">
        <f t="shared" si="0"/>
        <v>32</v>
      </c>
      <c r="N66">
        <v>319</v>
      </c>
      <c r="O66">
        <f t="shared" si="1"/>
        <v>31.9</v>
      </c>
      <c r="R66">
        <v>319</v>
      </c>
      <c r="S66">
        <f t="shared" si="2"/>
        <v>31.9</v>
      </c>
      <c r="V66">
        <v>322</v>
      </c>
      <c r="W66">
        <f t="shared" si="3"/>
        <v>32.200000000000003</v>
      </c>
      <c r="Z66" s="147">
        <v>321</v>
      </c>
      <c r="AA66">
        <f t="shared" si="4"/>
        <v>32.1</v>
      </c>
      <c r="AI66">
        <v>29</v>
      </c>
      <c r="AM66">
        <v>48</v>
      </c>
      <c r="AQ66">
        <v>57</v>
      </c>
      <c r="AU66">
        <v>68</v>
      </c>
      <c r="AY66">
        <v>78</v>
      </c>
    </row>
    <row r="67" spans="10:51" x14ac:dyDescent="0.25">
      <c r="J67">
        <v>320</v>
      </c>
      <c r="K67">
        <f t="shared" si="0"/>
        <v>32</v>
      </c>
      <c r="N67">
        <v>319</v>
      </c>
      <c r="O67">
        <f t="shared" si="1"/>
        <v>31.9</v>
      </c>
      <c r="R67">
        <v>319</v>
      </c>
      <c r="S67">
        <f t="shared" si="2"/>
        <v>31.9</v>
      </c>
      <c r="V67">
        <v>322</v>
      </c>
      <c r="W67">
        <f t="shared" si="3"/>
        <v>32.200000000000003</v>
      </c>
      <c r="Z67" s="147">
        <v>321</v>
      </c>
      <c r="AA67">
        <f t="shared" si="4"/>
        <v>32.1</v>
      </c>
      <c r="AI67">
        <v>29</v>
      </c>
      <c r="AM67">
        <v>48</v>
      </c>
      <c r="AQ67">
        <v>57</v>
      </c>
      <c r="AU67">
        <v>68</v>
      </c>
      <c r="AY67">
        <v>78</v>
      </c>
    </row>
    <row r="68" spans="10:51" x14ac:dyDescent="0.25">
      <c r="J68">
        <v>320</v>
      </c>
      <c r="K68">
        <f t="shared" ref="K68:K101" si="5">J68/10</f>
        <v>32</v>
      </c>
      <c r="N68">
        <v>319</v>
      </c>
      <c r="O68">
        <f t="shared" ref="O68:O131" si="6">N68/10</f>
        <v>31.9</v>
      </c>
      <c r="R68">
        <v>319</v>
      </c>
      <c r="S68">
        <f t="shared" ref="S68:S131" si="7">R68/10</f>
        <v>31.9</v>
      </c>
      <c r="V68">
        <v>322</v>
      </c>
      <c r="W68">
        <f t="shared" ref="W68:W131" si="8">V68/10</f>
        <v>32.200000000000003</v>
      </c>
      <c r="Z68" s="147">
        <v>321</v>
      </c>
      <c r="AA68">
        <f t="shared" ref="AA68:AA74" si="9">Z68/10</f>
        <v>32.1</v>
      </c>
      <c r="AI68">
        <v>29</v>
      </c>
      <c r="AM68">
        <v>48</v>
      </c>
      <c r="AQ68">
        <v>57</v>
      </c>
      <c r="AU68">
        <v>67</v>
      </c>
      <c r="AY68">
        <v>78</v>
      </c>
    </row>
    <row r="69" spans="10:51" x14ac:dyDescent="0.25">
      <c r="J69">
        <v>321</v>
      </c>
      <c r="K69">
        <f t="shared" si="5"/>
        <v>32.1</v>
      </c>
      <c r="N69">
        <v>319</v>
      </c>
      <c r="O69">
        <f t="shared" si="6"/>
        <v>31.9</v>
      </c>
      <c r="R69">
        <v>319</v>
      </c>
      <c r="S69">
        <f t="shared" si="7"/>
        <v>31.9</v>
      </c>
      <c r="V69">
        <v>322</v>
      </c>
      <c r="W69">
        <f t="shared" si="8"/>
        <v>32.200000000000003</v>
      </c>
      <c r="Z69" s="147">
        <v>321</v>
      </c>
      <c r="AA69">
        <f t="shared" si="9"/>
        <v>32.1</v>
      </c>
      <c r="AI69">
        <v>29</v>
      </c>
      <c r="AM69">
        <v>48</v>
      </c>
      <c r="AQ69">
        <v>57</v>
      </c>
      <c r="AU69">
        <v>67</v>
      </c>
      <c r="AY69">
        <v>78</v>
      </c>
    </row>
    <row r="70" spans="10:51" x14ac:dyDescent="0.25">
      <c r="J70">
        <v>320</v>
      </c>
      <c r="K70">
        <f t="shared" si="5"/>
        <v>32</v>
      </c>
      <c r="N70">
        <v>319</v>
      </c>
      <c r="O70">
        <f t="shared" si="6"/>
        <v>31.9</v>
      </c>
      <c r="R70">
        <v>318</v>
      </c>
      <c r="S70">
        <f t="shared" si="7"/>
        <v>31.8</v>
      </c>
      <c r="V70">
        <v>322</v>
      </c>
      <c r="W70">
        <f t="shared" si="8"/>
        <v>32.200000000000003</v>
      </c>
      <c r="Z70" s="147">
        <v>322</v>
      </c>
      <c r="AA70">
        <f t="shared" si="9"/>
        <v>32.200000000000003</v>
      </c>
      <c r="AI70">
        <v>29</v>
      </c>
      <c r="AM70">
        <v>48</v>
      </c>
      <c r="AQ70">
        <v>57</v>
      </c>
      <c r="AU70">
        <v>67</v>
      </c>
      <c r="AY70">
        <v>78</v>
      </c>
    </row>
    <row r="71" spans="10:51" x14ac:dyDescent="0.25">
      <c r="J71">
        <v>321</v>
      </c>
      <c r="K71">
        <f t="shared" si="5"/>
        <v>32.1</v>
      </c>
      <c r="N71">
        <v>319</v>
      </c>
      <c r="O71">
        <f t="shared" si="6"/>
        <v>31.9</v>
      </c>
      <c r="R71">
        <v>319</v>
      </c>
      <c r="S71">
        <f t="shared" si="7"/>
        <v>31.9</v>
      </c>
      <c r="V71">
        <v>322</v>
      </c>
      <c r="W71">
        <f t="shared" si="8"/>
        <v>32.200000000000003</v>
      </c>
      <c r="Z71" s="147">
        <v>322</v>
      </c>
      <c r="AA71">
        <f t="shared" si="9"/>
        <v>32.200000000000003</v>
      </c>
      <c r="AI71">
        <v>29</v>
      </c>
      <c r="AM71">
        <v>48</v>
      </c>
      <c r="AQ71">
        <v>57</v>
      </c>
      <c r="AU71">
        <v>67</v>
      </c>
      <c r="AY71">
        <v>78</v>
      </c>
    </row>
    <row r="72" spans="10:51" x14ac:dyDescent="0.25">
      <c r="J72">
        <v>321</v>
      </c>
      <c r="K72">
        <f t="shared" si="5"/>
        <v>32.1</v>
      </c>
      <c r="N72">
        <v>319</v>
      </c>
      <c r="O72">
        <f t="shared" si="6"/>
        <v>31.9</v>
      </c>
      <c r="R72">
        <v>318</v>
      </c>
      <c r="S72">
        <f t="shared" si="7"/>
        <v>31.8</v>
      </c>
      <c r="V72">
        <v>322</v>
      </c>
      <c r="W72">
        <f t="shared" si="8"/>
        <v>32.200000000000003</v>
      </c>
      <c r="Z72" s="147">
        <v>321</v>
      </c>
      <c r="AA72">
        <f t="shared" si="9"/>
        <v>32.1</v>
      </c>
      <c r="AI72">
        <v>29</v>
      </c>
      <c r="AM72">
        <v>48</v>
      </c>
      <c r="AQ72">
        <v>57</v>
      </c>
      <c r="AU72">
        <v>67</v>
      </c>
      <c r="AY72">
        <v>78</v>
      </c>
    </row>
    <row r="73" spans="10:51" x14ac:dyDescent="0.25">
      <c r="J73">
        <v>321</v>
      </c>
      <c r="K73">
        <f t="shared" si="5"/>
        <v>32.1</v>
      </c>
      <c r="N73">
        <v>319</v>
      </c>
      <c r="O73">
        <f t="shared" si="6"/>
        <v>31.9</v>
      </c>
      <c r="R73">
        <v>318</v>
      </c>
      <c r="S73">
        <f t="shared" si="7"/>
        <v>31.8</v>
      </c>
      <c r="V73">
        <v>322</v>
      </c>
      <c r="W73">
        <f t="shared" si="8"/>
        <v>32.200000000000003</v>
      </c>
      <c r="Z73" s="147">
        <v>322</v>
      </c>
      <c r="AA73">
        <f t="shared" si="9"/>
        <v>32.200000000000003</v>
      </c>
      <c r="AI73">
        <v>29</v>
      </c>
      <c r="AM73">
        <v>48</v>
      </c>
      <c r="AQ73">
        <v>57</v>
      </c>
      <c r="AU73">
        <v>66</v>
      </c>
      <c r="AY73">
        <v>78</v>
      </c>
    </row>
    <row r="74" spans="10:51" x14ac:dyDescent="0.25">
      <c r="J74">
        <v>321</v>
      </c>
      <c r="K74">
        <f t="shared" si="5"/>
        <v>32.1</v>
      </c>
      <c r="N74">
        <v>319</v>
      </c>
      <c r="O74">
        <f t="shared" si="6"/>
        <v>31.9</v>
      </c>
      <c r="R74">
        <v>318</v>
      </c>
      <c r="S74">
        <f t="shared" si="7"/>
        <v>31.8</v>
      </c>
      <c r="V74">
        <v>322</v>
      </c>
      <c r="W74">
        <f t="shared" si="8"/>
        <v>32.200000000000003</v>
      </c>
      <c r="Z74" s="147">
        <v>322</v>
      </c>
      <c r="AA74">
        <f t="shared" si="9"/>
        <v>32.200000000000003</v>
      </c>
      <c r="AI74">
        <v>29</v>
      </c>
      <c r="AM74">
        <v>48</v>
      </c>
      <c r="AQ74">
        <v>57</v>
      </c>
      <c r="AU74">
        <v>66</v>
      </c>
      <c r="AY74">
        <v>78</v>
      </c>
    </row>
    <row r="75" spans="10:51" x14ac:dyDescent="0.25">
      <c r="J75">
        <v>321</v>
      </c>
      <c r="K75">
        <f t="shared" si="5"/>
        <v>32.1</v>
      </c>
      <c r="N75">
        <v>319</v>
      </c>
      <c r="O75">
        <f t="shared" si="6"/>
        <v>31.9</v>
      </c>
      <c r="R75">
        <v>318</v>
      </c>
      <c r="S75">
        <f t="shared" si="7"/>
        <v>31.8</v>
      </c>
      <c r="V75">
        <v>321</v>
      </c>
      <c r="W75">
        <f t="shared" si="8"/>
        <v>32.1</v>
      </c>
      <c r="AI75">
        <v>29</v>
      </c>
      <c r="AM75">
        <v>48</v>
      </c>
      <c r="AQ75">
        <v>57</v>
      </c>
      <c r="AU75">
        <v>67</v>
      </c>
    </row>
    <row r="76" spans="10:51" x14ac:dyDescent="0.25">
      <c r="J76">
        <v>321</v>
      </c>
      <c r="K76">
        <f t="shared" si="5"/>
        <v>32.1</v>
      </c>
      <c r="N76">
        <v>319</v>
      </c>
      <c r="O76">
        <f t="shared" si="6"/>
        <v>31.9</v>
      </c>
      <c r="R76">
        <v>318</v>
      </c>
      <c r="S76">
        <f t="shared" si="7"/>
        <v>31.8</v>
      </c>
      <c r="V76">
        <v>321</v>
      </c>
      <c r="W76">
        <f t="shared" si="8"/>
        <v>32.1</v>
      </c>
      <c r="AI76">
        <v>29</v>
      </c>
      <c r="AM76">
        <v>48</v>
      </c>
      <c r="AQ76">
        <v>57</v>
      </c>
      <c r="AU76">
        <v>66</v>
      </c>
    </row>
    <row r="77" spans="10:51" x14ac:dyDescent="0.25">
      <c r="J77">
        <v>320</v>
      </c>
      <c r="K77">
        <f t="shared" si="5"/>
        <v>32</v>
      </c>
      <c r="N77">
        <v>319</v>
      </c>
      <c r="O77">
        <f t="shared" si="6"/>
        <v>31.9</v>
      </c>
      <c r="R77">
        <v>317</v>
      </c>
      <c r="S77">
        <f t="shared" si="7"/>
        <v>31.7</v>
      </c>
      <c r="V77">
        <v>321</v>
      </c>
      <c r="W77">
        <f t="shared" si="8"/>
        <v>32.1</v>
      </c>
      <c r="AI77">
        <v>29</v>
      </c>
      <c r="AM77">
        <v>48</v>
      </c>
      <c r="AQ77">
        <v>57</v>
      </c>
      <c r="AU77">
        <v>66</v>
      </c>
    </row>
    <row r="78" spans="10:51" x14ac:dyDescent="0.25">
      <c r="J78">
        <v>321</v>
      </c>
      <c r="K78">
        <f t="shared" si="5"/>
        <v>32.1</v>
      </c>
      <c r="N78">
        <v>319</v>
      </c>
      <c r="O78">
        <f t="shared" si="6"/>
        <v>31.9</v>
      </c>
      <c r="R78">
        <v>318</v>
      </c>
      <c r="S78">
        <f t="shared" si="7"/>
        <v>31.8</v>
      </c>
      <c r="V78">
        <v>321</v>
      </c>
      <c r="W78">
        <f t="shared" si="8"/>
        <v>32.1</v>
      </c>
      <c r="AI78">
        <v>29</v>
      </c>
      <c r="AM78">
        <v>48</v>
      </c>
      <c r="AQ78">
        <v>57</v>
      </c>
      <c r="AU78">
        <v>66</v>
      </c>
    </row>
    <row r="79" spans="10:51" x14ac:dyDescent="0.25">
      <c r="J79">
        <v>320</v>
      </c>
      <c r="K79">
        <f t="shared" si="5"/>
        <v>32</v>
      </c>
      <c r="N79">
        <v>319</v>
      </c>
      <c r="O79">
        <f t="shared" si="6"/>
        <v>31.9</v>
      </c>
      <c r="R79">
        <v>317</v>
      </c>
      <c r="S79">
        <f t="shared" si="7"/>
        <v>31.7</v>
      </c>
      <c r="V79">
        <v>320</v>
      </c>
      <c r="W79">
        <f t="shared" si="8"/>
        <v>32</v>
      </c>
      <c r="AI79">
        <v>29</v>
      </c>
      <c r="AM79">
        <v>48</v>
      </c>
      <c r="AQ79">
        <v>57</v>
      </c>
      <c r="AU79">
        <v>67</v>
      </c>
    </row>
    <row r="80" spans="10:51" x14ac:dyDescent="0.25">
      <c r="J80">
        <v>320</v>
      </c>
      <c r="K80">
        <f t="shared" si="5"/>
        <v>32</v>
      </c>
      <c r="N80">
        <v>319</v>
      </c>
      <c r="O80">
        <f t="shared" si="6"/>
        <v>31.9</v>
      </c>
      <c r="R80">
        <v>317</v>
      </c>
      <c r="S80">
        <f t="shared" si="7"/>
        <v>31.7</v>
      </c>
      <c r="V80">
        <v>320</v>
      </c>
      <c r="W80">
        <f t="shared" si="8"/>
        <v>32</v>
      </c>
      <c r="AI80">
        <v>29</v>
      </c>
      <c r="AM80">
        <v>48</v>
      </c>
      <c r="AQ80">
        <v>57</v>
      </c>
      <c r="AU80">
        <v>66</v>
      </c>
    </row>
    <row r="81" spans="10:47" x14ac:dyDescent="0.25">
      <c r="J81">
        <v>319</v>
      </c>
      <c r="K81">
        <f t="shared" si="5"/>
        <v>31.9</v>
      </c>
      <c r="N81">
        <v>319</v>
      </c>
      <c r="O81">
        <f t="shared" si="6"/>
        <v>31.9</v>
      </c>
      <c r="R81">
        <v>317</v>
      </c>
      <c r="S81">
        <f t="shared" si="7"/>
        <v>31.7</v>
      </c>
      <c r="V81">
        <v>320</v>
      </c>
      <c r="W81">
        <f t="shared" si="8"/>
        <v>32</v>
      </c>
      <c r="AI81">
        <v>29</v>
      </c>
      <c r="AM81">
        <v>47</v>
      </c>
      <c r="AQ81">
        <v>57</v>
      </c>
      <c r="AU81">
        <v>67</v>
      </c>
    </row>
    <row r="82" spans="10:47" x14ac:dyDescent="0.25">
      <c r="J82">
        <v>320</v>
      </c>
      <c r="K82">
        <f t="shared" si="5"/>
        <v>32</v>
      </c>
      <c r="N82">
        <v>319</v>
      </c>
      <c r="O82">
        <f t="shared" si="6"/>
        <v>31.9</v>
      </c>
      <c r="R82">
        <v>317</v>
      </c>
      <c r="S82">
        <f t="shared" si="7"/>
        <v>31.7</v>
      </c>
      <c r="V82">
        <v>320</v>
      </c>
      <c r="W82">
        <f t="shared" si="8"/>
        <v>32</v>
      </c>
      <c r="AI82">
        <v>29</v>
      </c>
      <c r="AM82">
        <v>47</v>
      </c>
      <c r="AQ82">
        <v>57</v>
      </c>
      <c r="AU82">
        <v>66</v>
      </c>
    </row>
    <row r="83" spans="10:47" x14ac:dyDescent="0.25">
      <c r="J83">
        <v>319</v>
      </c>
      <c r="K83">
        <f t="shared" si="5"/>
        <v>31.9</v>
      </c>
      <c r="N83">
        <v>319</v>
      </c>
      <c r="O83">
        <f t="shared" si="6"/>
        <v>31.9</v>
      </c>
      <c r="R83">
        <v>317</v>
      </c>
      <c r="S83">
        <f t="shared" si="7"/>
        <v>31.7</v>
      </c>
      <c r="V83">
        <v>320</v>
      </c>
      <c r="W83">
        <f t="shared" si="8"/>
        <v>32</v>
      </c>
      <c r="AI83">
        <v>29</v>
      </c>
      <c r="AM83">
        <v>47</v>
      </c>
      <c r="AQ83">
        <v>57</v>
      </c>
      <c r="AU83">
        <v>67</v>
      </c>
    </row>
    <row r="84" spans="10:47" x14ac:dyDescent="0.25">
      <c r="J84">
        <v>319</v>
      </c>
      <c r="K84">
        <f t="shared" si="5"/>
        <v>31.9</v>
      </c>
      <c r="N84">
        <v>319</v>
      </c>
      <c r="O84">
        <f t="shared" si="6"/>
        <v>31.9</v>
      </c>
      <c r="R84">
        <v>317</v>
      </c>
      <c r="S84">
        <f t="shared" si="7"/>
        <v>31.7</v>
      </c>
      <c r="V84">
        <v>319</v>
      </c>
      <c r="W84">
        <f t="shared" si="8"/>
        <v>31.9</v>
      </c>
      <c r="AI84">
        <v>29</v>
      </c>
      <c r="AM84">
        <v>47</v>
      </c>
      <c r="AQ84">
        <v>57</v>
      </c>
      <c r="AU84">
        <v>66</v>
      </c>
    </row>
    <row r="85" spans="10:47" x14ac:dyDescent="0.25">
      <c r="J85">
        <v>319</v>
      </c>
      <c r="K85">
        <f t="shared" si="5"/>
        <v>31.9</v>
      </c>
      <c r="N85">
        <v>319</v>
      </c>
      <c r="O85">
        <f t="shared" si="6"/>
        <v>31.9</v>
      </c>
      <c r="R85">
        <v>317</v>
      </c>
      <c r="S85">
        <f t="shared" si="7"/>
        <v>31.7</v>
      </c>
      <c r="V85">
        <v>319</v>
      </c>
      <c r="W85">
        <f t="shared" si="8"/>
        <v>31.9</v>
      </c>
      <c r="AI85">
        <v>29</v>
      </c>
      <c r="AM85">
        <v>47</v>
      </c>
      <c r="AQ85">
        <v>57</v>
      </c>
      <c r="AU85">
        <v>67</v>
      </c>
    </row>
    <row r="86" spans="10:47" x14ac:dyDescent="0.25">
      <c r="J86">
        <v>318</v>
      </c>
      <c r="K86">
        <f t="shared" si="5"/>
        <v>31.8</v>
      </c>
      <c r="N86">
        <v>320</v>
      </c>
      <c r="O86">
        <f t="shared" si="6"/>
        <v>32</v>
      </c>
      <c r="R86">
        <v>316</v>
      </c>
      <c r="S86">
        <f t="shared" si="7"/>
        <v>31.6</v>
      </c>
      <c r="V86">
        <v>319</v>
      </c>
      <c r="W86">
        <f t="shared" si="8"/>
        <v>31.9</v>
      </c>
      <c r="AI86">
        <v>29</v>
      </c>
      <c r="AM86">
        <v>47</v>
      </c>
      <c r="AQ86">
        <v>57</v>
      </c>
      <c r="AU86">
        <v>66</v>
      </c>
    </row>
    <row r="87" spans="10:47" x14ac:dyDescent="0.25">
      <c r="J87">
        <v>318</v>
      </c>
      <c r="K87">
        <f t="shared" si="5"/>
        <v>31.8</v>
      </c>
      <c r="N87">
        <v>320</v>
      </c>
      <c r="O87">
        <f t="shared" si="6"/>
        <v>32</v>
      </c>
      <c r="R87">
        <v>317</v>
      </c>
      <c r="S87">
        <f t="shared" si="7"/>
        <v>31.7</v>
      </c>
      <c r="V87">
        <v>319</v>
      </c>
      <c r="W87">
        <f t="shared" si="8"/>
        <v>31.9</v>
      </c>
      <c r="AI87">
        <v>29</v>
      </c>
      <c r="AM87">
        <v>47</v>
      </c>
      <c r="AQ87">
        <v>57</v>
      </c>
      <c r="AU87">
        <v>67</v>
      </c>
    </row>
    <row r="88" spans="10:47" x14ac:dyDescent="0.25">
      <c r="J88">
        <v>318</v>
      </c>
      <c r="K88">
        <f t="shared" si="5"/>
        <v>31.8</v>
      </c>
      <c r="N88">
        <v>320</v>
      </c>
      <c r="O88">
        <f t="shared" si="6"/>
        <v>32</v>
      </c>
      <c r="R88">
        <v>316</v>
      </c>
      <c r="S88">
        <f t="shared" si="7"/>
        <v>31.6</v>
      </c>
      <c r="V88">
        <v>319</v>
      </c>
      <c r="W88">
        <f t="shared" si="8"/>
        <v>31.9</v>
      </c>
      <c r="AI88">
        <v>29</v>
      </c>
      <c r="AM88">
        <v>46</v>
      </c>
      <c r="AQ88">
        <v>57</v>
      </c>
      <c r="AU88">
        <v>67</v>
      </c>
    </row>
    <row r="89" spans="10:47" x14ac:dyDescent="0.25">
      <c r="J89">
        <v>318</v>
      </c>
      <c r="K89">
        <f t="shared" si="5"/>
        <v>31.8</v>
      </c>
      <c r="N89">
        <v>320</v>
      </c>
      <c r="O89">
        <f t="shared" si="6"/>
        <v>32</v>
      </c>
      <c r="R89">
        <v>317</v>
      </c>
      <c r="S89">
        <f t="shared" si="7"/>
        <v>31.7</v>
      </c>
      <c r="V89">
        <v>319</v>
      </c>
      <c r="W89">
        <f t="shared" si="8"/>
        <v>31.9</v>
      </c>
      <c r="AI89">
        <v>29</v>
      </c>
      <c r="AM89">
        <v>46</v>
      </c>
      <c r="AQ89">
        <v>57</v>
      </c>
      <c r="AU89">
        <v>67</v>
      </c>
    </row>
    <row r="90" spans="10:47" x14ac:dyDescent="0.25">
      <c r="J90">
        <v>318</v>
      </c>
      <c r="K90">
        <f t="shared" si="5"/>
        <v>31.8</v>
      </c>
      <c r="N90">
        <v>320</v>
      </c>
      <c r="O90">
        <f t="shared" si="6"/>
        <v>32</v>
      </c>
      <c r="R90">
        <v>316</v>
      </c>
      <c r="S90">
        <f t="shared" si="7"/>
        <v>31.6</v>
      </c>
      <c r="V90">
        <v>318</v>
      </c>
      <c r="W90">
        <f t="shared" si="8"/>
        <v>31.8</v>
      </c>
      <c r="AI90">
        <v>29</v>
      </c>
      <c r="AM90">
        <v>46</v>
      </c>
      <c r="AQ90">
        <v>57</v>
      </c>
      <c r="AU90">
        <v>67</v>
      </c>
    </row>
    <row r="91" spans="10:47" x14ac:dyDescent="0.25">
      <c r="J91">
        <v>317</v>
      </c>
      <c r="K91">
        <f t="shared" si="5"/>
        <v>31.7</v>
      </c>
      <c r="N91">
        <v>320</v>
      </c>
      <c r="O91">
        <f t="shared" si="6"/>
        <v>32</v>
      </c>
      <c r="R91">
        <v>316</v>
      </c>
      <c r="S91">
        <f t="shared" si="7"/>
        <v>31.6</v>
      </c>
      <c r="V91">
        <v>318</v>
      </c>
      <c r="W91">
        <f t="shared" si="8"/>
        <v>31.8</v>
      </c>
      <c r="AI91">
        <v>29</v>
      </c>
      <c r="AM91">
        <v>46</v>
      </c>
      <c r="AQ91">
        <v>57</v>
      </c>
      <c r="AU91">
        <v>67</v>
      </c>
    </row>
    <row r="92" spans="10:47" x14ac:dyDescent="0.25">
      <c r="J92">
        <v>318</v>
      </c>
      <c r="K92">
        <f t="shared" si="5"/>
        <v>31.8</v>
      </c>
      <c r="N92">
        <v>321</v>
      </c>
      <c r="O92">
        <f t="shared" si="6"/>
        <v>32.1</v>
      </c>
      <c r="R92">
        <v>316</v>
      </c>
      <c r="S92">
        <f t="shared" si="7"/>
        <v>31.6</v>
      </c>
      <c r="V92">
        <v>318</v>
      </c>
      <c r="W92">
        <f t="shared" si="8"/>
        <v>31.8</v>
      </c>
      <c r="AI92">
        <v>29</v>
      </c>
      <c r="AM92">
        <v>46</v>
      </c>
      <c r="AQ92">
        <v>57</v>
      </c>
      <c r="AU92">
        <v>67</v>
      </c>
    </row>
    <row r="93" spans="10:47" x14ac:dyDescent="0.25">
      <c r="J93">
        <v>317</v>
      </c>
      <c r="K93">
        <f t="shared" si="5"/>
        <v>31.7</v>
      </c>
      <c r="N93">
        <v>321</v>
      </c>
      <c r="O93">
        <f t="shared" si="6"/>
        <v>32.1</v>
      </c>
      <c r="R93">
        <v>316</v>
      </c>
      <c r="S93">
        <f t="shared" si="7"/>
        <v>31.6</v>
      </c>
      <c r="V93">
        <v>318</v>
      </c>
      <c r="W93">
        <f t="shared" si="8"/>
        <v>31.8</v>
      </c>
      <c r="AI93">
        <v>29</v>
      </c>
      <c r="AM93">
        <v>45</v>
      </c>
      <c r="AQ93">
        <v>56</v>
      </c>
      <c r="AU93">
        <v>67</v>
      </c>
    </row>
    <row r="94" spans="10:47" x14ac:dyDescent="0.25">
      <c r="J94">
        <v>318</v>
      </c>
      <c r="K94">
        <f t="shared" si="5"/>
        <v>31.8</v>
      </c>
      <c r="N94">
        <v>321</v>
      </c>
      <c r="O94">
        <f t="shared" si="6"/>
        <v>32.1</v>
      </c>
      <c r="R94">
        <v>316</v>
      </c>
      <c r="S94">
        <f t="shared" si="7"/>
        <v>31.6</v>
      </c>
      <c r="V94">
        <v>318</v>
      </c>
      <c r="W94">
        <f t="shared" si="8"/>
        <v>31.8</v>
      </c>
      <c r="AI94">
        <v>29</v>
      </c>
      <c r="AM94">
        <v>45</v>
      </c>
      <c r="AQ94">
        <v>53</v>
      </c>
      <c r="AU94">
        <v>67</v>
      </c>
    </row>
    <row r="95" spans="10:47" x14ac:dyDescent="0.25">
      <c r="J95">
        <v>318</v>
      </c>
      <c r="K95">
        <f t="shared" si="5"/>
        <v>31.8</v>
      </c>
      <c r="N95">
        <v>321</v>
      </c>
      <c r="O95">
        <f t="shared" si="6"/>
        <v>32.1</v>
      </c>
      <c r="R95">
        <v>316</v>
      </c>
      <c r="S95">
        <f t="shared" si="7"/>
        <v>31.6</v>
      </c>
      <c r="V95">
        <v>318</v>
      </c>
      <c r="W95">
        <f t="shared" si="8"/>
        <v>31.8</v>
      </c>
      <c r="AI95">
        <v>29</v>
      </c>
      <c r="AM95">
        <v>45</v>
      </c>
      <c r="AQ95">
        <v>51</v>
      </c>
      <c r="AU95">
        <v>67</v>
      </c>
    </row>
    <row r="96" spans="10:47" x14ac:dyDescent="0.25">
      <c r="J96">
        <v>318</v>
      </c>
      <c r="K96">
        <f t="shared" si="5"/>
        <v>31.8</v>
      </c>
      <c r="N96">
        <v>321</v>
      </c>
      <c r="O96">
        <f t="shared" si="6"/>
        <v>32.1</v>
      </c>
      <c r="R96">
        <v>316</v>
      </c>
      <c r="S96">
        <f t="shared" si="7"/>
        <v>31.6</v>
      </c>
      <c r="V96">
        <v>318</v>
      </c>
      <c r="W96">
        <f t="shared" si="8"/>
        <v>31.8</v>
      </c>
      <c r="AI96">
        <v>29</v>
      </c>
      <c r="AM96">
        <v>44</v>
      </c>
      <c r="AQ96">
        <v>49</v>
      </c>
      <c r="AU96">
        <v>67</v>
      </c>
    </row>
    <row r="97" spans="10:47" x14ac:dyDescent="0.25">
      <c r="J97">
        <v>318</v>
      </c>
      <c r="K97">
        <f t="shared" si="5"/>
        <v>31.8</v>
      </c>
      <c r="N97">
        <v>321</v>
      </c>
      <c r="O97">
        <f t="shared" si="6"/>
        <v>32.1</v>
      </c>
      <c r="R97">
        <v>315</v>
      </c>
      <c r="S97">
        <f t="shared" si="7"/>
        <v>31.5</v>
      </c>
      <c r="V97">
        <v>318</v>
      </c>
      <c r="W97">
        <f t="shared" si="8"/>
        <v>31.8</v>
      </c>
      <c r="AI97">
        <v>29</v>
      </c>
      <c r="AM97">
        <v>44</v>
      </c>
      <c r="AQ97">
        <v>49</v>
      </c>
      <c r="AU97">
        <v>67</v>
      </c>
    </row>
    <row r="98" spans="10:47" x14ac:dyDescent="0.25">
      <c r="J98">
        <v>318</v>
      </c>
      <c r="K98">
        <f t="shared" si="5"/>
        <v>31.8</v>
      </c>
      <c r="N98">
        <v>322</v>
      </c>
      <c r="O98">
        <f t="shared" si="6"/>
        <v>32.200000000000003</v>
      </c>
      <c r="R98">
        <v>315</v>
      </c>
      <c r="S98">
        <f t="shared" si="7"/>
        <v>31.5</v>
      </c>
      <c r="V98">
        <v>317</v>
      </c>
      <c r="W98">
        <f t="shared" si="8"/>
        <v>31.7</v>
      </c>
      <c r="AI98">
        <v>29</v>
      </c>
      <c r="AM98">
        <v>44</v>
      </c>
      <c r="AQ98">
        <v>48</v>
      </c>
      <c r="AU98">
        <v>67</v>
      </c>
    </row>
    <row r="99" spans="10:47" x14ac:dyDescent="0.25">
      <c r="J99">
        <v>318</v>
      </c>
      <c r="K99">
        <f t="shared" si="5"/>
        <v>31.8</v>
      </c>
      <c r="N99">
        <v>321</v>
      </c>
      <c r="O99">
        <f t="shared" si="6"/>
        <v>32.1</v>
      </c>
      <c r="R99">
        <v>315</v>
      </c>
      <c r="S99">
        <f t="shared" si="7"/>
        <v>31.5</v>
      </c>
      <c r="V99">
        <v>317</v>
      </c>
      <c r="W99">
        <f t="shared" si="8"/>
        <v>31.7</v>
      </c>
      <c r="AI99">
        <v>29</v>
      </c>
      <c r="AM99">
        <v>44</v>
      </c>
      <c r="AQ99">
        <v>49</v>
      </c>
      <c r="AU99">
        <v>67</v>
      </c>
    </row>
    <row r="100" spans="10:47" x14ac:dyDescent="0.25">
      <c r="J100">
        <v>318</v>
      </c>
      <c r="K100">
        <f t="shared" si="5"/>
        <v>31.8</v>
      </c>
      <c r="N100">
        <v>322</v>
      </c>
      <c r="O100">
        <f t="shared" si="6"/>
        <v>32.200000000000003</v>
      </c>
      <c r="R100">
        <v>314</v>
      </c>
      <c r="S100">
        <f t="shared" si="7"/>
        <v>31.4</v>
      </c>
      <c r="V100">
        <v>317</v>
      </c>
      <c r="W100">
        <f t="shared" si="8"/>
        <v>31.7</v>
      </c>
      <c r="AI100">
        <v>29</v>
      </c>
      <c r="AM100">
        <v>43</v>
      </c>
      <c r="AQ100">
        <v>49</v>
      </c>
      <c r="AU100">
        <v>67</v>
      </c>
    </row>
    <row r="101" spans="10:47" x14ac:dyDescent="0.25">
      <c r="J101">
        <v>319</v>
      </c>
      <c r="K101">
        <f t="shared" si="5"/>
        <v>31.9</v>
      </c>
      <c r="N101">
        <v>322</v>
      </c>
      <c r="O101">
        <f t="shared" si="6"/>
        <v>32.200000000000003</v>
      </c>
      <c r="R101">
        <v>313</v>
      </c>
      <c r="S101">
        <f t="shared" si="7"/>
        <v>31.3</v>
      </c>
      <c r="V101">
        <v>317</v>
      </c>
      <c r="W101">
        <f t="shared" si="8"/>
        <v>31.7</v>
      </c>
      <c r="AI101">
        <v>29</v>
      </c>
      <c r="AM101">
        <v>43</v>
      </c>
      <c r="AQ101">
        <v>49</v>
      </c>
      <c r="AU101">
        <v>67</v>
      </c>
    </row>
    <row r="102" spans="10:47" x14ac:dyDescent="0.25">
      <c r="J102">
        <v>319</v>
      </c>
      <c r="K102">
        <f>J102/10</f>
        <v>31.9</v>
      </c>
      <c r="N102">
        <v>322</v>
      </c>
      <c r="O102">
        <f t="shared" si="6"/>
        <v>32.200000000000003</v>
      </c>
      <c r="R102">
        <v>313</v>
      </c>
      <c r="S102">
        <f t="shared" si="7"/>
        <v>31.3</v>
      </c>
      <c r="V102">
        <v>317</v>
      </c>
      <c r="W102">
        <f t="shared" si="8"/>
        <v>31.7</v>
      </c>
      <c r="AI102">
        <v>29</v>
      </c>
      <c r="AM102">
        <v>43</v>
      </c>
      <c r="AQ102">
        <v>50</v>
      </c>
      <c r="AU102">
        <v>67</v>
      </c>
    </row>
    <row r="103" spans="10:47" x14ac:dyDescent="0.25">
      <c r="J103">
        <v>319</v>
      </c>
      <c r="K103">
        <f t="shared" ref="K103:K166" si="10">J103/10</f>
        <v>31.9</v>
      </c>
      <c r="N103">
        <v>322</v>
      </c>
      <c r="O103">
        <f t="shared" si="6"/>
        <v>32.200000000000003</v>
      </c>
      <c r="R103">
        <v>313</v>
      </c>
      <c r="S103">
        <f t="shared" si="7"/>
        <v>31.3</v>
      </c>
      <c r="V103">
        <v>317</v>
      </c>
      <c r="W103">
        <f t="shared" si="8"/>
        <v>31.7</v>
      </c>
      <c r="AI103">
        <v>29</v>
      </c>
      <c r="AM103">
        <v>42</v>
      </c>
      <c r="AQ103">
        <v>49</v>
      </c>
      <c r="AU103">
        <v>67</v>
      </c>
    </row>
    <row r="104" spans="10:47" x14ac:dyDescent="0.25">
      <c r="J104">
        <v>319</v>
      </c>
      <c r="K104">
        <f t="shared" si="10"/>
        <v>31.9</v>
      </c>
      <c r="N104">
        <v>322</v>
      </c>
      <c r="O104">
        <f t="shared" si="6"/>
        <v>32.200000000000003</v>
      </c>
      <c r="R104">
        <v>312</v>
      </c>
      <c r="S104">
        <f t="shared" si="7"/>
        <v>31.2</v>
      </c>
      <c r="V104">
        <v>316</v>
      </c>
      <c r="W104">
        <f t="shared" si="8"/>
        <v>31.6</v>
      </c>
      <c r="AI104">
        <v>29</v>
      </c>
      <c r="AM104">
        <v>42</v>
      </c>
      <c r="AQ104">
        <v>51</v>
      </c>
      <c r="AU104">
        <v>67</v>
      </c>
    </row>
    <row r="105" spans="10:47" x14ac:dyDescent="0.25">
      <c r="K105">
        <f t="shared" si="10"/>
        <v>0</v>
      </c>
      <c r="N105">
        <v>322</v>
      </c>
      <c r="O105">
        <f t="shared" si="6"/>
        <v>32.200000000000003</v>
      </c>
      <c r="R105">
        <v>312</v>
      </c>
      <c r="S105">
        <f t="shared" si="7"/>
        <v>31.2</v>
      </c>
      <c r="V105">
        <v>317</v>
      </c>
      <c r="W105">
        <f t="shared" si="8"/>
        <v>31.7</v>
      </c>
      <c r="AI105">
        <v>28</v>
      </c>
      <c r="AM105">
        <v>42</v>
      </c>
      <c r="AQ105">
        <v>54</v>
      </c>
      <c r="AU105">
        <v>67</v>
      </c>
    </row>
    <row r="106" spans="10:47" x14ac:dyDescent="0.25">
      <c r="K106">
        <f t="shared" si="10"/>
        <v>0</v>
      </c>
      <c r="N106">
        <v>321</v>
      </c>
      <c r="O106">
        <f t="shared" si="6"/>
        <v>32.1</v>
      </c>
      <c r="R106">
        <v>312</v>
      </c>
      <c r="S106">
        <f t="shared" si="7"/>
        <v>31.2</v>
      </c>
      <c r="V106">
        <v>317</v>
      </c>
      <c r="W106">
        <f t="shared" si="8"/>
        <v>31.7</v>
      </c>
      <c r="AI106">
        <v>28</v>
      </c>
      <c r="AM106">
        <v>42</v>
      </c>
      <c r="AQ106">
        <v>56</v>
      </c>
      <c r="AU106">
        <v>67</v>
      </c>
    </row>
    <row r="107" spans="10:47" x14ac:dyDescent="0.25">
      <c r="K107">
        <f t="shared" si="10"/>
        <v>0</v>
      </c>
      <c r="N107">
        <v>321</v>
      </c>
      <c r="O107">
        <f t="shared" si="6"/>
        <v>32.1</v>
      </c>
      <c r="R107">
        <v>313</v>
      </c>
      <c r="S107">
        <f t="shared" si="7"/>
        <v>31.3</v>
      </c>
      <c r="V107">
        <v>316</v>
      </c>
      <c r="W107">
        <f t="shared" si="8"/>
        <v>31.6</v>
      </c>
      <c r="AM107">
        <v>42</v>
      </c>
      <c r="AU107">
        <v>67</v>
      </c>
    </row>
    <row r="108" spans="10:47" x14ac:dyDescent="0.25">
      <c r="K108">
        <f t="shared" si="10"/>
        <v>0</v>
      </c>
      <c r="N108">
        <v>320</v>
      </c>
      <c r="O108">
        <f t="shared" si="6"/>
        <v>32</v>
      </c>
      <c r="R108">
        <v>313</v>
      </c>
      <c r="S108">
        <f t="shared" si="7"/>
        <v>31.3</v>
      </c>
      <c r="V108">
        <v>316</v>
      </c>
      <c r="W108">
        <f t="shared" si="8"/>
        <v>31.6</v>
      </c>
      <c r="AM108">
        <v>41</v>
      </c>
      <c r="AU108">
        <v>67</v>
      </c>
    </row>
    <row r="109" spans="10:47" x14ac:dyDescent="0.25">
      <c r="K109">
        <f t="shared" si="10"/>
        <v>0</v>
      </c>
      <c r="N109">
        <v>319</v>
      </c>
      <c r="O109">
        <f t="shared" si="6"/>
        <v>31.9</v>
      </c>
      <c r="R109">
        <v>314</v>
      </c>
      <c r="S109">
        <f t="shared" si="7"/>
        <v>31.4</v>
      </c>
      <c r="V109">
        <v>316</v>
      </c>
      <c r="W109">
        <f t="shared" si="8"/>
        <v>31.6</v>
      </c>
      <c r="AM109">
        <v>41</v>
      </c>
      <c r="AU109">
        <v>67</v>
      </c>
    </row>
    <row r="110" spans="10:47" x14ac:dyDescent="0.25">
      <c r="K110">
        <f t="shared" si="10"/>
        <v>0</v>
      </c>
      <c r="N110">
        <v>318</v>
      </c>
      <c r="O110">
        <f t="shared" si="6"/>
        <v>31.8</v>
      </c>
      <c r="S110">
        <f t="shared" si="7"/>
        <v>0</v>
      </c>
      <c r="V110">
        <v>316</v>
      </c>
      <c r="W110">
        <f t="shared" si="8"/>
        <v>31.6</v>
      </c>
      <c r="AM110">
        <v>41</v>
      </c>
      <c r="AU110">
        <v>67</v>
      </c>
    </row>
    <row r="111" spans="10:47" x14ac:dyDescent="0.25">
      <c r="K111">
        <f t="shared" si="10"/>
        <v>0</v>
      </c>
      <c r="N111">
        <v>318</v>
      </c>
      <c r="O111">
        <f t="shared" si="6"/>
        <v>31.8</v>
      </c>
      <c r="S111">
        <f t="shared" si="7"/>
        <v>0</v>
      </c>
      <c r="V111">
        <v>316</v>
      </c>
      <c r="W111">
        <f t="shared" si="8"/>
        <v>31.6</v>
      </c>
      <c r="AM111">
        <v>41</v>
      </c>
      <c r="AU111">
        <v>67</v>
      </c>
    </row>
    <row r="112" spans="10:47" x14ac:dyDescent="0.25">
      <c r="K112">
        <f t="shared" si="10"/>
        <v>0</v>
      </c>
      <c r="N112">
        <v>317</v>
      </c>
      <c r="O112">
        <f t="shared" si="6"/>
        <v>31.7</v>
      </c>
      <c r="S112">
        <f t="shared" si="7"/>
        <v>0</v>
      </c>
      <c r="V112">
        <v>316</v>
      </c>
      <c r="W112">
        <f t="shared" si="8"/>
        <v>31.6</v>
      </c>
      <c r="AM112">
        <v>41</v>
      </c>
      <c r="AU112">
        <v>67</v>
      </c>
    </row>
    <row r="113" spans="11:47" x14ac:dyDescent="0.25">
      <c r="K113">
        <f t="shared" si="10"/>
        <v>0</v>
      </c>
      <c r="N113">
        <v>317</v>
      </c>
      <c r="O113">
        <f t="shared" si="6"/>
        <v>31.7</v>
      </c>
      <c r="S113">
        <f t="shared" si="7"/>
        <v>0</v>
      </c>
      <c r="V113">
        <v>316</v>
      </c>
      <c r="W113">
        <f t="shared" si="8"/>
        <v>31.6</v>
      </c>
      <c r="AM113">
        <v>41</v>
      </c>
      <c r="AU113">
        <v>67</v>
      </c>
    </row>
    <row r="114" spans="11:47" x14ac:dyDescent="0.25">
      <c r="K114">
        <f t="shared" si="10"/>
        <v>0</v>
      </c>
      <c r="N114">
        <v>316</v>
      </c>
      <c r="O114">
        <f t="shared" si="6"/>
        <v>31.6</v>
      </c>
      <c r="S114">
        <f t="shared" si="7"/>
        <v>0</v>
      </c>
      <c r="V114">
        <v>315</v>
      </c>
      <c r="W114">
        <f t="shared" si="8"/>
        <v>31.5</v>
      </c>
      <c r="AM114">
        <v>41</v>
      </c>
      <c r="AU114">
        <v>67</v>
      </c>
    </row>
    <row r="115" spans="11:47" x14ac:dyDescent="0.25">
      <c r="K115">
        <f t="shared" si="10"/>
        <v>0</v>
      </c>
      <c r="N115">
        <v>316</v>
      </c>
      <c r="O115">
        <f t="shared" si="6"/>
        <v>31.6</v>
      </c>
      <c r="S115">
        <f t="shared" si="7"/>
        <v>0</v>
      </c>
      <c r="V115">
        <v>316</v>
      </c>
      <c r="W115">
        <f t="shared" si="8"/>
        <v>31.6</v>
      </c>
      <c r="AM115">
        <v>41</v>
      </c>
      <c r="AU115">
        <v>67</v>
      </c>
    </row>
    <row r="116" spans="11:47" x14ac:dyDescent="0.25">
      <c r="K116">
        <f t="shared" si="10"/>
        <v>0</v>
      </c>
      <c r="N116">
        <v>315</v>
      </c>
      <c r="O116">
        <f t="shared" si="6"/>
        <v>31.5</v>
      </c>
      <c r="S116">
        <f t="shared" si="7"/>
        <v>0</v>
      </c>
      <c r="V116">
        <v>315</v>
      </c>
      <c r="W116">
        <f t="shared" si="8"/>
        <v>31.5</v>
      </c>
      <c r="AM116">
        <v>41</v>
      </c>
      <c r="AU116">
        <v>67</v>
      </c>
    </row>
    <row r="117" spans="11:47" x14ac:dyDescent="0.25">
      <c r="K117">
        <f t="shared" si="10"/>
        <v>0</v>
      </c>
      <c r="N117">
        <v>315</v>
      </c>
      <c r="O117">
        <f t="shared" si="6"/>
        <v>31.5</v>
      </c>
      <c r="S117">
        <f t="shared" si="7"/>
        <v>0</v>
      </c>
      <c r="V117">
        <v>316</v>
      </c>
      <c r="W117">
        <f t="shared" si="8"/>
        <v>31.6</v>
      </c>
      <c r="AM117">
        <v>41</v>
      </c>
      <c r="AU117">
        <v>67</v>
      </c>
    </row>
    <row r="118" spans="11:47" x14ac:dyDescent="0.25">
      <c r="K118">
        <f t="shared" si="10"/>
        <v>0</v>
      </c>
      <c r="N118">
        <v>315</v>
      </c>
      <c r="O118">
        <f t="shared" si="6"/>
        <v>31.5</v>
      </c>
      <c r="S118">
        <f t="shared" si="7"/>
        <v>0</v>
      </c>
      <c r="V118">
        <v>315</v>
      </c>
      <c r="W118">
        <f t="shared" si="8"/>
        <v>31.5</v>
      </c>
      <c r="AM118">
        <v>41</v>
      </c>
      <c r="AU118">
        <v>67</v>
      </c>
    </row>
    <row r="119" spans="11:47" x14ac:dyDescent="0.25">
      <c r="K119">
        <f t="shared" si="10"/>
        <v>0</v>
      </c>
      <c r="N119">
        <v>315</v>
      </c>
      <c r="O119">
        <f t="shared" si="6"/>
        <v>31.5</v>
      </c>
      <c r="S119">
        <f t="shared" si="7"/>
        <v>0</v>
      </c>
      <c r="V119">
        <v>315</v>
      </c>
      <c r="W119">
        <f t="shared" si="8"/>
        <v>31.5</v>
      </c>
      <c r="AM119">
        <v>41</v>
      </c>
      <c r="AU119">
        <v>67</v>
      </c>
    </row>
    <row r="120" spans="11:47" x14ac:dyDescent="0.25">
      <c r="K120">
        <f t="shared" si="10"/>
        <v>0</v>
      </c>
      <c r="N120">
        <v>315</v>
      </c>
      <c r="O120">
        <f t="shared" si="6"/>
        <v>31.5</v>
      </c>
      <c r="S120">
        <f t="shared" si="7"/>
        <v>0</v>
      </c>
      <c r="V120">
        <v>315</v>
      </c>
      <c r="W120">
        <f t="shared" si="8"/>
        <v>31.5</v>
      </c>
      <c r="AM120">
        <v>41</v>
      </c>
      <c r="AU120">
        <v>67</v>
      </c>
    </row>
    <row r="121" spans="11:47" x14ac:dyDescent="0.25">
      <c r="K121">
        <f t="shared" si="10"/>
        <v>0</v>
      </c>
      <c r="N121">
        <v>315</v>
      </c>
      <c r="O121">
        <f t="shared" si="6"/>
        <v>31.5</v>
      </c>
      <c r="S121">
        <f t="shared" si="7"/>
        <v>0</v>
      </c>
      <c r="V121">
        <v>316</v>
      </c>
      <c r="W121">
        <f t="shared" si="8"/>
        <v>31.6</v>
      </c>
      <c r="AM121">
        <v>41</v>
      </c>
      <c r="AU121">
        <v>67</v>
      </c>
    </row>
    <row r="122" spans="11:47" x14ac:dyDescent="0.25">
      <c r="K122">
        <f t="shared" si="10"/>
        <v>0</v>
      </c>
      <c r="N122">
        <v>315</v>
      </c>
      <c r="O122">
        <f t="shared" si="6"/>
        <v>31.5</v>
      </c>
      <c r="S122">
        <f t="shared" si="7"/>
        <v>0</v>
      </c>
      <c r="V122">
        <v>316</v>
      </c>
      <c r="W122">
        <f t="shared" si="8"/>
        <v>31.6</v>
      </c>
      <c r="AM122">
        <v>40</v>
      </c>
      <c r="AU122">
        <v>67</v>
      </c>
    </row>
    <row r="123" spans="11:47" x14ac:dyDescent="0.25">
      <c r="K123">
        <f t="shared" si="10"/>
        <v>0</v>
      </c>
      <c r="N123">
        <v>315</v>
      </c>
      <c r="O123">
        <f t="shared" si="6"/>
        <v>31.5</v>
      </c>
      <c r="S123">
        <f t="shared" si="7"/>
        <v>0</v>
      </c>
      <c r="V123">
        <v>317</v>
      </c>
      <c r="W123">
        <f t="shared" si="8"/>
        <v>31.7</v>
      </c>
      <c r="AM123">
        <v>40</v>
      </c>
      <c r="AU123">
        <v>67</v>
      </c>
    </row>
    <row r="124" spans="11:47" x14ac:dyDescent="0.25">
      <c r="K124">
        <f t="shared" si="10"/>
        <v>0</v>
      </c>
      <c r="N124">
        <v>315</v>
      </c>
      <c r="O124">
        <f t="shared" si="6"/>
        <v>31.5</v>
      </c>
      <c r="S124">
        <f t="shared" si="7"/>
        <v>0</v>
      </c>
      <c r="V124">
        <v>317</v>
      </c>
      <c r="W124">
        <f t="shared" si="8"/>
        <v>31.7</v>
      </c>
      <c r="AM124">
        <v>40</v>
      </c>
      <c r="AU124">
        <v>67</v>
      </c>
    </row>
    <row r="125" spans="11:47" x14ac:dyDescent="0.25">
      <c r="K125">
        <f t="shared" si="10"/>
        <v>0</v>
      </c>
      <c r="N125">
        <v>315</v>
      </c>
      <c r="O125">
        <f t="shared" si="6"/>
        <v>31.5</v>
      </c>
      <c r="S125">
        <f t="shared" si="7"/>
        <v>0</v>
      </c>
      <c r="V125">
        <v>318</v>
      </c>
      <c r="W125">
        <f t="shared" si="8"/>
        <v>31.8</v>
      </c>
      <c r="AM125">
        <v>40</v>
      </c>
      <c r="AU125">
        <v>67</v>
      </c>
    </row>
    <row r="126" spans="11:47" x14ac:dyDescent="0.25">
      <c r="K126">
        <f t="shared" si="10"/>
        <v>0</v>
      </c>
      <c r="N126">
        <v>315</v>
      </c>
      <c r="O126">
        <f t="shared" si="6"/>
        <v>31.5</v>
      </c>
      <c r="S126">
        <f t="shared" si="7"/>
        <v>0</v>
      </c>
      <c r="V126">
        <v>318</v>
      </c>
      <c r="W126">
        <f t="shared" si="8"/>
        <v>31.8</v>
      </c>
      <c r="AM126">
        <v>40</v>
      </c>
      <c r="AU126">
        <v>67</v>
      </c>
    </row>
    <row r="127" spans="11:47" x14ac:dyDescent="0.25">
      <c r="K127">
        <f t="shared" si="10"/>
        <v>0</v>
      </c>
      <c r="N127">
        <v>315</v>
      </c>
      <c r="O127">
        <f t="shared" si="6"/>
        <v>31.5</v>
      </c>
      <c r="S127">
        <f t="shared" si="7"/>
        <v>0</v>
      </c>
      <c r="V127">
        <v>319</v>
      </c>
      <c r="W127">
        <f t="shared" si="8"/>
        <v>31.9</v>
      </c>
      <c r="AM127">
        <v>40</v>
      </c>
      <c r="AU127">
        <v>67</v>
      </c>
    </row>
    <row r="128" spans="11:47" x14ac:dyDescent="0.25">
      <c r="K128">
        <f t="shared" si="10"/>
        <v>0</v>
      </c>
      <c r="N128">
        <v>316</v>
      </c>
      <c r="O128">
        <f t="shared" si="6"/>
        <v>31.6</v>
      </c>
      <c r="S128">
        <f t="shared" si="7"/>
        <v>0</v>
      </c>
      <c r="V128">
        <v>319</v>
      </c>
      <c r="W128">
        <f t="shared" si="8"/>
        <v>31.9</v>
      </c>
      <c r="AM128">
        <v>40</v>
      </c>
      <c r="AU128">
        <v>67</v>
      </c>
    </row>
    <row r="129" spans="11:47" x14ac:dyDescent="0.25">
      <c r="K129">
        <f t="shared" si="10"/>
        <v>0</v>
      </c>
      <c r="N129">
        <v>316</v>
      </c>
      <c r="O129">
        <f t="shared" si="6"/>
        <v>31.6</v>
      </c>
      <c r="S129">
        <f t="shared" si="7"/>
        <v>0</v>
      </c>
      <c r="V129">
        <v>320</v>
      </c>
      <c r="W129">
        <f t="shared" si="8"/>
        <v>32</v>
      </c>
      <c r="AM129">
        <v>40</v>
      </c>
      <c r="AU129">
        <v>67</v>
      </c>
    </row>
    <row r="130" spans="11:47" x14ac:dyDescent="0.25">
      <c r="K130">
        <f t="shared" si="10"/>
        <v>0</v>
      </c>
      <c r="N130">
        <v>316</v>
      </c>
      <c r="O130">
        <f t="shared" si="6"/>
        <v>31.6</v>
      </c>
      <c r="S130">
        <f t="shared" si="7"/>
        <v>0</v>
      </c>
      <c r="V130">
        <v>320</v>
      </c>
      <c r="W130">
        <f t="shared" si="8"/>
        <v>32</v>
      </c>
      <c r="AM130">
        <v>40</v>
      </c>
      <c r="AU130">
        <v>67</v>
      </c>
    </row>
    <row r="131" spans="11:47" x14ac:dyDescent="0.25">
      <c r="K131">
        <f t="shared" si="10"/>
        <v>0</v>
      </c>
      <c r="N131">
        <v>316</v>
      </c>
      <c r="O131">
        <f t="shared" si="6"/>
        <v>31.6</v>
      </c>
      <c r="S131">
        <f t="shared" si="7"/>
        <v>0</v>
      </c>
      <c r="V131">
        <v>320</v>
      </c>
      <c r="W131">
        <f t="shared" si="8"/>
        <v>32</v>
      </c>
      <c r="AM131">
        <v>40</v>
      </c>
      <c r="AU131">
        <v>67</v>
      </c>
    </row>
    <row r="132" spans="11:47" x14ac:dyDescent="0.25">
      <c r="K132">
        <f t="shared" si="10"/>
        <v>0</v>
      </c>
      <c r="N132">
        <v>316</v>
      </c>
      <c r="O132">
        <f t="shared" ref="O132:O195" si="11">N132/10</f>
        <v>31.6</v>
      </c>
      <c r="S132">
        <f t="shared" ref="S132:S195" si="12">R132/10</f>
        <v>0</v>
      </c>
      <c r="V132">
        <v>321</v>
      </c>
      <c r="W132">
        <f t="shared" ref="W132:W195" si="13">V132/10</f>
        <v>32.1</v>
      </c>
      <c r="AM132">
        <v>39</v>
      </c>
      <c r="AU132">
        <v>66</v>
      </c>
    </row>
    <row r="133" spans="11:47" x14ac:dyDescent="0.25">
      <c r="K133">
        <f t="shared" si="10"/>
        <v>0</v>
      </c>
      <c r="N133">
        <v>316</v>
      </c>
      <c r="O133">
        <f t="shared" si="11"/>
        <v>31.6</v>
      </c>
      <c r="S133">
        <f t="shared" si="12"/>
        <v>0</v>
      </c>
      <c r="V133">
        <v>321</v>
      </c>
      <c r="W133">
        <f t="shared" si="13"/>
        <v>32.1</v>
      </c>
      <c r="AM133">
        <v>39</v>
      </c>
      <c r="AU133">
        <v>67</v>
      </c>
    </row>
    <row r="134" spans="11:47" x14ac:dyDescent="0.25">
      <c r="K134">
        <f t="shared" si="10"/>
        <v>0</v>
      </c>
      <c r="N134">
        <v>316</v>
      </c>
      <c r="O134">
        <f t="shared" si="11"/>
        <v>31.6</v>
      </c>
      <c r="S134">
        <f t="shared" si="12"/>
        <v>0</v>
      </c>
      <c r="V134">
        <v>321</v>
      </c>
      <c r="W134">
        <f t="shared" si="13"/>
        <v>32.1</v>
      </c>
      <c r="AM134">
        <v>39</v>
      </c>
      <c r="AU134">
        <v>67</v>
      </c>
    </row>
    <row r="135" spans="11:47" x14ac:dyDescent="0.25">
      <c r="K135">
        <f t="shared" si="10"/>
        <v>0</v>
      </c>
      <c r="N135">
        <v>317</v>
      </c>
      <c r="O135">
        <f t="shared" si="11"/>
        <v>31.7</v>
      </c>
      <c r="S135">
        <f t="shared" si="12"/>
        <v>0</v>
      </c>
      <c r="V135">
        <v>321</v>
      </c>
      <c r="W135">
        <f t="shared" si="13"/>
        <v>32.1</v>
      </c>
      <c r="AM135">
        <v>39</v>
      </c>
      <c r="AU135">
        <v>66</v>
      </c>
    </row>
    <row r="136" spans="11:47" x14ac:dyDescent="0.25">
      <c r="K136">
        <f t="shared" si="10"/>
        <v>0</v>
      </c>
      <c r="N136">
        <v>317</v>
      </c>
      <c r="O136">
        <f t="shared" si="11"/>
        <v>31.7</v>
      </c>
      <c r="S136">
        <f t="shared" si="12"/>
        <v>0</v>
      </c>
      <c r="V136">
        <v>322</v>
      </c>
      <c r="W136">
        <f t="shared" si="13"/>
        <v>32.200000000000003</v>
      </c>
      <c r="AM136">
        <v>39</v>
      </c>
      <c r="AU136">
        <v>66</v>
      </c>
    </row>
    <row r="137" spans="11:47" x14ac:dyDescent="0.25">
      <c r="K137">
        <f t="shared" si="10"/>
        <v>0</v>
      </c>
      <c r="N137">
        <v>316</v>
      </c>
      <c r="O137">
        <f t="shared" si="11"/>
        <v>31.6</v>
      </c>
      <c r="S137">
        <f t="shared" si="12"/>
        <v>0</v>
      </c>
      <c r="V137">
        <v>322</v>
      </c>
      <c r="W137">
        <f t="shared" si="13"/>
        <v>32.200000000000003</v>
      </c>
      <c r="AM137">
        <v>39</v>
      </c>
      <c r="AU137">
        <v>67</v>
      </c>
    </row>
    <row r="138" spans="11:47" x14ac:dyDescent="0.25">
      <c r="K138">
        <f t="shared" si="10"/>
        <v>0</v>
      </c>
      <c r="N138">
        <v>317</v>
      </c>
      <c r="O138">
        <f t="shared" si="11"/>
        <v>31.7</v>
      </c>
      <c r="S138">
        <f t="shared" si="12"/>
        <v>0</v>
      </c>
      <c r="V138">
        <v>322</v>
      </c>
      <c r="W138">
        <f t="shared" si="13"/>
        <v>32.200000000000003</v>
      </c>
      <c r="AM138">
        <v>39</v>
      </c>
      <c r="AU138">
        <v>66</v>
      </c>
    </row>
    <row r="139" spans="11:47" x14ac:dyDescent="0.25">
      <c r="K139">
        <f t="shared" si="10"/>
        <v>0</v>
      </c>
      <c r="N139">
        <v>317</v>
      </c>
      <c r="O139">
        <f t="shared" si="11"/>
        <v>31.7</v>
      </c>
      <c r="S139">
        <f t="shared" si="12"/>
        <v>0</v>
      </c>
      <c r="V139">
        <v>322</v>
      </c>
      <c r="W139">
        <f t="shared" si="13"/>
        <v>32.200000000000003</v>
      </c>
      <c r="AM139">
        <v>39</v>
      </c>
      <c r="AU139">
        <v>67</v>
      </c>
    </row>
    <row r="140" spans="11:47" x14ac:dyDescent="0.25">
      <c r="K140">
        <f t="shared" si="10"/>
        <v>0</v>
      </c>
      <c r="N140">
        <v>317</v>
      </c>
      <c r="O140">
        <f t="shared" si="11"/>
        <v>31.7</v>
      </c>
      <c r="S140">
        <f t="shared" si="12"/>
        <v>0</v>
      </c>
      <c r="V140">
        <v>322</v>
      </c>
      <c r="W140">
        <f t="shared" si="13"/>
        <v>32.200000000000003</v>
      </c>
      <c r="AM140">
        <v>39</v>
      </c>
      <c r="AU140">
        <v>66</v>
      </c>
    </row>
    <row r="141" spans="11:47" x14ac:dyDescent="0.25">
      <c r="K141">
        <f t="shared" si="10"/>
        <v>0</v>
      </c>
      <c r="N141">
        <v>317</v>
      </c>
      <c r="O141">
        <f t="shared" si="11"/>
        <v>31.7</v>
      </c>
      <c r="S141">
        <f t="shared" si="12"/>
        <v>0</v>
      </c>
      <c r="V141">
        <v>322</v>
      </c>
      <c r="W141">
        <f t="shared" si="13"/>
        <v>32.200000000000003</v>
      </c>
      <c r="AM141">
        <v>39</v>
      </c>
      <c r="AU141">
        <v>67</v>
      </c>
    </row>
    <row r="142" spans="11:47" x14ac:dyDescent="0.25">
      <c r="K142">
        <f t="shared" si="10"/>
        <v>0</v>
      </c>
      <c r="N142">
        <v>317</v>
      </c>
      <c r="O142">
        <f t="shared" si="11"/>
        <v>31.7</v>
      </c>
      <c r="S142">
        <f t="shared" si="12"/>
        <v>0</v>
      </c>
      <c r="V142">
        <v>322</v>
      </c>
      <c r="W142">
        <f t="shared" si="13"/>
        <v>32.200000000000003</v>
      </c>
      <c r="AM142">
        <v>39</v>
      </c>
      <c r="AU142">
        <v>66</v>
      </c>
    </row>
    <row r="143" spans="11:47" x14ac:dyDescent="0.25">
      <c r="K143">
        <f t="shared" si="10"/>
        <v>0</v>
      </c>
      <c r="N143">
        <v>317</v>
      </c>
      <c r="O143">
        <f t="shared" si="11"/>
        <v>31.7</v>
      </c>
      <c r="S143">
        <f t="shared" si="12"/>
        <v>0</v>
      </c>
      <c r="V143">
        <v>323</v>
      </c>
      <c r="W143">
        <f t="shared" si="13"/>
        <v>32.299999999999997</v>
      </c>
      <c r="AM143">
        <v>39</v>
      </c>
      <c r="AU143">
        <v>67</v>
      </c>
    </row>
    <row r="144" spans="11:47" x14ac:dyDescent="0.25">
      <c r="K144">
        <f t="shared" si="10"/>
        <v>0</v>
      </c>
      <c r="N144">
        <v>317</v>
      </c>
      <c r="O144">
        <f t="shared" si="11"/>
        <v>31.7</v>
      </c>
      <c r="S144">
        <f t="shared" si="12"/>
        <v>0</v>
      </c>
      <c r="V144">
        <v>322</v>
      </c>
      <c r="W144">
        <f t="shared" si="13"/>
        <v>32.200000000000003</v>
      </c>
      <c r="AM144">
        <v>39</v>
      </c>
      <c r="AU144">
        <v>67</v>
      </c>
    </row>
    <row r="145" spans="11:47" x14ac:dyDescent="0.25">
      <c r="K145">
        <f t="shared" si="10"/>
        <v>0</v>
      </c>
      <c r="N145">
        <v>317</v>
      </c>
      <c r="O145">
        <f t="shared" si="11"/>
        <v>31.7</v>
      </c>
      <c r="S145">
        <f t="shared" si="12"/>
        <v>0</v>
      </c>
      <c r="V145">
        <v>323</v>
      </c>
      <c r="W145">
        <f t="shared" si="13"/>
        <v>32.299999999999997</v>
      </c>
      <c r="AM145">
        <v>39</v>
      </c>
      <c r="AU145">
        <v>67</v>
      </c>
    </row>
    <row r="146" spans="11:47" x14ac:dyDescent="0.25">
      <c r="K146">
        <f t="shared" si="10"/>
        <v>0</v>
      </c>
      <c r="N146">
        <v>317</v>
      </c>
      <c r="O146">
        <f t="shared" si="11"/>
        <v>31.7</v>
      </c>
      <c r="S146">
        <f t="shared" si="12"/>
        <v>0</v>
      </c>
      <c r="V146">
        <v>323</v>
      </c>
      <c r="W146">
        <f t="shared" si="13"/>
        <v>32.299999999999997</v>
      </c>
      <c r="AM146">
        <v>39</v>
      </c>
      <c r="AU146">
        <v>67</v>
      </c>
    </row>
    <row r="147" spans="11:47" x14ac:dyDescent="0.25">
      <c r="K147">
        <f t="shared" si="10"/>
        <v>0</v>
      </c>
      <c r="N147">
        <v>318</v>
      </c>
      <c r="O147">
        <f t="shared" si="11"/>
        <v>31.8</v>
      </c>
      <c r="S147">
        <f t="shared" si="12"/>
        <v>0</v>
      </c>
      <c r="V147">
        <v>323</v>
      </c>
      <c r="W147">
        <f t="shared" si="13"/>
        <v>32.299999999999997</v>
      </c>
      <c r="AM147">
        <v>39</v>
      </c>
      <c r="AU147">
        <v>67</v>
      </c>
    </row>
    <row r="148" spans="11:47" x14ac:dyDescent="0.25">
      <c r="K148">
        <f t="shared" si="10"/>
        <v>0</v>
      </c>
      <c r="N148">
        <v>317</v>
      </c>
      <c r="O148">
        <f t="shared" si="11"/>
        <v>31.7</v>
      </c>
      <c r="S148">
        <f t="shared" si="12"/>
        <v>0</v>
      </c>
      <c r="V148">
        <v>323</v>
      </c>
      <c r="W148">
        <f t="shared" si="13"/>
        <v>32.299999999999997</v>
      </c>
      <c r="AM148">
        <v>39</v>
      </c>
      <c r="AU148">
        <v>67</v>
      </c>
    </row>
    <row r="149" spans="11:47" x14ac:dyDescent="0.25">
      <c r="K149">
        <f t="shared" si="10"/>
        <v>0</v>
      </c>
      <c r="N149">
        <v>318</v>
      </c>
      <c r="O149">
        <f t="shared" si="11"/>
        <v>31.8</v>
      </c>
      <c r="S149">
        <f t="shared" si="12"/>
        <v>0</v>
      </c>
      <c r="V149">
        <v>323</v>
      </c>
      <c r="W149">
        <f t="shared" si="13"/>
        <v>32.299999999999997</v>
      </c>
      <c r="AM149">
        <v>38</v>
      </c>
      <c r="AU149">
        <v>67</v>
      </c>
    </row>
    <row r="150" spans="11:47" x14ac:dyDescent="0.25">
      <c r="K150">
        <f t="shared" si="10"/>
        <v>0</v>
      </c>
      <c r="N150">
        <v>318</v>
      </c>
      <c r="O150">
        <f t="shared" si="11"/>
        <v>31.8</v>
      </c>
      <c r="S150">
        <f t="shared" si="12"/>
        <v>0</v>
      </c>
      <c r="V150">
        <v>323</v>
      </c>
      <c r="W150">
        <f t="shared" si="13"/>
        <v>32.299999999999997</v>
      </c>
      <c r="AM150">
        <v>38</v>
      </c>
      <c r="AU150">
        <v>67</v>
      </c>
    </row>
    <row r="151" spans="11:47" x14ac:dyDescent="0.25">
      <c r="K151">
        <f t="shared" si="10"/>
        <v>0</v>
      </c>
      <c r="N151">
        <v>318</v>
      </c>
      <c r="O151">
        <f t="shared" si="11"/>
        <v>31.8</v>
      </c>
      <c r="S151">
        <f t="shared" si="12"/>
        <v>0</v>
      </c>
      <c r="V151">
        <v>322</v>
      </c>
      <c r="W151">
        <f t="shared" si="13"/>
        <v>32.200000000000003</v>
      </c>
      <c r="AM151">
        <v>38</v>
      </c>
      <c r="AU151">
        <v>67</v>
      </c>
    </row>
    <row r="152" spans="11:47" x14ac:dyDescent="0.25">
      <c r="K152">
        <f t="shared" si="10"/>
        <v>0</v>
      </c>
      <c r="N152">
        <v>318</v>
      </c>
      <c r="O152">
        <f t="shared" si="11"/>
        <v>31.8</v>
      </c>
      <c r="S152">
        <f t="shared" si="12"/>
        <v>0</v>
      </c>
      <c r="V152">
        <v>323</v>
      </c>
      <c r="W152">
        <f t="shared" si="13"/>
        <v>32.299999999999997</v>
      </c>
      <c r="AM152">
        <v>38</v>
      </c>
      <c r="AU152">
        <v>66</v>
      </c>
    </row>
    <row r="153" spans="11:47" x14ac:dyDescent="0.25">
      <c r="K153">
        <f t="shared" si="10"/>
        <v>0</v>
      </c>
      <c r="N153">
        <v>318</v>
      </c>
      <c r="O153">
        <f t="shared" si="11"/>
        <v>31.8</v>
      </c>
      <c r="S153">
        <f t="shared" si="12"/>
        <v>0</v>
      </c>
      <c r="V153">
        <v>322</v>
      </c>
      <c r="W153">
        <f t="shared" si="13"/>
        <v>32.200000000000003</v>
      </c>
      <c r="AM153">
        <v>38</v>
      </c>
      <c r="AU153">
        <v>66</v>
      </c>
    </row>
    <row r="154" spans="11:47" x14ac:dyDescent="0.25">
      <c r="K154">
        <f t="shared" si="10"/>
        <v>0</v>
      </c>
      <c r="N154">
        <v>318</v>
      </c>
      <c r="O154">
        <f t="shared" si="11"/>
        <v>31.8</v>
      </c>
      <c r="S154">
        <f t="shared" si="12"/>
        <v>0</v>
      </c>
      <c r="W154">
        <f t="shared" si="13"/>
        <v>0</v>
      </c>
      <c r="AM154">
        <v>38</v>
      </c>
      <c r="AU154">
        <v>66</v>
      </c>
    </row>
    <row r="155" spans="11:47" x14ac:dyDescent="0.25">
      <c r="K155">
        <f t="shared" si="10"/>
        <v>0</v>
      </c>
      <c r="N155">
        <v>318</v>
      </c>
      <c r="O155">
        <f t="shared" si="11"/>
        <v>31.8</v>
      </c>
      <c r="S155">
        <f t="shared" si="12"/>
        <v>0</v>
      </c>
      <c r="W155">
        <f t="shared" si="13"/>
        <v>0</v>
      </c>
      <c r="AM155">
        <v>38</v>
      </c>
      <c r="AU155">
        <v>65</v>
      </c>
    </row>
    <row r="156" spans="11:47" x14ac:dyDescent="0.25">
      <c r="K156">
        <f t="shared" si="10"/>
        <v>0</v>
      </c>
      <c r="N156">
        <v>318</v>
      </c>
      <c r="O156">
        <f t="shared" si="11"/>
        <v>31.8</v>
      </c>
      <c r="S156">
        <f t="shared" si="12"/>
        <v>0</v>
      </c>
      <c r="W156">
        <f t="shared" si="13"/>
        <v>0</v>
      </c>
      <c r="AM156">
        <v>38</v>
      </c>
      <c r="AU156">
        <v>61</v>
      </c>
    </row>
    <row r="157" spans="11:47" x14ac:dyDescent="0.25">
      <c r="K157">
        <f t="shared" si="10"/>
        <v>0</v>
      </c>
      <c r="N157">
        <v>318</v>
      </c>
      <c r="O157">
        <f t="shared" si="11"/>
        <v>31.8</v>
      </c>
      <c r="S157">
        <f t="shared" si="12"/>
        <v>0</v>
      </c>
      <c r="W157">
        <f t="shared" si="13"/>
        <v>0</v>
      </c>
      <c r="AM157">
        <v>38</v>
      </c>
    </row>
    <row r="158" spans="11:47" x14ac:dyDescent="0.25">
      <c r="K158">
        <f t="shared" si="10"/>
        <v>0</v>
      </c>
      <c r="N158">
        <v>318</v>
      </c>
      <c r="O158">
        <f t="shared" si="11"/>
        <v>31.8</v>
      </c>
      <c r="S158">
        <f t="shared" si="12"/>
        <v>0</v>
      </c>
      <c r="W158">
        <f t="shared" si="13"/>
        <v>0</v>
      </c>
      <c r="AM158">
        <v>38</v>
      </c>
    </row>
    <row r="159" spans="11:47" x14ac:dyDescent="0.25">
      <c r="K159">
        <f t="shared" si="10"/>
        <v>0</v>
      </c>
      <c r="N159">
        <v>318</v>
      </c>
      <c r="O159">
        <f t="shared" si="11"/>
        <v>31.8</v>
      </c>
      <c r="S159">
        <f t="shared" si="12"/>
        <v>0</v>
      </c>
      <c r="W159">
        <f t="shared" si="13"/>
        <v>0</v>
      </c>
      <c r="AM159">
        <v>38</v>
      </c>
    </row>
    <row r="160" spans="11:47" x14ac:dyDescent="0.25">
      <c r="K160">
        <f t="shared" si="10"/>
        <v>0</v>
      </c>
      <c r="N160">
        <v>319</v>
      </c>
      <c r="O160">
        <f t="shared" si="11"/>
        <v>31.9</v>
      </c>
      <c r="S160">
        <f t="shared" si="12"/>
        <v>0</v>
      </c>
      <c r="W160">
        <f t="shared" si="13"/>
        <v>0</v>
      </c>
      <c r="AM160">
        <v>38</v>
      </c>
    </row>
    <row r="161" spans="11:39" x14ac:dyDescent="0.25">
      <c r="K161">
        <f t="shared" si="10"/>
        <v>0</v>
      </c>
      <c r="N161">
        <v>318</v>
      </c>
      <c r="O161">
        <f t="shared" si="11"/>
        <v>31.8</v>
      </c>
      <c r="S161">
        <f t="shared" si="12"/>
        <v>0</v>
      </c>
      <c r="W161">
        <f t="shared" si="13"/>
        <v>0</v>
      </c>
      <c r="AM161">
        <v>38</v>
      </c>
    </row>
    <row r="162" spans="11:39" x14ac:dyDescent="0.25">
      <c r="K162">
        <f t="shared" si="10"/>
        <v>0</v>
      </c>
      <c r="N162">
        <v>319</v>
      </c>
      <c r="O162">
        <f t="shared" si="11"/>
        <v>31.9</v>
      </c>
      <c r="S162">
        <f t="shared" si="12"/>
        <v>0</v>
      </c>
      <c r="W162">
        <f t="shared" si="13"/>
        <v>0</v>
      </c>
      <c r="AM162">
        <v>38</v>
      </c>
    </row>
    <row r="163" spans="11:39" x14ac:dyDescent="0.25">
      <c r="K163">
        <f t="shared" si="10"/>
        <v>0</v>
      </c>
      <c r="N163">
        <v>319</v>
      </c>
      <c r="O163">
        <f t="shared" si="11"/>
        <v>31.9</v>
      </c>
      <c r="S163">
        <f t="shared" si="12"/>
        <v>0</v>
      </c>
      <c r="W163">
        <f t="shared" si="13"/>
        <v>0</v>
      </c>
      <c r="AM163">
        <v>38</v>
      </c>
    </row>
    <row r="164" spans="11:39" x14ac:dyDescent="0.25">
      <c r="K164">
        <f t="shared" si="10"/>
        <v>0</v>
      </c>
      <c r="N164">
        <v>318</v>
      </c>
      <c r="O164">
        <f t="shared" si="11"/>
        <v>31.8</v>
      </c>
      <c r="S164">
        <f t="shared" si="12"/>
        <v>0</v>
      </c>
      <c r="W164">
        <f t="shared" si="13"/>
        <v>0</v>
      </c>
      <c r="AM164">
        <v>39</v>
      </c>
    </row>
    <row r="165" spans="11:39" x14ac:dyDescent="0.25">
      <c r="K165">
        <f t="shared" si="10"/>
        <v>0</v>
      </c>
      <c r="N165">
        <v>319</v>
      </c>
      <c r="O165">
        <f t="shared" si="11"/>
        <v>31.9</v>
      </c>
      <c r="S165">
        <f t="shared" si="12"/>
        <v>0</v>
      </c>
      <c r="W165">
        <f t="shared" si="13"/>
        <v>0</v>
      </c>
      <c r="AM165">
        <v>39</v>
      </c>
    </row>
    <row r="166" spans="11:39" x14ac:dyDescent="0.25">
      <c r="K166">
        <f t="shared" si="10"/>
        <v>0</v>
      </c>
      <c r="N166">
        <v>318</v>
      </c>
      <c r="O166">
        <f t="shared" si="11"/>
        <v>31.8</v>
      </c>
      <c r="S166">
        <f t="shared" si="12"/>
        <v>0</v>
      </c>
      <c r="W166">
        <f t="shared" si="13"/>
        <v>0</v>
      </c>
      <c r="AM166">
        <v>40</v>
      </c>
    </row>
    <row r="167" spans="11:39" x14ac:dyDescent="0.25">
      <c r="K167">
        <f t="shared" ref="K167:K202" si="14">J167/10</f>
        <v>0</v>
      </c>
      <c r="N167">
        <v>318</v>
      </c>
      <c r="O167">
        <f t="shared" si="11"/>
        <v>31.8</v>
      </c>
      <c r="S167">
        <f t="shared" si="12"/>
        <v>0</v>
      </c>
      <c r="W167">
        <f t="shared" si="13"/>
        <v>0</v>
      </c>
      <c r="AM167">
        <v>40</v>
      </c>
    </row>
    <row r="168" spans="11:39" x14ac:dyDescent="0.25">
      <c r="K168">
        <f t="shared" si="14"/>
        <v>0</v>
      </c>
      <c r="N168">
        <v>318</v>
      </c>
      <c r="O168">
        <f t="shared" si="11"/>
        <v>31.8</v>
      </c>
      <c r="S168">
        <f t="shared" si="12"/>
        <v>0</v>
      </c>
      <c r="W168">
        <f t="shared" si="13"/>
        <v>0</v>
      </c>
      <c r="AM168">
        <v>41</v>
      </c>
    </row>
    <row r="169" spans="11:39" x14ac:dyDescent="0.25">
      <c r="K169">
        <f t="shared" si="14"/>
        <v>0</v>
      </c>
      <c r="N169">
        <v>318</v>
      </c>
      <c r="O169">
        <f t="shared" si="11"/>
        <v>31.8</v>
      </c>
      <c r="S169">
        <f t="shared" si="12"/>
        <v>0</v>
      </c>
      <c r="W169">
        <f t="shared" si="13"/>
        <v>0</v>
      </c>
      <c r="AM169">
        <v>41</v>
      </c>
    </row>
    <row r="170" spans="11:39" x14ac:dyDescent="0.25">
      <c r="K170">
        <f t="shared" si="14"/>
        <v>0</v>
      </c>
      <c r="N170">
        <v>318</v>
      </c>
      <c r="O170">
        <f t="shared" si="11"/>
        <v>31.8</v>
      </c>
      <c r="S170">
        <f t="shared" si="12"/>
        <v>0</v>
      </c>
      <c r="W170">
        <f t="shared" si="13"/>
        <v>0</v>
      </c>
      <c r="AM170">
        <v>42</v>
      </c>
    </row>
    <row r="171" spans="11:39" x14ac:dyDescent="0.25">
      <c r="K171">
        <f t="shared" si="14"/>
        <v>0</v>
      </c>
      <c r="N171">
        <v>317</v>
      </c>
      <c r="O171">
        <f t="shared" si="11"/>
        <v>31.7</v>
      </c>
      <c r="S171">
        <f t="shared" si="12"/>
        <v>0</v>
      </c>
      <c r="W171">
        <f t="shared" si="13"/>
        <v>0</v>
      </c>
      <c r="AM171">
        <v>42</v>
      </c>
    </row>
    <row r="172" spans="11:39" x14ac:dyDescent="0.25">
      <c r="K172">
        <f t="shared" si="14"/>
        <v>0</v>
      </c>
      <c r="N172">
        <v>318</v>
      </c>
      <c r="O172">
        <f t="shared" si="11"/>
        <v>31.8</v>
      </c>
      <c r="S172">
        <f t="shared" si="12"/>
        <v>0</v>
      </c>
      <c r="W172">
        <f t="shared" si="13"/>
        <v>0</v>
      </c>
      <c r="AM172">
        <v>42</v>
      </c>
    </row>
    <row r="173" spans="11:39" x14ac:dyDescent="0.25">
      <c r="K173">
        <f t="shared" si="14"/>
        <v>0</v>
      </c>
      <c r="N173">
        <v>317</v>
      </c>
      <c r="O173">
        <f t="shared" si="11"/>
        <v>31.7</v>
      </c>
      <c r="S173">
        <f t="shared" si="12"/>
        <v>0</v>
      </c>
      <c r="W173">
        <f t="shared" si="13"/>
        <v>0</v>
      </c>
      <c r="AM173">
        <v>43</v>
      </c>
    </row>
    <row r="174" spans="11:39" x14ac:dyDescent="0.25">
      <c r="K174">
        <f t="shared" si="14"/>
        <v>0</v>
      </c>
      <c r="N174">
        <v>318</v>
      </c>
      <c r="O174">
        <f t="shared" si="11"/>
        <v>31.8</v>
      </c>
      <c r="S174">
        <f t="shared" si="12"/>
        <v>0</v>
      </c>
      <c r="W174">
        <f t="shared" si="13"/>
        <v>0</v>
      </c>
      <c r="AM174">
        <v>43</v>
      </c>
    </row>
    <row r="175" spans="11:39" x14ac:dyDescent="0.25">
      <c r="K175">
        <f t="shared" si="14"/>
        <v>0</v>
      </c>
      <c r="N175">
        <v>318</v>
      </c>
      <c r="O175">
        <f t="shared" si="11"/>
        <v>31.8</v>
      </c>
      <c r="S175">
        <f t="shared" si="12"/>
        <v>0</v>
      </c>
      <c r="W175">
        <f t="shared" si="13"/>
        <v>0</v>
      </c>
      <c r="AM175">
        <v>43</v>
      </c>
    </row>
    <row r="176" spans="11:39" x14ac:dyDescent="0.25">
      <c r="K176">
        <f t="shared" si="14"/>
        <v>0</v>
      </c>
      <c r="N176">
        <v>318</v>
      </c>
      <c r="O176">
        <f t="shared" si="11"/>
        <v>31.8</v>
      </c>
      <c r="S176">
        <f t="shared" si="12"/>
        <v>0</v>
      </c>
      <c r="W176">
        <f t="shared" si="13"/>
        <v>0</v>
      </c>
      <c r="AM176">
        <v>43</v>
      </c>
    </row>
    <row r="177" spans="11:39" x14ac:dyDescent="0.25">
      <c r="K177">
        <f t="shared" si="14"/>
        <v>0</v>
      </c>
      <c r="N177">
        <v>318</v>
      </c>
      <c r="O177">
        <f t="shared" si="11"/>
        <v>31.8</v>
      </c>
      <c r="S177">
        <f t="shared" si="12"/>
        <v>0</v>
      </c>
      <c r="W177">
        <f t="shared" si="13"/>
        <v>0</v>
      </c>
      <c r="AM177">
        <v>43</v>
      </c>
    </row>
    <row r="178" spans="11:39" x14ac:dyDescent="0.25">
      <c r="K178">
        <f t="shared" si="14"/>
        <v>0</v>
      </c>
      <c r="N178">
        <v>319</v>
      </c>
      <c r="O178">
        <f t="shared" si="11"/>
        <v>31.9</v>
      </c>
      <c r="S178">
        <f t="shared" si="12"/>
        <v>0</v>
      </c>
      <c r="W178">
        <f t="shared" si="13"/>
        <v>0</v>
      </c>
      <c r="AM178">
        <v>43</v>
      </c>
    </row>
    <row r="179" spans="11:39" x14ac:dyDescent="0.25">
      <c r="K179">
        <f t="shared" si="14"/>
        <v>0</v>
      </c>
      <c r="N179">
        <v>319</v>
      </c>
      <c r="O179">
        <f t="shared" si="11"/>
        <v>31.9</v>
      </c>
      <c r="S179">
        <f t="shared" si="12"/>
        <v>0</v>
      </c>
      <c r="W179">
        <f t="shared" si="13"/>
        <v>0</v>
      </c>
      <c r="AM179">
        <v>43</v>
      </c>
    </row>
    <row r="180" spans="11:39" x14ac:dyDescent="0.25">
      <c r="K180">
        <f t="shared" si="14"/>
        <v>0</v>
      </c>
      <c r="N180">
        <v>319</v>
      </c>
      <c r="O180">
        <f t="shared" si="11"/>
        <v>31.9</v>
      </c>
      <c r="S180">
        <f t="shared" si="12"/>
        <v>0</v>
      </c>
      <c r="W180">
        <f t="shared" si="13"/>
        <v>0</v>
      </c>
      <c r="AM180">
        <v>42</v>
      </c>
    </row>
    <row r="181" spans="11:39" x14ac:dyDescent="0.25">
      <c r="K181">
        <f t="shared" si="14"/>
        <v>0</v>
      </c>
      <c r="N181">
        <v>319</v>
      </c>
      <c r="O181">
        <f t="shared" si="11"/>
        <v>31.9</v>
      </c>
      <c r="S181">
        <f t="shared" si="12"/>
        <v>0</v>
      </c>
      <c r="W181">
        <f t="shared" si="13"/>
        <v>0</v>
      </c>
      <c r="AM181">
        <v>41</v>
      </c>
    </row>
    <row r="182" spans="11:39" x14ac:dyDescent="0.25">
      <c r="K182">
        <f t="shared" si="14"/>
        <v>0</v>
      </c>
      <c r="N182">
        <v>319</v>
      </c>
      <c r="O182">
        <f t="shared" si="11"/>
        <v>31.9</v>
      </c>
      <c r="S182">
        <f t="shared" si="12"/>
        <v>0</v>
      </c>
      <c r="W182">
        <f t="shared" si="13"/>
        <v>0</v>
      </c>
      <c r="AM182">
        <v>39</v>
      </c>
    </row>
    <row r="183" spans="11:39" x14ac:dyDescent="0.25">
      <c r="K183">
        <f t="shared" si="14"/>
        <v>0</v>
      </c>
      <c r="N183">
        <v>319</v>
      </c>
      <c r="O183">
        <f t="shared" si="11"/>
        <v>31.9</v>
      </c>
      <c r="S183">
        <f t="shared" si="12"/>
        <v>0</v>
      </c>
      <c r="W183">
        <f t="shared" si="13"/>
        <v>0</v>
      </c>
      <c r="AM183">
        <v>38</v>
      </c>
    </row>
    <row r="184" spans="11:39" x14ac:dyDescent="0.25">
      <c r="K184">
        <f t="shared" si="14"/>
        <v>0</v>
      </c>
      <c r="N184">
        <v>319</v>
      </c>
      <c r="O184">
        <f t="shared" si="11"/>
        <v>31.9</v>
      </c>
      <c r="S184">
        <f t="shared" si="12"/>
        <v>0</v>
      </c>
      <c r="W184">
        <f t="shared" si="13"/>
        <v>0</v>
      </c>
      <c r="AM184">
        <v>37</v>
      </c>
    </row>
    <row r="185" spans="11:39" x14ac:dyDescent="0.25">
      <c r="K185">
        <f t="shared" si="14"/>
        <v>0</v>
      </c>
      <c r="N185">
        <v>318</v>
      </c>
      <c r="O185">
        <f t="shared" si="11"/>
        <v>31.8</v>
      </c>
      <c r="S185">
        <f t="shared" si="12"/>
        <v>0</v>
      </c>
      <c r="W185">
        <f t="shared" si="13"/>
        <v>0</v>
      </c>
      <c r="AM185">
        <v>36</v>
      </c>
    </row>
    <row r="186" spans="11:39" x14ac:dyDescent="0.25">
      <c r="K186">
        <f t="shared" si="14"/>
        <v>0</v>
      </c>
      <c r="N186">
        <v>319</v>
      </c>
      <c r="O186">
        <f t="shared" si="11"/>
        <v>31.9</v>
      </c>
      <c r="S186">
        <f t="shared" si="12"/>
        <v>0</v>
      </c>
      <c r="W186">
        <f t="shared" si="13"/>
        <v>0</v>
      </c>
      <c r="AM186">
        <v>35</v>
      </c>
    </row>
    <row r="187" spans="11:39" x14ac:dyDescent="0.25">
      <c r="K187">
        <f t="shared" si="14"/>
        <v>0</v>
      </c>
      <c r="N187">
        <v>318</v>
      </c>
      <c r="O187">
        <f t="shared" si="11"/>
        <v>31.8</v>
      </c>
      <c r="S187">
        <f t="shared" si="12"/>
        <v>0</v>
      </c>
      <c r="W187">
        <f t="shared" si="13"/>
        <v>0</v>
      </c>
      <c r="AM187">
        <v>35</v>
      </c>
    </row>
    <row r="188" spans="11:39" x14ac:dyDescent="0.25">
      <c r="K188">
        <f t="shared" si="14"/>
        <v>0</v>
      </c>
      <c r="N188">
        <v>319</v>
      </c>
      <c r="O188">
        <f t="shared" si="11"/>
        <v>31.9</v>
      </c>
      <c r="S188">
        <f t="shared" si="12"/>
        <v>0</v>
      </c>
      <c r="W188">
        <f t="shared" si="13"/>
        <v>0</v>
      </c>
      <c r="AM188">
        <v>35</v>
      </c>
    </row>
    <row r="189" spans="11:39" x14ac:dyDescent="0.25">
      <c r="K189">
        <f t="shared" si="14"/>
        <v>0</v>
      </c>
      <c r="N189">
        <v>319</v>
      </c>
      <c r="O189">
        <f t="shared" si="11"/>
        <v>31.9</v>
      </c>
      <c r="S189">
        <f t="shared" si="12"/>
        <v>0</v>
      </c>
      <c r="W189">
        <f t="shared" si="13"/>
        <v>0</v>
      </c>
      <c r="AM189">
        <v>35</v>
      </c>
    </row>
    <row r="190" spans="11:39" x14ac:dyDescent="0.25">
      <c r="K190">
        <f t="shared" si="14"/>
        <v>0</v>
      </c>
      <c r="N190">
        <v>320</v>
      </c>
      <c r="O190">
        <f t="shared" si="11"/>
        <v>32</v>
      </c>
      <c r="S190">
        <f t="shared" si="12"/>
        <v>0</v>
      </c>
      <c r="W190">
        <f t="shared" si="13"/>
        <v>0</v>
      </c>
      <c r="AM190">
        <v>35</v>
      </c>
    </row>
    <row r="191" spans="11:39" x14ac:dyDescent="0.25">
      <c r="K191">
        <f t="shared" si="14"/>
        <v>0</v>
      </c>
      <c r="N191">
        <v>320</v>
      </c>
      <c r="O191">
        <f t="shared" si="11"/>
        <v>32</v>
      </c>
      <c r="S191">
        <f t="shared" si="12"/>
        <v>0</v>
      </c>
      <c r="W191">
        <f t="shared" si="13"/>
        <v>0</v>
      </c>
      <c r="AM191">
        <v>35</v>
      </c>
    </row>
    <row r="192" spans="11:39" x14ac:dyDescent="0.25">
      <c r="K192">
        <f t="shared" si="14"/>
        <v>0</v>
      </c>
      <c r="N192">
        <v>321</v>
      </c>
      <c r="O192">
        <f t="shared" si="11"/>
        <v>32.1</v>
      </c>
      <c r="S192">
        <f t="shared" si="12"/>
        <v>0</v>
      </c>
      <c r="W192">
        <f t="shared" si="13"/>
        <v>0</v>
      </c>
      <c r="AM192">
        <v>35</v>
      </c>
    </row>
    <row r="193" spans="11:39" x14ac:dyDescent="0.25">
      <c r="K193">
        <f t="shared" si="14"/>
        <v>0</v>
      </c>
      <c r="N193">
        <v>321</v>
      </c>
      <c r="O193">
        <f t="shared" si="11"/>
        <v>32.1</v>
      </c>
      <c r="S193">
        <f t="shared" si="12"/>
        <v>0</v>
      </c>
      <c r="W193">
        <f t="shared" si="13"/>
        <v>0</v>
      </c>
      <c r="AM193">
        <v>34</v>
      </c>
    </row>
    <row r="194" spans="11:39" x14ac:dyDescent="0.25">
      <c r="K194">
        <f t="shared" si="14"/>
        <v>0</v>
      </c>
      <c r="N194">
        <v>322</v>
      </c>
      <c r="O194">
        <f t="shared" si="11"/>
        <v>32.200000000000003</v>
      </c>
      <c r="S194">
        <f t="shared" si="12"/>
        <v>0</v>
      </c>
      <c r="W194">
        <f t="shared" si="13"/>
        <v>0</v>
      </c>
      <c r="AM194">
        <v>34</v>
      </c>
    </row>
    <row r="195" spans="11:39" x14ac:dyDescent="0.25">
      <c r="K195">
        <f t="shared" si="14"/>
        <v>0</v>
      </c>
      <c r="N195">
        <v>322</v>
      </c>
      <c r="O195">
        <f t="shared" si="11"/>
        <v>32.200000000000003</v>
      </c>
      <c r="S195">
        <f t="shared" si="12"/>
        <v>0</v>
      </c>
      <c r="W195">
        <f t="shared" si="13"/>
        <v>0</v>
      </c>
      <c r="AM195">
        <v>34</v>
      </c>
    </row>
    <row r="196" spans="11:39" x14ac:dyDescent="0.25">
      <c r="K196">
        <f t="shared" si="14"/>
        <v>0</v>
      </c>
      <c r="N196">
        <v>323</v>
      </c>
      <c r="O196">
        <f t="shared" ref="O196:O202" si="15">N196/10</f>
        <v>32.299999999999997</v>
      </c>
      <c r="S196">
        <f t="shared" ref="S196:S202" si="16">R196/10</f>
        <v>0</v>
      </c>
      <c r="W196">
        <f t="shared" ref="W196:W202" si="17">V196/10</f>
        <v>0</v>
      </c>
      <c r="AM196">
        <v>34</v>
      </c>
    </row>
    <row r="197" spans="11:39" x14ac:dyDescent="0.25">
      <c r="K197">
        <f t="shared" si="14"/>
        <v>0</v>
      </c>
      <c r="N197">
        <v>323</v>
      </c>
      <c r="O197">
        <f t="shared" si="15"/>
        <v>32.299999999999997</v>
      </c>
      <c r="S197">
        <f t="shared" si="16"/>
        <v>0</v>
      </c>
      <c r="W197">
        <f t="shared" si="17"/>
        <v>0</v>
      </c>
      <c r="AM197">
        <v>34</v>
      </c>
    </row>
    <row r="198" spans="11:39" x14ac:dyDescent="0.25">
      <c r="K198">
        <f t="shared" si="14"/>
        <v>0</v>
      </c>
      <c r="N198">
        <v>324</v>
      </c>
      <c r="O198">
        <f t="shared" si="15"/>
        <v>32.4</v>
      </c>
      <c r="S198">
        <f t="shared" si="16"/>
        <v>0</v>
      </c>
      <c r="W198">
        <f t="shared" si="17"/>
        <v>0</v>
      </c>
      <c r="AM198">
        <v>33</v>
      </c>
    </row>
    <row r="199" spans="11:39" x14ac:dyDescent="0.25">
      <c r="K199">
        <f t="shared" si="14"/>
        <v>0</v>
      </c>
      <c r="N199">
        <v>324</v>
      </c>
      <c r="O199">
        <f t="shared" si="15"/>
        <v>32.4</v>
      </c>
      <c r="S199">
        <f t="shared" si="16"/>
        <v>0</v>
      </c>
      <c r="W199">
        <f t="shared" si="17"/>
        <v>0</v>
      </c>
      <c r="AM199">
        <v>33</v>
      </c>
    </row>
    <row r="200" spans="11:39" x14ac:dyDescent="0.25">
      <c r="K200">
        <f t="shared" si="14"/>
        <v>0</v>
      </c>
      <c r="N200">
        <v>325</v>
      </c>
      <c r="O200">
        <f t="shared" si="15"/>
        <v>32.5</v>
      </c>
      <c r="S200">
        <f t="shared" si="16"/>
        <v>0</v>
      </c>
      <c r="W200">
        <f t="shared" si="17"/>
        <v>0</v>
      </c>
      <c r="AM200">
        <v>33</v>
      </c>
    </row>
    <row r="201" spans="11:39" x14ac:dyDescent="0.25">
      <c r="K201">
        <f t="shared" si="14"/>
        <v>0</v>
      </c>
      <c r="N201">
        <v>325</v>
      </c>
      <c r="O201">
        <f t="shared" si="15"/>
        <v>32.5</v>
      </c>
      <c r="S201">
        <f t="shared" si="16"/>
        <v>0</v>
      </c>
      <c r="W201">
        <f t="shared" si="17"/>
        <v>0</v>
      </c>
      <c r="AM201">
        <v>33</v>
      </c>
    </row>
    <row r="202" spans="11:39" x14ac:dyDescent="0.25">
      <c r="K202">
        <f t="shared" si="14"/>
        <v>0</v>
      </c>
      <c r="N202">
        <v>326</v>
      </c>
      <c r="O202">
        <f t="shared" si="15"/>
        <v>32.6</v>
      </c>
      <c r="S202">
        <f t="shared" si="16"/>
        <v>0</v>
      </c>
      <c r="W202">
        <f t="shared" si="17"/>
        <v>0</v>
      </c>
      <c r="AM202">
        <v>33</v>
      </c>
    </row>
    <row r="203" spans="11:39" x14ac:dyDescent="0.25">
      <c r="AM203">
        <v>33</v>
      </c>
    </row>
    <row r="204" spans="11:39" x14ac:dyDescent="0.25">
      <c r="AM204">
        <v>32</v>
      </c>
    </row>
  </sheetData>
  <mergeCells count="4">
    <mergeCell ref="A10:D10"/>
    <mergeCell ref="F1:AB1"/>
    <mergeCell ref="AE1:BA1"/>
    <mergeCell ref="A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7F8E7-7DE1-4D2C-BEEB-7A98E224FA18}">
  <dimension ref="A1:BA75"/>
  <sheetViews>
    <sheetView topLeftCell="A5" workbookViewId="0">
      <selection activeCell="G16" sqref="G16"/>
    </sheetView>
  </sheetViews>
  <sheetFormatPr defaultRowHeight="15" x14ac:dyDescent="0.25"/>
  <cols>
    <col min="1" max="1" width="11.28515625" bestFit="1" customWidth="1"/>
    <col min="2" max="2" width="9.7109375" bestFit="1" customWidth="1"/>
    <col min="5" max="5" width="17.5703125" bestFit="1" customWidth="1"/>
  </cols>
  <sheetData>
    <row r="1" spans="1:53" x14ac:dyDescent="0.25">
      <c r="A1" s="251" t="s">
        <v>218</v>
      </c>
      <c r="B1" s="251"/>
      <c r="C1" s="251"/>
      <c r="D1" s="251"/>
      <c r="F1" s="248" t="s">
        <v>76</v>
      </c>
      <c r="G1" s="248"/>
      <c r="H1" s="248"/>
      <c r="I1" s="248"/>
      <c r="J1" s="248"/>
      <c r="K1" s="248"/>
      <c r="L1" s="248"/>
      <c r="M1" s="248"/>
      <c r="N1" s="248"/>
      <c r="O1" s="248"/>
      <c r="P1" s="248"/>
      <c r="Q1" s="248"/>
      <c r="R1" s="248"/>
      <c r="S1" s="248"/>
      <c r="T1" s="248"/>
      <c r="U1" s="248"/>
      <c r="V1" s="248"/>
      <c r="W1" s="248"/>
      <c r="X1" s="248"/>
      <c r="Y1" s="248"/>
      <c r="Z1" s="248"/>
      <c r="AA1" s="248"/>
      <c r="AB1" s="248"/>
      <c r="AE1" s="249" t="s">
        <v>124</v>
      </c>
      <c r="AF1" s="250"/>
      <c r="AG1" s="250"/>
      <c r="AH1" s="250"/>
      <c r="AI1" s="250"/>
      <c r="AJ1" s="250"/>
      <c r="AK1" s="250"/>
      <c r="AL1" s="250"/>
      <c r="AM1" s="250"/>
      <c r="AN1" s="250"/>
      <c r="AO1" s="250"/>
      <c r="AP1" s="250"/>
      <c r="AQ1" s="250"/>
      <c r="AR1" s="250"/>
      <c r="AS1" s="250"/>
      <c r="AT1" s="250"/>
      <c r="AU1" s="250"/>
      <c r="AV1" s="250"/>
      <c r="AW1" s="250"/>
      <c r="AX1" s="250"/>
      <c r="AY1" s="250"/>
      <c r="AZ1" s="250"/>
      <c r="BA1" s="250"/>
    </row>
    <row r="2" spans="1:53" x14ac:dyDescent="0.25">
      <c r="A2" s="137" t="s">
        <v>74</v>
      </c>
      <c r="B2" s="31" t="s">
        <v>75</v>
      </c>
      <c r="C2" s="138" t="s">
        <v>126</v>
      </c>
      <c r="D2" s="31" t="s">
        <v>79</v>
      </c>
      <c r="F2" s="10" t="s">
        <v>125</v>
      </c>
      <c r="G2" s="10" t="s">
        <v>125</v>
      </c>
      <c r="H2" s="10" t="s">
        <v>125</v>
      </c>
      <c r="J2" s="10" t="s">
        <v>84</v>
      </c>
      <c r="K2" s="10" t="s">
        <v>84</v>
      </c>
      <c r="L2" s="10" t="s">
        <v>84</v>
      </c>
      <c r="N2" s="10" t="s">
        <v>83</v>
      </c>
      <c r="O2" s="10" t="s">
        <v>83</v>
      </c>
      <c r="P2" s="10" t="s">
        <v>83</v>
      </c>
      <c r="R2" s="10" t="s">
        <v>82</v>
      </c>
      <c r="S2" s="10" t="s">
        <v>82</v>
      </c>
      <c r="T2" s="10" t="s">
        <v>82</v>
      </c>
      <c r="V2" s="10" t="s">
        <v>81</v>
      </c>
      <c r="W2" s="10" t="s">
        <v>81</v>
      </c>
      <c r="X2" s="10" t="s">
        <v>81</v>
      </c>
      <c r="Z2" s="10" t="s">
        <v>80</v>
      </c>
      <c r="AA2" s="10" t="s">
        <v>80</v>
      </c>
      <c r="AB2" s="10" t="s">
        <v>80</v>
      </c>
      <c r="AE2" s="10" t="s">
        <v>125</v>
      </c>
      <c r="AF2" s="10" t="s">
        <v>125</v>
      </c>
      <c r="AG2" s="10" t="s">
        <v>125</v>
      </c>
      <c r="AI2" s="10" t="s">
        <v>84</v>
      </c>
      <c r="AJ2" s="10" t="s">
        <v>84</v>
      </c>
      <c r="AK2" s="10" t="s">
        <v>84</v>
      </c>
      <c r="AM2" s="10" t="s">
        <v>83</v>
      </c>
      <c r="AN2" s="10" t="s">
        <v>83</v>
      </c>
      <c r="AO2" s="10" t="s">
        <v>83</v>
      </c>
      <c r="AQ2" s="10" t="s">
        <v>82</v>
      </c>
      <c r="AR2" s="10" t="s">
        <v>82</v>
      </c>
      <c r="AS2" s="10" t="s">
        <v>82</v>
      </c>
      <c r="AU2" s="10" t="s">
        <v>81</v>
      </c>
      <c r="AV2" s="10" t="s">
        <v>81</v>
      </c>
      <c r="AW2" s="10" t="s">
        <v>81</v>
      </c>
      <c r="AY2" s="10" t="s">
        <v>80</v>
      </c>
      <c r="AZ2" s="10" t="s">
        <v>80</v>
      </c>
      <c r="BA2" s="10" t="s">
        <v>80</v>
      </c>
    </row>
    <row r="3" spans="1:53" x14ac:dyDescent="0.25">
      <c r="A3" s="139" t="s">
        <v>80</v>
      </c>
      <c r="B3" s="140">
        <v>77.400000000000006</v>
      </c>
      <c r="C3" s="141">
        <v>32.06</v>
      </c>
      <c r="D3" s="149">
        <v>1.1000000000000001</v>
      </c>
      <c r="J3">
        <v>323</v>
      </c>
      <c r="K3">
        <f>J3/10</f>
        <v>32.299999999999997</v>
      </c>
      <c r="L3" s="73">
        <f>AVERAGE(K3:K72)</f>
        <v>31.918571428571433</v>
      </c>
      <c r="N3">
        <v>319</v>
      </c>
      <c r="O3">
        <f>N3/10</f>
        <v>31.9</v>
      </c>
      <c r="P3" s="73">
        <f>AVERAGE(O3:O73)</f>
        <v>31.857746478873242</v>
      </c>
      <c r="R3">
        <v>316</v>
      </c>
      <c r="S3">
        <f>R3/10</f>
        <v>31.6</v>
      </c>
      <c r="T3" s="73">
        <f>AVERAGE(S3:S74)</f>
        <v>31.936111111111124</v>
      </c>
      <c r="V3">
        <v>319</v>
      </c>
      <c r="W3">
        <f>V3/10</f>
        <v>31.9</v>
      </c>
      <c r="X3" s="73">
        <f>AVERAGE(W3:W75)</f>
        <v>31.894520547945227</v>
      </c>
      <c r="Z3">
        <v>315</v>
      </c>
      <c r="AA3">
        <f>Z3/10</f>
        <v>31.5</v>
      </c>
      <c r="AB3" s="73">
        <f>AVERAGE(AA3:AA72)</f>
        <v>32.058571428571412</v>
      </c>
      <c r="AI3">
        <v>28</v>
      </c>
      <c r="AJ3" s="73">
        <f>AVERAGE(AI3:AI71)</f>
        <v>26.739130434782609</v>
      </c>
      <c r="AM3">
        <v>47</v>
      </c>
      <c r="AN3" s="73">
        <f>AVERAGE(AM3:AM74)</f>
        <v>42.361111111111114</v>
      </c>
      <c r="AQ3">
        <v>55</v>
      </c>
      <c r="AR3" s="73">
        <f>AVERAGE(AQ3:AQ73)</f>
        <v>55.732394366197184</v>
      </c>
      <c r="AU3">
        <v>64</v>
      </c>
      <c r="AV3" s="73">
        <f>AVERAGE(AU3:AU74)</f>
        <v>66.861111111111114</v>
      </c>
      <c r="AY3">
        <v>76</v>
      </c>
      <c r="AZ3" s="73">
        <f>AVERAGE(AY3:AY72)</f>
        <v>77.400000000000006</v>
      </c>
    </row>
    <row r="4" spans="1:53" x14ac:dyDescent="0.25">
      <c r="A4" s="142" t="s">
        <v>81</v>
      </c>
      <c r="B4" s="143">
        <v>66.86</v>
      </c>
      <c r="C4" s="141">
        <v>31.89</v>
      </c>
      <c r="D4" s="142">
        <v>1.6</v>
      </c>
      <c r="J4">
        <v>323</v>
      </c>
      <c r="K4">
        <f t="shared" ref="K4:K67" si="0">J4/10</f>
        <v>32.299999999999997</v>
      </c>
      <c r="N4">
        <v>319</v>
      </c>
      <c r="O4">
        <f t="shared" ref="O4:O67" si="1">N4/10</f>
        <v>31.9</v>
      </c>
      <c r="R4">
        <v>316</v>
      </c>
      <c r="S4">
        <f t="shared" ref="S4:S67" si="2">R4/10</f>
        <v>31.6</v>
      </c>
      <c r="V4">
        <v>318</v>
      </c>
      <c r="W4">
        <f t="shared" ref="W4:W67" si="3">V4/10</f>
        <v>31.8</v>
      </c>
      <c r="Z4">
        <v>316</v>
      </c>
      <c r="AA4">
        <f t="shared" ref="AA4:AA67" si="4">Z4/10</f>
        <v>31.6</v>
      </c>
      <c r="AI4">
        <v>28</v>
      </c>
      <c r="AM4">
        <v>47</v>
      </c>
      <c r="AQ4">
        <v>55</v>
      </c>
      <c r="AU4">
        <v>64</v>
      </c>
      <c r="AY4">
        <v>76</v>
      </c>
    </row>
    <row r="5" spans="1:53" x14ac:dyDescent="0.25">
      <c r="A5" s="142" t="s">
        <v>82</v>
      </c>
      <c r="B5" s="143">
        <v>55.73</v>
      </c>
      <c r="C5" s="141">
        <v>31.94</v>
      </c>
      <c r="D5" s="150">
        <v>2.1</v>
      </c>
      <c r="J5">
        <v>323</v>
      </c>
      <c r="K5">
        <f t="shared" si="0"/>
        <v>32.299999999999997</v>
      </c>
      <c r="N5">
        <v>319</v>
      </c>
      <c r="O5">
        <f t="shared" si="1"/>
        <v>31.9</v>
      </c>
      <c r="R5">
        <v>317</v>
      </c>
      <c r="S5">
        <f t="shared" si="2"/>
        <v>31.7</v>
      </c>
      <c r="V5">
        <v>317</v>
      </c>
      <c r="W5">
        <f t="shared" si="3"/>
        <v>31.7</v>
      </c>
      <c r="Z5">
        <v>316</v>
      </c>
      <c r="AA5">
        <f t="shared" si="4"/>
        <v>31.6</v>
      </c>
      <c r="AI5">
        <v>27</v>
      </c>
      <c r="AM5">
        <v>47</v>
      </c>
      <c r="AQ5">
        <v>55</v>
      </c>
      <c r="AU5">
        <v>65</v>
      </c>
      <c r="AY5">
        <v>77</v>
      </c>
    </row>
    <row r="6" spans="1:53" x14ac:dyDescent="0.25">
      <c r="A6" s="142" t="s">
        <v>83</v>
      </c>
      <c r="B6" s="143">
        <v>42.36</v>
      </c>
      <c r="C6" s="141">
        <v>31.86</v>
      </c>
      <c r="D6" s="142">
        <v>2.7</v>
      </c>
      <c r="J6">
        <v>323</v>
      </c>
      <c r="K6">
        <f t="shared" si="0"/>
        <v>32.299999999999997</v>
      </c>
      <c r="N6">
        <v>318</v>
      </c>
      <c r="O6">
        <f t="shared" si="1"/>
        <v>31.8</v>
      </c>
      <c r="R6">
        <v>317</v>
      </c>
      <c r="S6">
        <f t="shared" si="2"/>
        <v>31.7</v>
      </c>
      <c r="V6">
        <v>316</v>
      </c>
      <c r="W6">
        <f t="shared" si="3"/>
        <v>31.6</v>
      </c>
      <c r="Z6">
        <v>317</v>
      </c>
      <c r="AA6">
        <f t="shared" si="4"/>
        <v>31.7</v>
      </c>
      <c r="AI6">
        <v>27</v>
      </c>
      <c r="AM6">
        <v>47</v>
      </c>
      <c r="AQ6">
        <v>55</v>
      </c>
      <c r="AU6">
        <v>66</v>
      </c>
      <c r="AY6">
        <v>77</v>
      </c>
    </row>
    <row r="7" spans="1:53" x14ac:dyDescent="0.25">
      <c r="A7" s="144" t="s">
        <v>84</v>
      </c>
      <c r="B7" s="145">
        <v>26.74</v>
      </c>
      <c r="C7" s="146">
        <v>31.92</v>
      </c>
      <c r="D7" s="144">
        <v>3.5</v>
      </c>
      <c r="J7">
        <v>322</v>
      </c>
      <c r="K7">
        <f t="shared" si="0"/>
        <v>32.200000000000003</v>
      </c>
      <c r="N7">
        <v>318</v>
      </c>
      <c r="O7">
        <f t="shared" si="1"/>
        <v>31.8</v>
      </c>
      <c r="R7">
        <v>318</v>
      </c>
      <c r="S7">
        <f t="shared" si="2"/>
        <v>31.8</v>
      </c>
      <c r="V7">
        <v>316</v>
      </c>
      <c r="W7">
        <f t="shared" si="3"/>
        <v>31.6</v>
      </c>
      <c r="Z7">
        <v>317</v>
      </c>
      <c r="AA7">
        <f t="shared" si="4"/>
        <v>31.7</v>
      </c>
      <c r="AI7">
        <v>28</v>
      </c>
      <c r="AM7">
        <v>47</v>
      </c>
      <c r="AQ7">
        <v>55</v>
      </c>
      <c r="AU7">
        <v>66</v>
      </c>
      <c r="AY7">
        <v>77</v>
      </c>
    </row>
    <row r="8" spans="1:53" x14ac:dyDescent="0.25">
      <c r="J8">
        <v>323</v>
      </c>
      <c r="K8">
        <f t="shared" si="0"/>
        <v>32.299999999999997</v>
      </c>
      <c r="N8">
        <v>318</v>
      </c>
      <c r="O8">
        <f t="shared" si="1"/>
        <v>31.8</v>
      </c>
      <c r="R8">
        <v>318</v>
      </c>
      <c r="S8">
        <f t="shared" si="2"/>
        <v>31.8</v>
      </c>
      <c r="V8">
        <v>315</v>
      </c>
      <c r="W8">
        <f t="shared" si="3"/>
        <v>31.5</v>
      </c>
      <c r="Z8">
        <v>318</v>
      </c>
      <c r="AA8">
        <f t="shared" si="4"/>
        <v>31.8</v>
      </c>
      <c r="AI8">
        <v>28</v>
      </c>
      <c r="AM8">
        <v>47</v>
      </c>
      <c r="AQ8">
        <v>55</v>
      </c>
      <c r="AU8">
        <v>67</v>
      </c>
      <c r="AY8">
        <v>78</v>
      </c>
    </row>
    <row r="9" spans="1:53" x14ac:dyDescent="0.25">
      <c r="J9">
        <v>323</v>
      </c>
      <c r="K9">
        <f t="shared" si="0"/>
        <v>32.299999999999997</v>
      </c>
      <c r="N9">
        <v>319</v>
      </c>
      <c r="O9">
        <f t="shared" si="1"/>
        <v>31.9</v>
      </c>
      <c r="R9">
        <v>319</v>
      </c>
      <c r="S9">
        <f t="shared" si="2"/>
        <v>31.9</v>
      </c>
      <c r="V9">
        <v>315</v>
      </c>
      <c r="W9">
        <f t="shared" si="3"/>
        <v>31.5</v>
      </c>
      <c r="Z9">
        <v>318</v>
      </c>
      <c r="AA9">
        <f t="shared" si="4"/>
        <v>31.8</v>
      </c>
      <c r="AI9">
        <v>28</v>
      </c>
      <c r="AM9">
        <v>47</v>
      </c>
      <c r="AQ9">
        <v>55</v>
      </c>
      <c r="AU9">
        <v>67</v>
      </c>
      <c r="AY9">
        <v>77</v>
      </c>
    </row>
    <row r="10" spans="1:53" x14ac:dyDescent="0.25">
      <c r="A10" s="247" t="s">
        <v>266</v>
      </c>
      <c r="B10" s="247"/>
      <c r="C10" s="247"/>
      <c r="D10" s="247"/>
      <c r="J10">
        <v>322</v>
      </c>
      <c r="K10">
        <f t="shared" si="0"/>
        <v>32.200000000000003</v>
      </c>
      <c r="N10">
        <v>319</v>
      </c>
      <c r="O10">
        <f t="shared" si="1"/>
        <v>31.9</v>
      </c>
      <c r="R10">
        <v>319</v>
      </c>
      <c r="S10">
        <f t="shared" si="2"/>
        <v>31.9</v>
      </c>
      <c r="V10">
        <v>314</v>
      </c>
      <c r="W10">
        <f t="shared" si="3"/>
        <v>31.4</v>
      </c>
      <c r="Z10">
        <v>319</v>
      </c>
      <c r="AA10">
        <f t="shared" si="4"/>
        <v>31.9</v>
      </c>
      <c r="AI10">
        <v>28</v>
      </c>
      <c r="AM10">
        <v>46</v>
      </c>
      <c r="AQ10">
        <v>56</v>
      </c>
      <c r="AU10">
        <v>67</v>
      </c>
      <c r="AY10">
        <v>78</v>
      </c>
    </row>
    <row r="11" spans="1:53" x14ac:dyDescent="0.25">
      <c r="A11" s="31" t="s">
        <v>223</v>
      </c>
      <c r="B11" s="31" t="s">
        <v>220</v>
      </c>
      <c r="C11" s="31" t="s">
        <v>221</v>
      </c>
      <c r="D11" s="137" t="s">
        <v>222</v>
      </c>
      <c r="E11" s="180" t="s">
        <v>224</v>
      </c>
      <c r="J11">
        <v>323</v>
      </c>
      <c r="K11">
        <f t="shared" si="0"/>
        <v>32.299999999999997</v>
      </c>
      <c r="N11">
        <v>318</v>
      </c>
      <c r="O11">
        <f t="shared" si="1"/>
        <v>31.8</v>
      </c>
      <c r="R11">
        <v>320</v>
      </c>
      <c r="S11">
        <f t="shared" si="2"/>
        <v>32</v>
      </c>
      <c r="V11">
        <v>314</v>
      </c>
      <c r="W11">
        <f t="shared" si="3"/>
        <v>31.4</v>
      </c>
      <c r="Z11">
        <v>319</v>
      </c>
      <c r="AA11">
        <f t="shared" si="4"/>
        <v>31.9</v>
      </c>
      <c r="AI11">
        <v>28</v>
      </c>
      <c r="AM11">
        <v>46</v>
      </c>
      <c r="AQ11">
        <v>55</v>
      </c>
      <c r="AU11">
        <v>67</v>
      </c>
      <c r="AY11">
        <v>78</v>
      </c>
    </row>
    <row r="12" spans="1:53" x14ac:dyDescent="0.25">
      <c r="A12" s="142" t="s">
        <v>80</v>
      </c>
      <c r="B12" s="178">
        <v>0.40972222222222221</v>
      </c>
      <c r="C12" s="178">
        <v>0.43333333333333335</v>
      </c>
      <c r="D12" s="142"/>
      <c r="J12">
        <v>322</v>
      </c>
      <c r="K12">
        <f t="shared" si="0"/>
        <v>32.200000000000003</v>
      </c>
      <c r="N12">
        <v>319</v>
      </c>
      <c r="O12">
        <f t="shared" si="1"/>
        <v>31.9</v>
      </c>
      <c r="R12">
        <v>320</v>
      </c>
      <c r="S12">
        <f t="shared" si="2"/>
        <v>32</v>
      </c>
      <c r="V12">
        <v>314</v>
      </c>
      <c r="W12">
        <f t="shared" si="3"/>
        <v>31.4</v>
      </c>
      <c r="Z12">
        <v>320</v>
      </c>
      <c r="AA12">
        <f t="shared" si="4"/>
        <v>32</v>
      </c>
      <c r="AI12">
        <v>27</v>
      </c>
      <c r="AM12">
        <v>46</v>
      </c>
      <c r="AQ12">
        <v>56</v>
      </c>
      <c r="AU12">
        <v>68</v>
      </c>
      <c r="AY12">
        <v>78</v>
      </c>
    </row>
    <row r="13" spans="1:53" x14ac:dyDescent="0.25">
      <c r="A13" s="142" t="s">
        <v>81</v>
      </c>
      <c r="B13" s="178">
        <v>0.45694444444444443</v>
      </c>
      <c r="C13" s="178">
        <v>0.48125000000000001</v>
      </c>
      <c r="D13" s="142"/>
      <c r="J13">
        <v>323</v>
      </c>
      <c r="K13">
        <f t="shared" si="0"/>
        <v>32.299999999999997</v>
      </c>
      <c r="N13">
        <v>319</v>
      </c>
      <c r="O13">
        <f t="shared" si="1"/>
        <v>31.9</v>
      </c>
      <c r="R13">
        <v>321</v>
      </c>
      <c r="S13">
        <f t="shared" si="2"/>
        <v>32.1</v>
      </c>
      <c r="V13">
        <v>314</v>
      </c>
      <c r="W13">
        <f t="shared" si="3"/>
        <v>31.4</v>
      </c>
      <c r="Z13">
        <v>320</v>
      </c>
      <c r="AA13">
        <f t="shared" si="4"/>
        <v>32</v>
      </c>
      <c r="AI13">
        <v>27</v>
      </c>
      <c r="AM13">
        <v>46</v>
      </c>
      <c r="AQ13">
        <v>55</v>
      </c>
      <c r="AU13">
        <v>68</v>
      </c>
      <c r="AY13">
        <v>78</v>
      </c>
    </row>
    <row r="14" spans="1:53" x14ac:dyDescent="0.25">
      <c r="A14" s="142" t="s">
        <v>82</v>
      </c>
      <c r="B14" s="178">
        <v>0.50624999999999998</v>
      </c>
      <c r="C14" s="178">
        <v>0.53055555555555556</v>
      </c>
      <c r="D14" s="142"/>
      <c r="J14">
        <v>322</v>
      </c>
      <c r="K14">
        <f t="shared" si="0"/>
        <v>32.200000000000003</v>
      </c>
      <c r="N14">
        <v>320</v>
      </c>
      <c r="O14">
        <f t="shared" si="1"/>
        <v>32</v>
      </c>
      <c r="R14">
        <v>321</v>
      </c>
      <c r="S14">
        <f t="shared" si="2"/>
        <v>32.1</v>
      </c>
      <c r="V14">
        <v>314</v>
      </c>
      <c r="W14">
        <f t="shared" si="3"/>
        <v>31.4</v>
      </c>
      <c r="Z14">
        <v>321</v>
      </c>
      <c r="AA14">
        <f t="shared" si="4"/>
        <v>32.1</v>
      </c>
      <c r="AI14">
        <v>27</v>
      </c>
      <c r="AM14">
        <v>46</v>
      </c>
      <c r="AQ14">
        <v>56</v>
      </c>
      <c r="AU14">
        <v>68</v>
      </c>
      <c r="AY14">
        <v>78</v>
      </c>
    </row>
    <row r="15" spans="1:53" x14ac:dyDescent="0.25">
      <c r="A15" s="142" t="s">
        <v>83</v>
      </c>
      <c r="B15" s="178">
        <v>0.55555555555555558</v>
      </c>
      <c r="C15" s="178">
        <v>0.57986111111111116</v>
      </c>
      <c r="D15" s="142"/>
      <c r="J15">
        <v>323</v>
      </c>
      <c r="K15">
        <f t="shared" si="0"/>
        <v>32.299999999999997</v>
      </c>
      <c r="N15">
        <v>320</v>
      </c>
      <c r="O15">
        <f t="shared" si="1"/>
        <v>32</v>
      </c>
      <c r="R15">
        <v>322</v>
      </c>
      <c r="S15">
        <f t="shared" si="2"/>
        <v>32.200000000000003</v>
      </c>
      <c r="V15">
        <v>315</v>
      </c>
      <c r="W15">
        <f t="shared" si="3"/>
        <v>31.5</v>
      </c>
      <c r="Z15">
        <v>321</v>
      </c>
      <c r="AA15">
        <f t="shared" si="4"/>
        <v>32.1</v>
      </c>
      <c r="AI15">
        <v>27</v>
      </c>
      <c r="AM15">
        <v>46</v>
      </c>
      <c r="AQ15">
        <v>55</v>
      </c>
      <c r="AU15">
        <v>68</v>
      </c>
      <c r="AY15">
        <v>78</v>
      </c>
    </row>
    <row r="16" spans="1:53" x14ac:dyDescent="0.25">
      <c r="A16" s="154" t="s">
        <v>84</v>
      </c>
      <c r="B16" s="179">
        <v>0.60624999999999996</v>
      </c>
      <c r="C16" s="179">
        <v>0.62986111111111109</v>
      </c>
      <c r="D16" s="157"/>
      <c r="J16">
        <v>322</v>
      </c>
      <c r="K16">
        <f t="shared" si="0"/>
        <v>32.200000000000003</v>
      </c>
      <c r="N16">
        <v>320</v>
      </c>
      <c r="O16">
        <f t="shared" si="1"/>
        <v>32</v>
      </c>
      <c r="R16">
        <v>322</v>
      </c>
      <c r="S16">
        <f t="shared" si="2"/>
        <v>32.200000000000003</v>
      </c>
      <c r="V16">
        <v>314</v>
      </c>
      <c r="W16">
        <f t="shared" si="3"/>
        <v>31.4</v>
      </c>
      <c r="Z16">
        <v>322</v>
      </c>
      <c r="AA16">
        <f t="shared" si="4"/>
        <v>32.200000000000003</v>
      </c>
      <c r="AI16">
        <v>27</v>
      </c>
      <c r="AM16">
        <v>45</v>
      </c>
      <c r="AQ16">
        <v>56</v>
      </c>
      <c r="AU16">
        <v>68</v>
      </c>
      <c r="AY16">
        <v>78</v>
      </c>
    </row>
    <row r="17" spans="1:51" x14ac:dyDescent="0.25">
      <c r="J17">
        <v>322</v>
      </c>
      <c r="K17">
        <f t="shared" si="0"/>
        <v>32.200000000000003</v>
      </c>
      <c r="N17">
        <v>320</v>
      </c>
      <c r="O17">
        <f t="shared" si="1"/>
        <v>32</v>
      </c>
      <c r="R17">
        <v>322</v>
      </c>
      <c r="S17">
        <f t="shared" si="2"/>
        <v>32.200000000000003</v>
      </c>
      <c r="V17">
        <v>315</v>
      </c>
      <c r="W17">
        <f t="shared" si="3"/>
        <v>31.5</v>
      </c>
      <c r="Z17">
        <v>322</v>
      </c>
      <c r="AA17">
        <f t="shared" si="4"/>
        <v>32.200000000000003</v>
      </c>
      <c r="AI17">
        <v>27</v>
      </c>
      <c r="AM17">
        <v>45</v>
      </c>
      <c r="AQ17">
        <v>55</v>
      </c>
      <c r="AU17">
        <v>68</v>
      </c>
      <c r="AY17">
        <v>78</v>
      </c>
    </row>
    <row r="18" spans="1:51" x14ac:dyDescent="0.25">
      <c r="A18" s="31" t="s">
        <v>223</v>
      </c>
      <c r="B18" s="31" t="s">
        <v>220</v>
      </c>
      <c r="C18" s="31" t="s">
        <v>221</v>
      </c>
      <c r="D18" s="137" t="s">
        <v>222</v>
      </c>
      <c r="E18" s="180" t="s">
        <v>267</v>
      </c>
      <c r="J18">
        <v>321</v>
      </c>
      <c r="K18">
        <f t="shared" si="0"/>
        <v>32.1</v>
      </c>
      <c r="N18">
        <v>321</v>
      </c>
      <c r="O18">
        <f t="shared" si="1"/>
        <v>32.1</v>
      </c>
      <c r="R18">
        <v>322</v>
      </c>
      <c r="S18">
        <f t="shared" si="2"/>
        <v>32.200000000000003</v>
      </c>
      <c r="V18">
        <v>315</v>
      </c>
      <c r="W18">
        <f t="shared" si="3"/>
        <v>31.5</v>
      </c>
      <c r="Z18">
        <v>323</v>
      </c>
      <c r="AA18">
        <f t="shared" si="4"/>
        <v>32.299999999999997</v>
      </c>
      <c r="AI18">
        <v>26</v>
      </c>
      <c r="AM18">
        <v>45</v>
      </c>
      <c r="AQ18">
        <v>56</v>
      </c>
      <c r="AU18">
        <v>68</v>
      </c>
      <c r="AY18">
        <v>78</v>
      </c>
    </row>
    <row r="19" spans="1:51" x14ac:dyDescent="0.25">
      <c r="A19" s="142" t="s">
        <v>80</v>
      </c>
      <c r="B19" s="178">
        <v>0.37222222222222223</v>
      </c>
      <c r="C19" s="178">
        <v>0.39652777777777776</v>
      </c>
      <c r="D19" s="142">
        <v>35</v>
      </c>
      <c r="J19">
        <v>321</v>
      </c>
      <c r="K19">
        <f t="shared" si="0"/>
        <v>32.1</v>
      </c>
      <c r="N19">
        <v>321</v>
      </c>
      <c r="O19">
        <f t="shared" si="1"/>
        <v>32.1</v>
      </c>
      <c r="R19">
        <v>322</v>
      </c>
      <c r="S19">
        <f t="shared" si="2"/>
        <v>32.200000000000003</v>
      </c>
      <c r="V19">
        <v>316</v>
      </c>
      <c r="W19">
        <f t="shared" si="3"/>
        <v>31.6</v>
      </c>
      <c r="Z19">
        <v>323</v>
      </c>
      <c r="AA19">
        <f t="shared" si="4"/>
        <v>32.299999999999997</v>
      </c>
      <c r="AI19">
        <v>27</v>
      </c>
      <c r="AM19">
        <v>45</v>
      </c>
      <c r="AQ19">
        <v>56</v>
      </c>
      <c r="AU19">
        <v>67</v>
      </c>
      <c r="AY19">
        <v>77</v>
      </c>
    </row>
    <row r="20" spans="1:51" x14ac:dyDescent="0.25">
      <c r="A20" s="142" t="s">
        <v>81</v>
      </c>
      <c r="B20" s="178">
        <v>0.4201388888888889</v>
      </c>
      <c r="C20" s="178">
        <v>0.44444444444444442</v>
      </c>
      <c r="D20" s="142">
        <v>35</v>
      </c>
      <c r="J20">
        <v>320</v>
      </c>
      <c r="K20">
        <f t="shared" si="0"/>
        <v>32</v>
      </c>
      <c r="N20">
        <v>321</v>
      </c>
      <c r="O20">
        <f t="shared" si="1"/>
        <v>32.1</v>
      </c>
      <c r="R20">
        <v>322</v>
      </c>
      <c r="S20">
        <f t="shared" si="2"/>
        <v>32.200000000000003</v>
      </c>
      <c r="V20">
        <v>316</v>
      </c>
      <c r="W20">
        <f t="shared" si="3"/>
        <v>31.6</v>
      </c>
      <c r="Z20">
        <v>323</v>
      </c>
      <c r="AA20">
        <f t="shared" si="4"/>
        <v>32.299999999999997</v>
      </c>
      <c r="AI20">
        <v>27</v>
      </c>
      <c r="AM20">
        <v>44</v>
      </c>
      <c r="AQ20">
        <v>56</v>
      </c>
      <c r="AU20">
        <v>68</v>
      </c>
      <c r="AY20">
        <v>78</v>
      </c>
    </row>
    <row r="21" spans="1:51" x14ac:dyDescent="0.25">
      <c r="A21" s="142" t="s">
        <v>82</v>
      </c>
      <c r="B21" s="178">
        <v>0.46875</v>
      </c>
      <c r="C21" s="178">
        <v>0.49305555555555558</v>
      </c>
      <c r="D21" s="142">
        <v>35</v>
      </c>
      <c r="J21">
        <v>319</v>
      </c>
      <c r="K21">
        <f t="shared" si="0"/>
        <v>31.9</v>
      </c>
      <c r="N21">
        <v>322</v>
      </c>
      <c r="O21">
        <f t="shared" si="1"/>
        <v>32.200000000000003</v>
      </c>
      <c r="R21">
        <v>322</v>
      </c>
      <c r="S21">
        <f t="shared" si="2"/>
        <v>32.200000000000003</v>
      </c>
      <c r="V21">
        <v>316</v>
      </c>
      <c r="W21">
        <f t="shared" si="3"/>
        <v>31.6</v>
      </c>
      <c r="Z21">
        <v>324</v>
      </c>
      <c r="AA21">
        <f t="shared" si="4"/>
        <v>32.4</v>
      </c>
      <c r="AI21">
        <v>27</v>
      </c>
      <c r="AM21">
        <v>44</v>
      </c>
      <c r="AQ21">
        <v>56</v>
      </c>
      <c r="AU21">
        <v>68</v>
      </c>
      <c r="AY21">
        <v>77</v>
      </c>
    </row>
    <row r="22" spans="1:51" x14ac:dyDescent="0.25">
      <c r="A22" s="142" t="s">
        <v>83</v>
      </c>
      <c r="B22" s="178">
        <v>0.5180555555555556</v>
      </c>
      <c r="C22" s="178">
        <v>0.54236111111111107</v>
      </c>
      <c r="D22" s="142">
        <v>35</v>
      </c>
      <c r="J22">
        <v>318</v>
      </c>
      <c r="K22">
        <f t="shared" si="0"/>
        <v>31.8</v>
      </c>
      <c r="N22">
        <v>322</v>
      </c>
      <c r="O22">
        <f t="shared" si="1"/>
        <v>32.200000000000003</v>
      </c>
      <c r="R22">
        <v>322</v>
      </c>
      <c r="S22">
        <f t="shared" si="2"/>
        <v>32.200000000000003</v>
      </c>
      <c r="V22">
        <v>316</v>
      </c>
      <c r="W22">
        <f t="shared" si="3"/>
        <v>31.6</v>
      </c>
      <c r="Z22">
        <v>324</v>
      </c>
      <c r="AA22">
        <f t="shared" si="4"/>
        <v>32.4</v>
      </c>
      <c r="AI22">
        <v>27</v>
      </c>
      <c r="AM22">
        <v>44</v>
      </c>
      <c r="AQ22">
        <v>56</v>
      </c>
      <c r="AU22">
        <v>68</v>
      </c>
      <c r="AY22">
        <v>77</v>
      </c>
    </row>
    <row r="23" spans="1:51" x14ac:dyDescent="0.25">
      <c r="A23" s="154" t="s">
        <v>84</v>
      </c>
      <c r="B23" s="179">
        <v>0.56874999999999998</v>
      </c>
      <c r="C23" s="179">
        <v>0.59305555555555556</v>
      </c>
      <c r="D23" s="144">
        <v>35</v>
      </c>
      <c r="J23">
        <v>317</v>
      </c>
      <c r="K23">
        <f t="shared" si="0"/>
        <v>31.7</v>
      </c>
      <c r="N23">
        <v>322</v>
      </c>
      <c r="O23">
        <f t="shared" si="1"/>
        <v>32.200000000000003</v>
      </c>
      <c r="R23">
        <v>322</v>
      </c>
      <c r="S23">
        <f t="shared" si="2"/>
        <v>32.200000000000003</v>
      </c>
      <c r="V23">
        <v>317</v>
      </c>
      <c r="W23">
        <f t="shared" si="3"/>
        <v>31.7</v>
      </c>
      <c r="Z23">
        <v>324</v>
      </c>
      <c r="AA23">
        <f t="shared" si="4"/>
        <v>32.4</v>
      </c>
      <c r="AI23">
        <v>27</v>
      </c>
      <c r="AM23">
        <v>44</v>
      </c>
      <c r="AQ23">
        <v>56</v>
      </c>
      <c r="AU23">
        <v>67</v>
      </c>
      <c r="AY23">
        <v>77</v>
      </c>
    </row>
    <row r="24" spans="1:51" x14ac:dyDescent="0.25">
      <c r="J24">
        <v>317</v>
      </c>
      <c r="K24">
        <f t="shared" si="0"/>
        <v>31.7</v>
      </c>
      <c r="N24">
        <v>322</v>
      </c>
      <c r="O24">
        <f t="shared" si="1"/>
        <v>32.200000000000003</v>
      </c>
      <c r="R24">
        <v>322</v>
      </c>
      <c r="S24">
        <f t="shared" si="2"/>
        <v>32.200000000000003</v>
      </c>
      <c r="V24">
        <v>317</v>
      </c>
      <c r="W24">
        <f t="shared" si="3"/>
        <v>31.7</v>
      </c>
      <c r="Z24">
        <v>325</v>
      </c>
      <c r="AA24">
        <f t="shared" si="4"/>
        <v>32.5</v>
      </c>
      <c r="AI24">
        <v>27</v>
      </c>
      <c r="AM24">
        <v>44</v>
      </c>
      <c r="AQ24">
        <v>56</v>
      </c>
      <c r="AU24">
        <v>68</v>
      </c>
      <c r="AY24">
        <v>77</v>
      </c>
    </row>
    <row r="25" spans="1:51" x14ac:dyDescent="0.25">
      <c r="J25">
        <v>316</v>
      </c>
      <c r="K25">
        <f t="shared" si="0"/>
        <v>31.6</v>
      </c>
      <c r="N25">
        <v>322</v>
      </c>
      <c r="O25">
        <f t="shared" si="1"/>
        <v>32.200000000000003</v>
      </c>
      <c r="R25">
        <v>322</v>
      </c>
      <c r="S25">
        <f t="shared" si="2"/>
        <v>32.200000000000003</v>
      </c>
      <c r="V25">
        <v>317</v>
      </c>
      <c r="W25">
        <f t="shared" si="3"/>
        <v>31.7</v>
      </c>
      <c r="Z25">
        <v>325</v>
      </c>
      <c r="AA25">
        <f t="shared" si="4"/>
        <v>32.5</v>
      </c>
      <c r="AI25">
        <v>27</v>
      </c>
      <c r="AM25">
        <v>43</v>
      </c>
      <c r="AQ25">
        <v>56</v>
      </c>
      <c r="AU25">
        <v>67</v>
      </c>
      <c r="AY25">
        <v>77</v>
      </c>
    </row>
    <row r="26" spans="1:51" x14ac:dyDescent="0.25">
      <c r="J26">
        <v>316</v>
      </c>
      <c r="K26">
        <f t="shared" si="0"/>
        <v>31.6</v>
      </c>
      <c r="N26">
        <v>322</v>
      </c>
      <c r="O26">
        <f t="shared" si="1"/>
        <v>32.200000000000003</v>
      </c>
      <c r="R26">
        <v>322</v>
      </c>
      <c r="S26">
        <f t="shared" si="2"/>
        <v>32.200000000000003</v>
      </c>
      <c r="V26">
        <v>317</v>
      </c>
      <c r="W26">
        <f t="shared" si="3"/>
        <v>31.7</v>
      </c>
      <c r="Z26">
        <v>324</v>
      </c>
      <c r="AA26">
        <f t="shared" si="4"/>
        <v>32.4</v>
      </c>
      <c r="AI26">
        <v>27</v>
      </c>
      <c r="AM26">
        <v>43</v>
      </c>
      <c r="AQ26">
        <v>56</v>
      </c>
      <c r="AU26">
        <v>67</v>
      </c>
      <c r="AY26">
        <v>77</v>
      </c>
    </row>
    <row r="27" spans="1:51" x14ac:dyDescent="0.25">
      <c r="J27">
        <v>315</v>
      </c>
      <c r="K27">
        <f t="shared" si="0"/>
        <v>31.5</v>
      </c>
      <c r="N27">
        <v>322</v>
      </c>
      <c r="O27">
        <f t="shared" si="1"/>
        <v>32.200000000000003</v>
      </c>
      <c r="R27">
        <v>322</v>
      </c>
      <c r="S27">
        <f t="shared" si="2"/>
        <v>32.200000000000003</v>
      </c>
      <c r="V27">
        <v>318</v>
      </c>
      <c r="W27">
        <f t="shared" si="3"/>
        <v>31.8</v>
      </c>
      <c r="Z27">
        <v>324</v>
      </c>
      <c r="AA27">
        <f t="shared" si="4"/>
        <v>32.4</v>
      </c>
      <c r="AI27">
        <v>27</v>
      </c>
      <c r="AM27">
        <v>43</v>
      </c>
      <c r="AQ27">
        <v>56</v>
      </c>
      <c r="AU27">
        <v>67</v>
      </c>
      <c r="AY27">
        <v>77</v>
      </c>
    </row>
    <row r="28" spans="1:51" x14ac:dyDescent="0.25">
      <c r="J28">
        <v>315</v>
      </c>
      <c r="K28">
        <f t="shared" si="0"/>
        <v>31.5</v>
      </c>
      <c r="N28">
        <v>322</v>
      </c>
      <c r="O28">
        <f t="shared" si="1"/>
        <v>32.200000000000003</v>
      </c>
      <c r="R28">
        <v>322</v>
      </c>
      <c r="S28">
        <f t="shared" si="2"/>
        <v>32.200000000000003</v>
      </c>
      <c r="V28">
        <v>317</v>
      </c>
      <c r="W28">
        <f t="shared" si="3"/>
        <v>31.7</v>
      </c>
      <c r="Z28">
        <v>324</v>
      </c>
      <c r="AA28">
        <f t="shared" si="4"/>
        <v>32.4</v>
      </c>
      <c r="AI28">
        <v>27</v>
      </c>
      <c r="AM28">
        <v>43</v>
      </c>
      <c r="AQ28">
        <v>56</v>
      </c>
      <c r="AU28">
        <v>67</v>
      </c>
      <c r="AY28">
        <v>77</v>
      </c>
    </row>
    <row r="29" spans="1:51" x14ac:dyDescent="0.25">
      <c r="J29">
        <v>314</v>
      </c>
      <c r="K29">
        <f t="shared" si="0"/>
        <v>31.4</v>
      </c>
      <c r="N29">
        <v>322</v>
      </c>
      <c r="O29">
        <f t="shared" si="1"/>
        <v>32.200000000000003</v>
      </c>
      <c r="R29">
        <v>322</v>
      </c>
      <c r="S29">
        <f t="shared" si="2"/>
        <v>32.200000000000003</v>
      </c>
      <c r="V29">
        <v>317</v>
      </c>
      <c r="W29">
        <f t="shared" si="3"/>
        <v>31.7</v>
      </c>
      <c r="Z29">
        <v>324</v>
      </c>
      <c r="AA29">
        <f t="shared" si="4"/>
        <v>32.4</v>
      </c>
      <c r="AI29">
        <v>27</v>
      </c>
      <c r="AM29">
        <v>43</v>
      </c>
      <c r="AQ29">
        <v>56</v>
      </c>
      <c r="AU29">
        <v>67</v>
      </c>
      <c r="AY29">
        <v>77</v>
      </c>
    </row>
    <row r="30" spans="1:51" x14ac:dyDescent="0.25">
      <c r="J30">
        <v>314</v>
      </c>
      <c r="K30">
        <f t="shared" si="0"/>
        <v>31.4</v>
      </c>
      <c r="N30">
        <v>322</v>
      </c>
      <c r="O30">
        <f t="shared" si="1"/>
        <v>32.200000000000003</v>
      </c>
      <c r="R30">
        <v>322</v>
      </c>
      <c r="S30">
        <f t="shared" si="2"/>
        <v>32.200000000000003</v>
      </c>
      <c r="V30">
        <v>317</v>
      </c>
      <c r="W30">
        <f t="shared" si="3"/>
        <v>31.7</v>
      </c>
      <c r="Z30">
        <v>324</v>
      </c>
      <c r="AA30">
        <f t="shared" si="4"/>
        <v>32.4</v>
      </c>
      <c r="AI30">
        <v>27</v>
      </c>
      <c r="AM30">
        <v>43</v>
      </c>
      <c r="AQ30">
        <v>56</v>
      </c>
      <c r="AU30">
        <v>67</v>
      </c>
      <c r="AY30">
        <v>77</v>
      </c>
    </row>
    <row r="31" spans="1:51" x14ac:dyDescent="0.25">
      <c r="J31">
        <v>315</v>
      </c>
      <c r="K31">
        <f t="shared" si="0"/>
        <v>31.5</v>
      </c>
      <c r="N31">
        <v>321</v>
      </c>
      <c r="O31">
        <f t="shared" si="1"/>
        <v>32.1</v>
      </c>
      <c r="R31">
        <v>322</v>
      </c>
      <c r="S31">
        <f t="shared" si="2"/>
        <v>32.200000000000003</v>
      </c>
      <c r="V31">
        <v>317</v>
      </c>
      <c r="W31">
        <f t="shared" si="3"/>
        <v>31.7</v>
      </c>
      <c r="Z31">
        <v>324</v>
      </c>
      <c r="AA31">
        <f t="shared" si="4"/>
        <v>32.4</v>
      </c>
      <c r="AI31">
        <v>27</v>
      </c>
      <c r="AM31">
        <v>43</v>
      </c>
      <c r="AQ31">
        <v>56</v>
      </c>
      <c r="AU31">
        <v>67</v>
      </c>
      <c r="AY31">
        <v>77</v>
      </c>
    </row>
    <row r="32" spans="1:51" x14ac:dyDescent="0.25">
      <c r="J32">
        <v>314</v>
      </c>
      <c r="K32">
        <f t="shared" si="0"/>
        <v>31.4</v>
      </c>
      <c r="N32">
        <v>321</v>
      </c>
      <c r="O32">
        <f t="shared" si="1"/>
        <v>32.1</v>
      </c>
      <c r="R32">
        <v>322</v>
      </c>
      <c r="S32">
        <f t="shared" si="2"/>
        <v>32.200000000000003</v>
      </c>
      <c r="V32">
        <v>317</v>
      </c>
      <c r="W32">
        <f t="shared" si="3"/>
        <v>31.7</v>
      </c>
      <c r="Z32">
        <v>324</v>
      </c>
      <c r="AA32">
        <f t="shared" si="4"/>
        <v>32.4</v>
      </c>
      <c r="AI32">
        <v>27</v>
      </c>
      <c r="AM32">
        <v>43</v>
      </c>
      <c r="AQ32">
        <v>56</v>
      </c>
      <c r="AU32">
        <v>67</v>
      </c>
      <c r="AY32">
        <v>77</v>
      </c>
    </row>
    <row r="33" spans="10:51" x14ac:dyDescent="0.25">
      <c r="J33">
        <v>315</v>
      </c>
      <c r="K33">
        <f t="shared" si="0"/>
        <v>31.5</v>
      </c>
      <c r="N33">
        <v>320</v>
      </c>
      <c r="O33">
        <f t="shared" si="1"/>
        <v>32</v>
      </c>
      <c r="R33">
        <v>322</v>
      </c>
      <c r="S33">
        <f t="shared" si="2"/>
        <v>32.200000000000003</v>
      </c>
      <c r="V33">
        <v>317</v>
      </c>
      <c r="W33">
        <f t="shared" si="3"/>
        <v>31.7</v>
      </c>
      <c r="Z33">
        <v>323</v>
      </c>
      <c r="AA33">
        <f t="shared" si="4"/>
        <v>32.299999999999997</v>
      </c>
      <c r="AI33">
        <v>27</v>
      </c>
      <c r="AM33">
        <v>43</v>
      </c>
      <c r="AQ33">
        <v>56</v>
      </c>
      <c r="AU33">
        <v>67</v>
      </c>
      <c r="AY33">
        <v>77</v>
      </c>
    </row>
    <row r="34" spans="10:51" x14ac:dyDescent="0.25">
      <c r="J34">
        <v>315</v>
      </c>
      <c r="K34">
        <f t="shared" si="0"/>
        <v>31.5</v>
      </c>
      <c r="N34">
        <v>320</v>
      </c>
      <c r="O34">
        <f t="shared" si="1"/>
        <v>32</v>
      </c>
      <c r="R34">
        <v>322</v>
      </c>
      <c r="S34">
        <f t="shared" si="2"/>
        <v>32.200000000000003</v>
      </c>
      <c r="V34">
        <v>317</v>
      </c>
      <c r="W34">
        <f t="shared" si="3"/>
        <v>31.7</v>
      </c>
      <c r="Z34">
        <v>323</v>
      </c>
      <c r="AA34">
        <f t="shared" si="4"/>
        <v>32.299999999999997</v>
      </c>
      <c r="AI34">
        <v>27</v>
      </c>
      <c r="AM34">
        <v>42</v>
      </c>
      <c r="AQ34">
        <v>56</v>
      </c>
      <c r="AU34">
        <v>67</v>
      </c>
      <c r="AY34">
        <v>77</v>
      </c>
    </row>
    <row r="35" spans="10:51" x14ac:dyDescent="0.25">
      <c r="J35">
        <v>315</v>
      </c>
      <c r="K35">
        <f t="shared" si="0"/>
        <v>31.5</v>
      </c>
      <c r="N35">
        <v>319</v>
      </c>
      <c r="O35">
        <f t="shared" si="1"/>
        <v>31.9</v>
      </c>
      <c r="R35">
        <v>322</v>
      </c>
      <c r="S35">
        <f t="shared" si="2"/>
        <v>32.200000000000003</v>
      </c>
      <c r="V35">
        <v>317</v>
      </c>
      <c r="W35">
        <f t="shared" si="3"/>
        <v>31.7</v>
      </c>
      <c r="Z35">
        <v>323</v>
      </c>
      <c r="AA35">
        <f t="shared" si="4"/>
        <v>32.299999999999997</v>
      </c>
      <c r="AI35">
        <v>27</v>
      </c>
      <c r="AM35">
        <v>42</v>
      </c>
      <c r="AQ35">
        <v>56</v>
      </c>
      <c r="AU35">
        <v>67</v>
      </c>
      <c r="AY35">
        <v>77</v>
      </c>
    </row>
    <row r="36" spans="10:51" x14ac:dyDescent="0.25">
      <c r="J36">
        <v>316</v>
      </c>
      <c r="K36">
        <f t="shared" si="0"/>
        <v>31.6</v>
      </c>
      <c r="N36">
        <v>319</v>
      </c>
      <c r="O36">
        <f t="shared" si="1"/>
        <v>31.9</v>
      </c>
      <c r="R36">
        <v>322</v>
      </c>
      <c r="S36">
        <f t="shared" si="2"/>
        <v>32.200000000000003</v>
      </c>
      <c r="V36">
        <v>317</v>
      </c>
      <c r="W36">
        <f t="shared" si="3"/>
        <v>31.7</v>
      </c>
      <c r="Z36">
        <v>323</v>
      </c>
      <c r="AA36">
        <f t="shared" si="4"/>
        <v>32.299999999999997</v>
      </c>
      <c r="AI36">
        <v>27</v>
      </c>
      <c r="AM36">
        <v>42</v>
      </c>
      <c r="AQ36">
        <v>56</v>
      </c>
      <c r="AU36">
        <v>67</v>
      </c>
      <c r="AY36">
        <v>77</v>
      </c>
    </row>
    <row r="37" spans="10:51" x14ac:dyDescent="0.25">
      <c r="J37">
        <v>316</v>
      </c>
      <c r="K37">
        <f t="shared" si="0"/>
        <v>31.6</v>
      </c>
      <c r="N37">
        <v>318</v>
      </c>
      <c r="O37">
        <f t="shared" si="1"/>
        <v>31.8</v>
      </c>
      <c r="R37">
        <v>322</v>
      </c>
      <c r="S37">
        <f t="shared" si="2"/>
        <v>32.200000000000003</v>
      </c>
      <c r="V37">
        <v>317</v>
      </c>
      <c r="W37">
        <f t="shared" si="3"/>
        <v>31.7</v>
      </c>
      <c r="Z37">
        <v>323</v>
      </c>
      <c r="AA37">
        <f t="shared" si="4"/>
        <v>32.299999999999997</v>
      </c>
      <c r="AI37">
        <v>27</v>
      </c>
      <c r="AM37">
        <v>42</v>
      </c>
      <c r="AQ37">
        <v>56</v>
      </c>
      <c r="AU37">
        <v>67</v>
      </c>
      <c r="AY37">
        <v>77</v>
      </c>
    </row>
    <row r="38" spans="10:51" x14ac:dyDescent="0.25">
      <c r="J38">
        <v>316</v>
      </c>
      <c r="K38">
        <f t="shared" si="0"/>
        <v>31.6</v>
      </c>
      <c r="N38">
        <v>318</v>
      </c>
      <c r="O38">
        <f t="shared" si="1"/>
        <v>31.8</v>
      </c>
      <c r="R38">
        <v>322</v>
      </c>
      <c r="S38">
        <f t="shared" si="2"/>
        <v>32.200000000000003</v>
      </c>
      <c r="V38">
        <v>317</v>
      </c>
      <c r="W38">
        <f t="shared" si="3"/>
        <v>31.7</v>
      </c>
      <c r="Z38">
        <v>323</v>
      </c>
      <c r="AA38">
        <f t="shared" si="4"/>
        <v>32.299999999999997</v>
      </c>
      <c r="AI38">
        <v>27</v>
      </c>
      <c r="AM38">
        <v>42</v>
      </c>
      <c r="AQ38">
        <v>56</v>
      </c>
      <c r="AU38">
        <v>67</v>
      </c>
      <c r="AY38">
        <v>77</v>
      </c>
    </row>
    <row r="39" spans="10:51" x14ac:dyDescent="0.25">
      <c r="J39">
        <v>317</v>
      </c>
      <c r="K39">
        <f t="shared" si="0"/>
        <v>31.7</v>
      </c>
      <c r="N39">
        <v>317</v>
      </c>
      <c r="O39">
        <f t="shared" si="1"/>
        <v>31.7</v>
      </c>
      <c r="R39">
        <v>322</v>
      </c>
      <c r="S39">
        <f t="shared" si="2"/>
        <v>32.200000000000003</v>
      </c>
      <c r="V39">
        <v>316</v>
      </c>
      <c r="W39">
        <f t="shared" si="3"/>
        <v>31.6</v>
      </c>
      <c r="Z39">
        <v>323</v>
      </c>
      <c r="AA39">
        <f t="shared" si="4"/>
        <v>32.299999999999997</v>
      </c>
      <c r="AI39">
        <v>27</v>
      </c>
      <c r="AM39">
        <v>42</v>
      </c>
      <c r="AQ39">
        <v>56</v>
      </c>
      <c r="AU39">
        <v>67</v>
      </c>
      <c r="AY39">
        <v>77</v>
      </c>
    </row>
    <row r="40" spans="10:51" x14ac:dyDescent="0.25">
      <c r="J40">
        <v>317</v>
      </c>
      <c r="K40">
        <f t="shared" si="0"/>
        <v>31.7</v>
      </c>
      <c r="N40">
        <v>317</v>
      </c>
      <c r="O40">
        <f t="shared" si="1"/>
        <v>31.7</v>
      </c>
      <c r="R40">
        <v>322</v>
      </c>
      <c r="S40">
        <f t="shared" si="2"/>
        <v>32.200000000000003</v>
      </c>
      <c r="V40">
        <v>316</v>
      </c>
      <c r="W40">
        <f t="shared" si="3"/>
        <v>31.6</v>
      </c>
      <c r="Z40">
        <v>323</v>
      </c>
      <c r="AA40">
        <f t="shared" si="4"/>
        <v>32.299999999999997</v>
      </c>
      <c r="AI40">
        <v>27</v>
      </c>
      <c r="AM40">
        <v>42</v>
      </c>
      <c r="AQ40">
        <v>56</v>
      </c>
      <c r="AU40">
        <v>67</v>
      </c>
      <c r="AY40">
        <v>77</v>
      </c>
    </row>
    <row r="41" spans="10:51" x14ac:dyDescent="0.25">
      <c r="J41">
        <v>317</v>
      </c>
      <c r="K41">
        <f t="shared" si="0"/>
        <v>31.7</v>
      </c>
      <c r="N41">
        <v>317</v>
      </c>
      <c r="O41">
        <f t="shared" si="1"/>
        <v>31.7</v>
      </c>
      <c r="R41">
        <v>321</v>
      </c>
      <c r="S41">
        <f t="shared" si="2"/>
        <v>32.1</v>
      </c>
      <c r="V41">
        <v>316</v>
      </c>
      <c r="W41">
        <f t="shared" si="3"/>
        <v>31.6</v>
      </c>
      <c r="Z41">
        <v>323</v>
      </c>
      <c r="AA41">
        <f t="shared" si="4"/>
        <v>32.299999999999997</v>
      </c>
      <c r="AI41">
        <v>27</v>
      </c>
      <c r="AM41">
        <v>42</v>
      </c>
      <c r="AQ41">
        <v>56</v>
      </c>
      <c r="AU41">
        <v>67</v>
      </c>
      <c r="AY41">
        <v>77</v>
      </c>
    </row>
    <row r="42" spans="10:51" x14ac:dyDescent="0.25">
      <c r="J42">
        <v>318</v>
      </c>
      <c r="K42">
        <f t="shared" si="0"/>
        <v>31.8</v>
      </c>
      <c r="N42">
        <v>317</v>
      </c>
      <c r="O42">
        <f t="shared" si="1"/>
        <v>31.7</v>
      </c>
      <c r="R42">
        <v>321</v>
      </c>
      <c r="S42">
        <f t="shared" si="2"/>
        <v>32.1</v>
      </c>
      <c r="V42">
        <v>317</v>
      </c>
      <c r="W42">
        <f t="shared" si="3"/>
        <v>31.7</v>
      </c>
      <c r="Z42">
        <v>323</v>
      </c>
      <c r="AA42">
        <f t="shared" si="4"/>
        <v>32.299999999999997</v>
      </c>
      <c r="AI42">
        <v>27</v>
      </c>
      <c r="AM42">
        <v>42</v>
      </c>
      <c r="AQ42">
        <v>56</v>
      </c>
      <c r="AU42">
        <v>67</v>
      </c>
      <c r="AY42">
        <v>77</v>
      </c>
    </row>
    <row r="43" spans="10:51" x14ac:dyDescent="0.25">
      <c r="J43">
        <v>318</v>
      </c>
      <c r="K43">
        <f t="shared" si="0"/>
        <v>31.8</v>
      </c>
      <c r="N43">
        <v>316</v>
      </c>
      <c r="O43">
        <f t="shared" si="1"/>
        <v>31.6</v>
      </c>
      <c r="R43">
        <v>321</v>
      </c>
      <c r="S43">
        <f t="shared" si="2"/>
        <v>32.1</v>
      </c>
      <c r="V43">
        <v>317</v>
      </c>
      <c r="W43">
        <f t="shared" si="3"/>
        <v>31.7</v>
      </c>
      <c r="Z43">
        <v>323</v>
      </c>
      <c r="AA43">
        <f t="shared" si="4"/>
        <v>32.299999999999997</v>
      </c>
      <c r="AI43">
        <v>27</v>
      </c>
      <c r="AM43">
        <v>42</v>
      </c>
      <c r="AQ43">
        <v>56</v>
      </c>
      <c r="AU43">
        <v>68</v>
      </c>
      <c r="AY43">
        <v>77</v>
      </c>
    </row>
    <row r="44" spans="10:51" x14ac:dyDescent="0.25">
      <c r="J44">
        <v>318</v>
      </c>
      <c r="K44">
        <f t="shared" si="0"/>
        <v>31.8</v>
      </c>
      <c r="N44">
        <v>317</v>
      </c>
      <c r="O44">
        <f t="shared" si="1"/>
        <v>31.7</v>
      </c>
      <c r="R44">
        <v>320</v>
      </c>
      <c r="S44">
        <f t="shared" si="2"/>
        <v>32</v>
      </c>
      <c r="V44">
        <v>317</v>
      </c>
      <c r="W44">
        <f t="shared" si="3"/>
        <v>31.7</v>
      </c>
      <c r="Z44">
        <v>323</v>
      </c>
      <c r="AA44">
        <f t="shared" si="4"/>
        <v>32.299999999999997</v>
      </c>
      <c r="AI44">
        <v>27</v>
      </c>
      <c r="AM44">
        <v>42</v>
      </c>
      <c r="AQ44">
        <v>56</v>
      </c>
      <c r="AU44">
        <v>67</v>
      </c>
      <c r="AY44">
        <v>77</v>
      </c>
    </row>
    <row r="45" spans="10:51" x14ac:dyDescent="0.25">
      <c r="J45">
        <v>319</v>
      </c>
      <c r="K45">
        <f t="shared" si="0"/>
        <v>31.9</v>
      </c>
      <c r="N45">
        <v>316</v>
      </c>
      <c r="O45">
        <f t="shared" si="1"/>
        <v>31.6</v>
      </c>
      <c r="R45">
        <v>320</v>
      </c>
      <c r="S45">
        <f t="shared" si="2"/>
        <v>32</v>
      </c>
      <c r="V45">
        <v>318</v>
      </c>
      <c r="W45">
        <f t="shared" si="3"/>
        <v>31.8</v>
      </c>
      <c r="Z45">
        <v>323</v>
      </c>
      <c r="AA45">
        <f t="shared" si="4"/>
        <v>32.299999999999997</v>
      </c>
      <c r="AI45">
        <v>27</v>
      </c>
      <c r="AM45">
        <v>41</v>
      </c>
      <c r="AQ45">
        <v>56</v>
      </c>
      <c r="AU45">
        <v>67</v>
      </c>
      <c r="AY45">
        <v>77</v>
      </c>
    </row>
    <row r="46" spans="10:51" x14ac:dyDescent="0.25">
      <c r="J46">
        <v>319</v>
      </c>
      <c r="K46">
        <f t="shared" si="0"/>
        <v>31.9</v>
      </c>
      <c r="N46">
        <v>317</v>
      </c>
      <c r="O46">
        <f t="shared" si="1"/>
        <v>31.7</v>
      </c>
      <c r="R46">
        <v>320</v>
      </c>
      <c r="S46">
        <f t="shared" si="2"/>
        <v>32</v>
      </c>
      <c r="V46">
        <v>318</v>
      </c>
      <c r="W46">
        <f t="shared" si="3"/>
        <v>31.8</v>
      </c>
      <c r="Z46">
        <v>323</v>
      </c>
      <c r="AA46">
        <f t="shared" si="4"/>
        <v>32.299999999999997</v>
      </c>
      <c r="AI46">
        <v>26</v>
      </c>
      <c r="AM46">
        <v>41</v>
      </c>
      <c r="AQ46">
        <v>56</v>
      </c>
      <c r="AU46">
        <v>67</v>
      </c>
      <c r="AY46">
        <v>77</v>
      </c>
    </row>
    <row r="47" spans="10:51" x14ac:dyDescent="0.25">
      <c r="J47">
        <v>319</v>
      </c>
      <c r="K47">
        <f t="shared" si="0"/>
        <v>31.9</v>
      </c>
      <c r="N47">
        <v>316</v>
      </c>
      <c r="O47">
        <f t="shared" si="1"/>
        <v>31.6</v>
      </c>
      <c r="R47">
        <v>320</v>
      </c>
      <c r="S47">
        <f t="shared" si="2"/>
        <v>32</v>
      </c>
      <c r="V47">
        <v>319</v>
      </c>
      <c r="W47">
        <f t="shared" si="3"/>
        <v>31.9</v>
      </c>
      <c r="Z47">
        <v>322</v>
      </c>
      <c r="AA47">
        <f t="shared" si="4"/>
        <v>32.200000000000003</v>
      </c>
      <c r="AI47">
        <v>27</v>
      </c>
      <c r="AM47">
        <v>41</v>
      </c>
      <c r="AQ47">
        <v>56</v>
      </c>
      <c r="AU47">
        <v>67</v>
      </c>
      <c r="AY47">
        <v>77</v>
      </c>
    </row>
    <row r="48" spans="10:51" x14ac:dyDescent="0.25">
      <c r="J48">
        <v>320</v>
      </c>
      <c r="K48">
        <f t="shared" si="0"/>
        <v>32</v>
      </c>
      <c r="N48">
        <v>317</v>
      </c>
      <c r="O48">
        <f t="shared" si="1"/>
        <v>31.7</v>
      </c>
      <c r="R48">
        <v>319</v>
      </c>
      <c r="S48">
        <f t="shared" si="2"/>
        <v>31.9</v>
      </c>
      <c r="V48">
        <v>319</v>
      </c>
      <c r="W48">
        <f t="shared" si="3"/>
        <v>31.9</v>
      </c>
      <c r="Z48">
        <v>322</v>
      </c>
      <c r="AA48">
        <f t="shared" si="4"/>
        <v>32.200000000000003</v>
      </c>
      <c r="AI48">
        <v>26</v>
      </c>
      <c r="AM48">
        <v>41</v>
      </c>
      <c r="AQ48">
        <v>56</v>
      </c>
      <c r="AU48">
        <v>67</v>
      </c>
      <c r="AY48">
        <v>77</v>
      </c>
    </row>
    <row r="49" spans="10:51" x14ac:dyDescent="0.25">
      <c r="J49">
        <v>320</v>
      </c>
      <c r="K49">
        <f t="shared" si="0"/>
        <v>32</v>
      </c>
      <c r="N49">
        <v>316</v>
      </c>
      <c r="O49">
        <f t="shared" si="1"/>
        <v>31.6</v>
      </c>
      <c r="R49">
        <v>320</v>
      </c>
      <c r="S49">
        <f t="shared" si="2"/>
        <v>32</v>
      </c>
      <c r="V49">
        <v>320</v>
      </c>
      <c r="W49">
        <f t="shared" si="3"/>
        <v>32</v>
      </c>
      <c r="Z49">
        <v>322</v>
      </c>
      <c r="AA49">
        <f t="shared" si="4"/>
        <v>32.200000000000003</v>
      </c>
      <c r="AI49">
        <v>26</v>
      </c>
      <c r="AM49">
        <v>41</v>
      </c>
      <c r="AQ49">
        <v>56</v>
      </c>
      <c r="AU49">
        <v>67</v>
      </c>
      <c r="AY49">
        <v>77</v>
      </c>
    </row>
    <row r="50" spans="10:51" x14ac:dyDescent="0.25">
      <c r="J50">
        <v>320</v>
      </c>
      <c r="K50">
        <f t="shared" si="0"/>
        <v>32</v>
      </c>
      <c r="N50">
        <v>317</v>
      </c>
      <c r="O50">
        <f t="shared" si="1"/>
        <v>31.7</v>
      </c>
      <c r="R50">
        <v>319</v>
      </c>
      <c r="S50">
        <f t="shared" si="2"/>
        <v>31.9</v>
      </c>
      <c r="V50">
        <v>320</v>
      </c>
      <c r="W50">
        <f t="shared" si="3"/>
        <v>32</v>
      </c>
      <c r="Z50">
        <v>321</v>
      </c>
      <c r="AA50">
        <f t="shared" si="4"/>
        <v>32.1</v>
      </c>
      <c r="AI50">
        <v>27</v>
      </c>
      <c r="AM50">
        <v>41</v>
      </c>
      <c r="AQ50">
        <v>56</v>
      </c>
      <c r="AU50">
        <v>67</v>
      </c>
      <c r="AY50">
        <v>77</v>
      </c>
    </row>
    <row r="51" spans="10:51" x14ac:dyDescent="0.25">
      <c r="J51">
        <v>320</v>
      </c>
      <c r="K51">
        <f t="shared" si="0"/>
        <v>32</v>
      </c>
      <c r="N51">
        <v>317</v>
      </c>
      <c r="O51">
        <f t="shared" si="1"/>
        <v>31.7</v>
      </c>
      <c r="R51">
        <v>319</v>
      </c>
      <c r="S51">
        <f t="shared" si="2"/>
        <v>31.9</v>
      </c>
      <c r="V51">
        <v>321</v>
      </c>
      <c r="W51">
        <f t="shared" si="3"/>
        <v>32.1</v>
      </c>
      <c r="Z51">
        <v>321</v>
      </c>
      <c r="AA51">
        <f t="shared" si="4"/>
        <v>32.1</v>
      </c>
      <c r="AI51">
        <v>26</v>
      </c>
      <c r="AM51">
        <v>41</v>
      </c>
      <c r="AQ51">
        <v>56</v>
      </c>
      <c r="AU51">
        <v>67</v>
      </c>
      <c r="AY51">
        <v>77</v>
      </c>
    </row>
    <row r="52" spans="10:51" x14ac:dyDescent="0.25">
      <c r="J52">
        <v>320</v>
      </c>
      <c r="K52">
        <f t="shared" si="0"/>
        <v>32</v>
      </c>
      <c r="N52">
        <v>317</v>
      </c>
      <c r="O52">
        <f t="shared" si="1"/>
        <v>31.7</v>
      </c>
      <c r="R52">
        <v>319</v>
      </c>
      <c r="S52">
        <f t="shared" si="2"/>
        <v>31.9</v>
      </c>
      <c r="V52">
        <v>321</v>
      </c>
      <c r="W52">
        <f t="shared" si="3"/>
        <v>32.1</v>
      </c>
      <c r="Z52">
        <v>321</v>
      </c>
      <c r="AA52">
        <f t="shared" si="4"/>
        <v>32.1</v>
      </c>
      <c r="AI52">
        <v>26</v>
      </c>
      <c r="AM52">
        <v>41</v>
      </c>
      <c r="AQ52">
        <v>56</v>
      </c>
      <c r="AU52">
        <v>66</v>
      </c>
      <c r="AY52">
        <v>77</v>
      </c>
    </row>
    <row r="53" spans="10:51" x14ac:dyDescent="0.25">
      <c r="J53">
        <v>320</v>
      </c>
      <c r="K53">
        <f t="shared" si="0"/>
        <v>32</v>
      </c>
      <c r="N53">
        <v>317</v>
      </c>
      <c r="O53">
        <f t="shared" si="1"/>
        <v>31.7</v>
      </c>
      <c r="R53">
        <v>319</v>
      </c>
      <c r="S53">
        <f t="shared" si="2"/>
        <v>31.9</v>
      </c>
      <c r="V53">
        <v>322</v>
      </c>
      <c r="W53">
        <f t="shared" si="3"/>
        <v>32.200000000000003</v>
      </c>
      <c r="Z53">
        <v>320</v>
      </c>
      <c r="AA53">
        <f t="shared" si="4"/>
        <v>32</v>
      </c>
      <c r="AI53">
        <v>26</v>
      </c>
      <c r="AM53">
        <v>41</v>
      </c>
      <c r="AQ53">
        <v>56</v>
      </c>
      <c r="AU53">
        <v>67</v>
      </c>
      <c r="AY53">
        <v>78</v>
      </c>
    </row>
    <row r="54" spans="10:51" x14ac:dyDescent="0.25">
      <c r="J54">
        <v>320</v>
      </c>
      <c r="K54">
        <f t="shared" si="0"/>
        <v>32</v>
      </c>
      <c r="N54">
        <v>317</v>
      </c>
      <c r="O54">
        <f t="shared" si="1"/>
        <v>31.7</v>
      </c>
      <c r="R54">
        <v>319</v>
      </c>
      <c r="S54">
        <f t="shared" si="2"/>
        <v>31.9</v>
      </c>
      <c r="V54">
        <v>322</v>
      </c>
      <c r="W54">
        <f t="shared" si="3"/>
        <v>32.200000000000003</v>
      </c>
      <c r="Z54">
        <v>320</v>
      </c>
      <c r="AA54">
        <f t="shared" si="4"/>
        <v>32</v>
      </c>
      <c r="AI54">
        <v>26</v>
      </c>
      <c r="AM54">
        <v>41</v>
      </c>
      <c r="AQ54">
        <v>56</v>
      </c>
      <c r="AU54">
        <v>66</v>
      </c>
      <c r="AY54">
        <v>78</v>
      </c>
    </row>
    <row r="55" spans="10:51" x14ac:dyDescent="0.25">
      <c r="J55">
        <v>320</v>
      </c>
      <c r="K55">
        <f t="shared" si="0"/>
        <v>32</v>
      </c>
      <c r="N55">
        <v>318</v>
      </c>
      <c r="O55">
        <f t="shared" si="1"/>
        <v>31.8</v>
      </c>
      <c r="R55">
        <v>319</v>
      </c>
      <c r="S55">
        <f t="shared" si="2"/>
        <v>31.9</v>
      </c>
      <c r="V55">
        <v>323</v>
      </c>
      <c r="W55">
        <f t="shared" si="3"/>
        <v>32.299999999999997</v>
      </c>
      <c r="Z55">
        <v>319</v>
      </c>
      <c r="AA55">
        <f t="shared" si="4"/>
        <v>31.9</v>
      </c>
      <c r="AI55">
        <v>26</v>
      </c>
      <c r="AM55">
        <v>40</v>
      </c>
      <c r="AQ55">
        <v>56</v>
      </c>
      <c r="AU55">
        <v>66</v>
      </c>
      <c r="AY55">
        <v>77</v>
      </c>
    </row>
    <row r="56" spans="10:51" x14ac:dyDescent="0.25">
      <c r="J56">
        <v>320</v>
      </c>
      <c r="K56">
        <f t="shared" si="0"/>
        <v>32</v>
      </c>
      <c r="N56">
        <v>317</v>
      </c>
      <c r="O56">
        <f t="shared" si="1"/>
        <v>31.7</v>
      </c>
      <c r="R56">
        <v>318</v>
      </c>
      <c r="S56">
        <f t="shared" si="2"/>
        <v>31.8</v>
      </c>
      <c r="V56">
        <v>323</v>
      </c>
      <c r="W56">
        <f t="shared" si="3"/>
        <v>32.299999999999997</v>
      </c>
      <c r="Z56">
        <v>319</v>
      </c>
      <c r="AA56">
        <f t="shared" si="4"/>
        <v>31.9</v>
      </c>
      <c r="AI56">
        <v>26</v>
      </c>
      <c r="AM56">
        <v>40</v>
      </c>
      <c r="AQ56">
        <v>56</v>
      </c>
      <c r="AU56">
        <v>66</v>
      </c>
      <c r="AY56">
        <v>78</v>
      </c>
    </row>
    <row r="57" spans="10:51" x14ac:dyDescent="0.25">
      <c r="J57">
        <v>320</v>
      </c>
      <c r="K57">
        <f t="shared" si="0"/>
        <v>32</v>
      </c>
      <c r="N57">
        <v>318</v>
      </c>
      <c r="O57">
        <f t="shared" si="1"/>
        <v>31.8</v>
      </c>
      <c r="R57">
        <v>318</v>
      </c>
      <c r="S57">
        <f t="shared" si="2"/>
        <v>31.8</v>
      </c>
      <c r="V57">
        <v>324</v>
      </c>
      <c r="W57">
        <f t="shared" si="3"/>
        <v>32.4</v>
      </c>
      <c r="Z57">
        <v>319</v>
      </c>
      <c r="AA57">
        <f t="shared" si="4"/>
        <v>31.9</v>
      </c>
      <c r="AI57">
        <v>26</v>
      </c>
      <c r="AM57">
        <v>40</v>
      </c>
      <c r="AQ57">
        <v>56</v>
      </c>
      <c r="AU57">
        <v>66</v>
      </c>
      <c r="AY57">
        <v>78</v>
      </c>
    </row>
    <row r="58" spans="10:51" x14ac:dyDescent="0.25">
      <c r="J58">
        <v>320</v>
      </c>
      <c r="K58">
        <f t="shared" si="0"/>
        <v>32</v>
      </c>
      <c r="N58">
        <v>318</v>
      </c>
      <c r="O58">
        <f t="shared" si="1"/>
        <v>31.8</v>
      </c>
      <c r="R58">
        <v>318</v>
      </c>
      <c r="S58">
        <f t="shared" si="2"/>
        <v>31.8</v>
      </c>
      <c r="V58">
        <v>324</v>
      </c>
      <c r="W58">
        <f t="shared" si="3"/>
        <v>32.4</v>
      </c>
      <c r="Z58">
        <v>319</v>
      </c>
      <c r="AA58">
        <f t="shared" si="4"/>
        <v>31.9</v>
      </c>
      <c r="AI58">
        <v>26</v>
      </c>
      <c r="AM58">
        <v>40</v>
      </c>
      <c r="AQ58">
        <v>56</v>
      </c>
      <c r="AU58">
        <v>66</v>
      </c>
      <c r="AY58">
        <v>78</v>
      </c>
    </row>
    <row r="59" spans="10:51" x14ac:dyDescent="0.25">
      <c r="J59">
        <v>320</v>
      </c>
      <c r="K59">
        <f t="shared" si="0"/>
        <v>32</v>
      </c>
      <c r="N59">
        <v>318</v>
      </c>
      <c r="O59">
        <f t="shared" si="1"/>
        <v>31.8</v>
      </c>
      <c r="R59">
        <v>318</v>
      </c>
      <c r="S59">
        <f t="shared" si="2"/>
        <v>31.8</v>
      </c>
      <c r="V59">
        <v>325</v>
      </c>
      <c r="W59">
        <f t="shared" si="3"/>
        <v>32.5</v>
      </c>
      <c r="Z59">
        <v>318</v>
      </c>
      <c r="AA59">
        <f t="shared" si="4"/>
        <v>31.8</v>
      </c>
      <c r="AI59">
        <v>26</v>
      </c>
      <c r="AM59">
        <v>40</v>
      </c>
      <c r="AQ59">
        <v>56</v>
      </c>
      <c r="AU59">
        <v>66</v>
      </c>
      <c r="AY59">
        <v>78</v>
      </c>
    </row>
    <row r="60" spans="10:51" x14ac:dyDescent="0.25">
      <c r="J60">
        <v>320</v>
      </c>
      <c r="K60">
        <f t="shared" si="0"/>
        <v>32</v>
      </c>
      <c r="N60">
        <v>317</v>
      </c>
      <c r="O60">
        <f t="shared" si="1"/>
        <v>31.7</v>
      </c>
      <c r="R60">
        <v>317</v>
      </c>
      <c r="S60">
        <f t="shared" si="2"/>
        <v>31.7</v>
      </c>
      <c r="V60">
        <v>324</v>
      </c>
      <c r="W60">
        <f t="shared" si="3"/>
        <v>32.4</v>
      </c>
      <c r="Z60">
        <v>318</v>
      </c>
      <c r="AA60">
        <f t="shared" si="4"/>
        <v>31.8</v>
      </c>
      <c r="AI60">
        <v>26</v>
      </c>
      <c r="AM60">
        <v>40</v>
      </c>
      <c r="AQ60">
        <v>56</v>
      </c>
      <c r="AU60">
        <v>66</v>
      </c>
      <c r="AY60">
        <v>78</v>
      </c>
    </row>
    <row r="61" spans="10:51" x14ac:dyDescent="0.25">
      <c r="J61">
        <v>320</v>
      </c>
      <c r="K61">
        <f t="shared" si="0"/>
        <v>32</v>
      </c>
      <c r="N61">
        <v>318</v>
      </c>
      <c r="O61">
        <f t="shared" si="1"/>
        <v>31.8</v>
      </c>
      <c r="R61">
        <v>317</v>
      </c>
      <c r="S61">
        <f t="shared" si="2"/>
        <v>31.7</v>
      </c>
      <c r="V61">
        <v>325</v>
      </c>
      <c r="W61">
        <f t="shared" si="3"/>
        <v>32.5</v>
      </c>
      <c r="Z61">
        <v>318</v>
      </c>
      <c r="AA61">
        <f t="shared" si="4"/>
        <v>31.8</v>
      </c>
      <c r="AI61">
        <v>26</v>
      </c>
      <c r="AM61">
        <v>40</v>
      </c>
      <c r="AQ61">
        <v>56</v>
      </c>
      <c r="AU61">
        <v>66</v>
      </c>
      <c r="AY61">
        <v>78</v>
      </c>
    </row>
    <row r="62" spans="10:51" x14ac:dyDescent="0.25">
      <c r="J62">
        <v>319</v>
      </c>
      <c r="K62">
        <f t="shared" si="0"/>
        <v>31.9</v>
      </c>
      <c r="N62">
        <v>317</v>
      </c>
      <c r="O62">
        <f t="shared" si="1"/>
        <v>31.7</v>
      </c>
      <c r="R62">
        <v>317</v>
      </c>
      <c r="S62">
        <f t="shared" si="2"/>
        <v>31.7</v>
      </c>
      <c r="V62">
        <v>324</v>
      </c>
      <c r="W62">
        <f t="shared" si="3"/>
        <v>32.4</v>
      </c>
      <c r="Z62">
        <v>317</v>
      </c>
      <c r="AA62">
        <f t="shared" si="4"/>
        <v>31.7</v>
      </c>
      <c r="AI62">
        <v>26</v>
      </c>
      <c r="AM62">
        <v>39</v>
      </c>
      <c r="AQ62">
        <v>56</v>
      </c>
      <c r="AU62">
        <v>66</v>
      </c>
      <c r="AY62">
        <v>78</v>
      </c>
    </row>
    <row r="63" spans="10:51" x14ac:dyDescent="0.25">
      <c r="J63">
        <v>320</v>
      </c>
      <c r="K63">
        <f t="shared" si="0"/>
        <v>32</v>
      </c>
      <c r="N63">
        <v>317</v>
      </c>
      <c r="O63">
        <f t="shared" si="1"/>
        <v>31.7</v>
      </c>
      <c r="R63">
        <v>316</v>
      </c>
      <c r="S63">
        <f t="shared" si="2"/>
        <v>31.6</v>
      </c>
      <c r="V63">
        <v>325</v>
      </c>
      <c r="W63">
        <f t="shared" si="3"/>
        <v>32.5</v>
      </c>
      <c r="Z63">
        <v>317</v>
      </c>
      <c r="AA63">
        <f t="shared" si="4"/>
        <v>31.7</v>
      </c>
      <c r="AI63">
        <v>26</v>
      </c>
      <c r="AM63">
        <v>39</v>
      </c>
      <c r="AQ63">
        <v>56</v>
      </c>
      <c r="AU63">
        <v>67</v>
      </c>
      <c r="AY63">
        <v>78</v>
      </c>
    </row>
    <row r="64" spans="10:51" x14ac:dyDescent="0.25">
      <c r="J64">
        <v>320</v>
      </c>
      <c r="K64">
        <f t="shared" si="0"/>
        <v>32</v>
      </c>
      <c r="N64">
        <v>317</v>
      </c>
      <c r="O64">
        <f t="shared" si="1"/>
        <v>31.7</v>
      </c>
      <c r="R64">
        <v>316</v>
      </c>
      <c r="S64">
        <f t="shared" si="2"/>
        <v>31.6</v>
      </c>
      <c r="V64">
        <v>325</v>
      </c>
      <c r="W64">
        <f t="shared" si="3"/>
        <v>32.5</v>
      </c>
      <c r="Z64">
        <v>317</v>
      </c>
      <c r="AA64">
        <f t="shared" si="4"/>
        <v>31.7</v>
      </c>
      <c r="AI64">
        <v>26</v>
      </c>
      <c r="AM64">
        <v>39</v>
      </c>
      <c r="AQ64">
        <v>56</v>
      </c>
      <c r="AU64">
        <v>66</v>
      </c>
      <c r="AY64">
        <v>78</v>
      </c>
    </row>
    <row r="65" spans="10:51" x14ac:dyDescent="0.25">
      <c r="J65">
        <v>319</v>
      </c>
      <c r="K65">
        <f t="shared" si="0"/>
        <v>31.9</v>
      </c>
      <c r="N65">
        <v>317</v>
      </c>
      <c r="O65">
        <f t="shared" si="1"/>
        <v>31.7</v>
      </c>
      <c r="R65">
        <v>315</v>
      </c>
      <c r="S65">
        <f t="shared" si="2"/>
        <v>31.5</v>
      </c>
      <c r="V65">
        <v>324</v>
      </c>
      <c r="W65">
        <f t="shared" si="3"/>
        <v>32.4</v>
      </c>
      <c r="Z65">
        <v>317</v>
      </c>
      <c r="AA65">
        <f t="shared" si="4"/>
        <v>31.7</v>
      </c>
      <c r="AI65">
        <v>26</v>
      </c>
      <c r="AM65">
        <v>39</v>
      </c>
      <c r="AQ65">
        <v>56</v>
      </c>
      <c r="AU65">
        <v>67</v>
      </c>
      <c r="AY65">
        <v>78</v>
      </c>
    </row>
    <row r="66" spans="10:51" x14ac:dyDescent="0.25">
      <c r="J66">
        <v>320</v>
      </c>
      <c r="K66">
        <f t="shared" si="0"/>
        <v>32</v>
      </c>
      <c r="N66">
        <v>316</v>
      </c>
      <c r="O66">
        <f t="shared" si="1"/>
        <v>31.6</v>
      </c>
      <c r="R66">
        <v>315</v>
      </c>
      <c r="S66">
        <f t="shared" si="2"/>
        <v>31.5</v>
      </c>
      <c r="V66">
        <v>324</v>
      </c>
      <c r="W66">
        <f t="shared" si="3"/>
        <v>32.4</v>
      </c>
      <c r="Z66">
        <v>316</v>
      </c>
      <c r="AA66">
        <f t="shared" si="4"/>
        <v>31.6</v>
      </c>
      <c r="AI66">
        <v>26</v>
      </c>
      <c r="AM66">
        <v>39</v>
      </c>
      <c r="AQ66">
        <v>56</v>
      </c>
      <c r="AU66">
        <v>67</v>
      </c>
      <c r="AY66">
        <v>78</v>
      </c>
    </row>
    <row r="67" spans="10:51" x14ac:dyDescent="0.25">
      <c r="J67">
        <v>319</v>
      </c>
      <c r="K67">
        <f t="shared" si="0"/>
        <v>31.9</v>
      </c>
      <c r="N67">
        <v>317</v>
      </c>
      <c r="O67">
        <f t="shared" si="1"/>
        <v>31.7</v>
      </c>
      <c r="R67">
        <v>315</v>
      </c>
      <c r="S67">
        <f t="shared" si="2"/>
        <v>31.5</v>
      </c>
      <c r="V67">
        <v>324</v>
      </c>
      <c r="W67">
        <f t="shared" si="3"/>
        <v>32.4</v>
      </c>
      <c r="Z67">
        <v>317</v>
      </c>
      <c r="AA67">
        <f t="shared" si="4"/>
        <v>31.7</v>
      </c>
      <c r="AI67">
        <v>26</v>
      </c>
      <c r="AM67">
        <v>39</v>
      </c>
      <c r="AQ67">
        <v>56</v>
      </c>
      <c r="AU67">
        <v>67</v>
      </c>
      <c r="AY67">
        <v>78</v>
      </c>
    </row>
    <row r="68" spans="10:51" x14ac:dyDescent="0.25">
      <c r="J68">
        <v>320</v>
      </c>
      <c r="K68">
        <f t="shared" ref="K68:K75" si="5">J68/10</f>
        <v>32</v>
      </c>
      <c r="N68">
        <v>317</v>
      </c>
      <c r="O68">
        <f t="shared" ref="O68:O75" si="6">N68/10</f>
        <v>31.7</v>
      </c>
      <c r="R68">
        <v>314</v>
      </c>
      <c r="S68">
        <f t="shared" ref="S68:S75" si="7">R68/10</f>
        <v>31.4</v>
      </c>
      <c r="V68">
        <v>324</v>
      </c>
      <c r="W68">
        <f t="shared" ref="W68:W75" si="8">V68/10</f>
        <v>32.4</v>
      </c>
      <c r="Z68">
        <v>316</v>
      </c>
      <c r="AA68">
        <f t="shared" ref="AA68:AA75" si="9">Z68/10</f>
        <v>31.6</v>
      </c>
      <c r="AI68">
        <v>26</v>
      </c>
      <c r="AM68">
        <v>39</v>
      </c>
      <c r="AQ68">
        <v>56</v>
      </c>
      <c r="AU68">
        <v>67</v>
      </c>
      <c r="AY68">
        <v>78</v>
      </c>
    </row>
    <row r="69" spans="10:51" x14ac:dyDescent="0.25">
      <c r="J69">
        <v>320</v>
      </c>
      <c r="K69">
        <f t="shared" si="5"/>
        <v>32</v>
      </c>
      <c r="N69">
        <v>316</v>
      </c>
      <c r="O69">
        <f t="shared" si="6"/>
        <v>31.6</v>
      </c>
      <c r="R69">
        <v>315</v>
      </c>
      <c r="S69">
        <f t="shared" si="7"/>
        <v>31.5</v>
      </c>
      <c r="V69">
        <v>324</v>
      </c>
      <c r="W69">
        <f t="shared" si="8"/>
        <v>32.4</v>
      </c>
      <c r="Z69">
        <v>316</v>
      </c>
      <c r="AA69">
        <f t="shared" si="9"/>
        <v>31.6</v>
      </c>
      <c r="AI69">
        <v>26</v>
      </c>
      <c r="AM69">
        <v>39</v>
      </c>
      <c r="AQ69">
        <v>55</v>
      </c>
      <c r="AU69">
        <v>67</v>
      </c>
      <c r="AY69">
        <v>78</v>
      </c>
    </row>
    <row r="70" spans="10:51" x14ac:dyDescent="0.25">
      <c r="J70">
        <v>320</v>
      </c>
      <c r="K70">
        <f t="shared" si="5"/>
        <v>32</v>
      </c>
      <c r="N70">
        <v>317</v>
      </c>
      <c r="O70">
        <f t="shared" si="6"/>
        <v>31.7</v>
      </c>
      <c r="R70">
        <v>314</v>
      </c>
      <c r="S70">
        <f t="shared" si="7"/>
        <v>31.4</v>
      </c>
      <c r="V70">
        <v>324</v>
      </c>
      <c r="W70">
        <f t="shared" si="8"/>
        <v>32.4</v>
      </c>
      <c r="Z70">
        <v>316</v>
      </c>
      <c r="AA70">
        <f t="shared" si="9"/>
        <v>31.6</v>
      </c>
      <c r="AI70">
        <v>26</v>
      </c>
      <c r="AM70">
        <v>39</v>
      </c>
      <c r="AQ70">
        <v>55</v>
      </c>
      <c r="AU70">
        <v>67</v>
      </c>
      <c r="AY70">
        <v>78</v>
      </c>
    </row>
    <row r="71" spans="10:51" x14ac:dyDescent="0.25">
      <c r="J71">
        <v>320</v>
      </c>
      <c r="K71">
        <f t="shared" si="5"/>
        <v>32</v>
      </c>
      <c r="N71">
        <v>317</v>
      </c>
      <c r="O71">
        <f t="shared" si="6"/>
        <v>31.7</v>
      </c>
      <c r="R71">
        <v>315</v>
      </c>
      <c r="S71">
        <f t="shared" si="7"/>
        <v>31.5</v>
      </c>
      <c r="V71">
        <v>324</v>
      </c>
      <c r="W71">
        <f t="shared" si="8"/>
        <v>32.4</v>
      </c>
      <c r="Z71">
        <v>316</v>
      </c>
      <c r="AA71">
        <f t="shared" si="9"/>
        <v>31.6</v>
      </c>
      <c r="AI71">
        <v>26</v>
      </c>
      <c r="AM71">
        <v>39</v>
      </c>
      <c r="AQ71">
        <v>55</v>
      </c>
      <c r="AU71">
        <v>67</v>
      </c>
      <c r="AY71">
        <v>78</v>
      </c>
    </row>
    <row r="72" spans="10:51" x14ac:dyDescent="0.25">
      <c r="J72">
        <v>320</v>
      </c>
      <c r="K72">
        <f t="shared" si="5"/>
        <v>32</v>
      </c>
      <c r="N72">
        <v>317</v>
      </c>
      <c r="O72">
        <f t="shared" si="6"/>
        <v>31.7</v>
      </c>
      <c r="R72">
        <v>315</v>
      </c>
      <c r="S72">
        <f t="shared" si="7"/>
        <v>31.5</v>
      </c>
      <c r="V72">
        <v>324</v>
      </c>
      <c r="W72">
        <f t="shared" si="8"/>
        <v>32.4</v>
      </c>
      <c r="Z72">
        <v>315</v>
      </c>
      <c r="AA72">
        <f t="shared" si="9"/>
        <v>31.5</v>
      </c>
      <c r="AM72">
        <v>39</v>
      </c>
      <c r="AQ72">
        <v>54</v>
      </c>
      <c r="AU72">
        <v>67</v>
      </c>
      <c r="AY72">
        <v>78</v>
      </c>
    </row>
    <row r="73" spans="10:51" x14ac:dyDescent="0.25">
      <c r="K73">
        <f t="shared" si="5"/>
        <v>0</v>
      </c>
      <c r="N73">
        <v>318</v>
      </c>
      <c r="O73">
        <f t="shared" si="6"/>
        <v>31.8</v>
      </c>
      <c r="R73">
        <v>315</v>
      </c>
      <c r="S73">
        <f t="shared" si="7"/>
        <v>31.5</v>
      </c>
      <c r="V73">
        <v>323</v>
      </c>
      <c r="W73">
        <f t="shared" si="8"/>
        <v>32.299999999999997</v>
      </c>
      <c r="AA73">
        <f t="shared" si="9"/>
        <v>0</v>
      </c>
      <c r="AM73">
        <v>39</v>
      </c>
      <c r="AQ73">
        <v>53</v>
      </c>
      <c r="AU73">
        <v>67</v>
      </c>
    </row>
    <row r="74" spans="10:51" x14ac:dyDescent="0.25">
      <c r="K74">
        <f t="shared" si="5"/>
        <v>0</v>
      </c>
      <c r="O74">
        <f t="shared" si="6"/>
        <v>0</v>
      </c>
      <c r="R74">
        <v>316</v>
      </c>
      <c r="S74">
        <f t="shared" si="7"/>
        <v>31.6</v>
      </c>
      <c r="V74">
        <v>323</v>
      </c>
      <c r="W74">
        <f t="shared" si="8"/>
        <v>32.299999999999997</v>
      </c>
      <c r="AA74">
        <f t="shared" si="9"/>
        <v>0</v>
      </c>
      <c r="AM74">
        <v>38</v>
      </c>
      <c r="AU74">
        <v>66</v>
      </c>
    </row>
    <row r="75" spans="10:51" x14ac:dyDescent="0.25">
      <c r="K75">
        <f t="shared" si="5"/>
        <v>0</v>
      </c>
      <c r="O75">
        <f t="shared" si="6"/>
        <v>0</v>
      </c>
      <c r="S75">
        <f t="shared" si="7"/>
        <v>0</v>
      </c>
      <c r="V75">
        <v>322</v>
      </c>
      <c r="W75">
        <f t="shared" si="8"/>
        <v>32.200000000000003</v>
      </c>
      <c r="AA75">
        <f t="shared" si="9"/>
        <v>0</v>
      </c>
    </row>
  </sheetData>
  <mergeCells count="4">
    <mergeCell ref="A1:D1"/>
    <mergeCell ref="F1:AB1"/>
    <mergeCell ref="AE1:BA1"/>
    <mergeCell ref="A10:D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FE5BE-2C08-4004-970D-8AA17706CBA5}">
  <dimension ref="A1:CS8"/>
  <sheetViews>
    <sheetView workbookViewId="0">
      <selection activeCell="CS18" sqref="CS18"/>
    </sheetView>
  </sheetViews>
  <sheetFormatPr defaultRowHeight="15" x14ac:dyDescent="0.25"/>
  <cols>
    <col min="2" max="2" width="9.85546875" bestFit="1" customWidth="1"/>
    <col min="3" max="3" width="18.85546875" bestFit="1" customWidth="1"/>
    <col min="4" max="4" width="14.5703125" bestFit="1" customWidth="1"/>
    <col min="5" max="5" width="17.28515625" bestFit="1" customWidth="1"/>
    <col min="6" max="6" width="21" bestFit="1" customWidth="1"/>
    <col min="9" max="9" width="9.85546875" bestFit="1" customWidth="1"/>
    <col min="10" max="10" width="18.85546875" bestFit="1" customWidth="1"/>
    <col min="11" max="11" width="14.5703125" bestFit="1" customWidth="1"/>
    <col min="12" max="12" width="17.28515625" bestFit="1" customWidth="1"/>
    <col min="13" max="13" width="21" bestFit="1" customWidth="1"/>
    <col min="16" max="16" width="9.85546875" bestFit="1" customWidth="1"/>
    <col min="17" max="17" width="18.85546875" bestFit="1" customWidth="1"/>
    <col min="18" max="18" width="14.5703125" bestFit="1" customWidth="1"/>
    <col min="19" max="19" width="17.28515625" bestFit="1" customWidth="1"/>
    <col min="20" max="20" width="21" bestFit="1" customWidth="1"/>
    <col min="23" max="23" width="9.85546875" bestFit="1" customWidth="1"/>
    <col min="24" max="24" width="18.85546875" bestFit="1" customWidth="1"/>
    <col min="25" max="25" width="14.5703125" bestFit="1" customWidth="1"/>
    <col min="26" max="26" width="17.28515625" bestFit="1" customWidth="1"/>
    <col min="27" max="27" width="21" bestFit="1" customWidth="1"/>
    <col min="30" max="30" width="9.85546875" bestFit="1" customWidth="1"/>
    <col min="31" max="31" width="18.85546875" bestFit="1" customWidth="1"/>
    <col min="32" max="32" width="14.5703125" bestFit="1" customWidth="1"/>
    <col min="33" max="33" width="17.28515625" bestFit="1" customWidth="1"/>
    <col min="34" max="34" width="21" bestFit="1" customWidth="1"/>
    <col min="37" max="37" width="9.85546875" bestFit="1" customWidth="1"/>
    <col min="38" max="38" width="18.85546875" bestFit="1" customWidth="1"/>
    <col min="39" max="39" width="14.5703125" bestFit="1" customWidth="1"/>
    <col min="40" max="40" width="17.28515625" bestFit="1" customWidth="1"/>
    <col min="41" max="41" width="21" bestFit="1" customWidth="1"/>
    <col min="44" max="44" width="9.85546875" bestFit="1" customWidth="1"/>
    <col min="45" max="45" width="18.85546875" bestFit="1" customWidth="1"/>
    <col min="46" max="46" width="14.5703125" bestFit="1" customWidth="1"/>
    <col min="47" max="47" width="17.28515625" bestFit="1" customWidth="1"/>
    <col min="48" max="48" width="21" bestFit="1" customWidth="1"/>
    <col min="51" max="51" width="9.85546875" bestFit="1" customWidth="1"/>
    <col min="52" max="52" width="18.85546875" bestFit="1" customWidth="1"/>
    <col min="53" max="53" width="14.5703125" bestFit="1" customWidth="1"/>
    <col min="54" max="54" width="17.28515625" bestFit="1" customWidth="1"/>
    <col min="55" max="55" width="21" bestFit="1" customWidth="1"/>
    <col min="58" max="58" width="9.85546875" bestFit="1" customWidth="1"/>
    <col min="59" max="59" width="18.85546875" bestFit="1" customWidth="1"/>
    <col min="60" max="60" width="14.5703125" bestFit="1" customWidth="1"/>
    <col min="61" max="61" width="17.28515625" bestFit="1" customWidth="1"/>
    <col min="62" max="62" width="21" bestFit="1" customWidth="1"/>
    <col min="65" max="65" width="9.85546875" bestFit="1" customWidth="1"/>
    <col min="66" max="66" width="18.85546875" bestFit="1" customWidth="1"/>
    <col min="67" max="67" width="14.5703125" bestFit="1" customWidth="1"/>
    <col min="68" max="68" width="17.28515625" bestFit="1" customWidth="1"/>
    <col min="69" max="69" width="21" bestFit="1" customWidth="1"/>
    <col min="72" max="72" width="9.85546875" bestFit="1" customWidth="1"/>
    <col min="73" max="73" width="18.85546875" bestFit="1" customWidth="1"/>
    <col min="74" max="74" width="14.5703125" bestFit="1" customWidth="1"/>
    <col min="75" max="75" width="17.28515625" bestFit="1" customWidth="1"/>
    <col min="76" max="76" width="21" bestFit="1" customWidth="1"/>
    <col min="79" max="79" width="9.85546875" bestFit="1" customWidth="1"/>
    <col min="80" max="80" width="18.85546875" bestFit="1" customWidth="1"/>
    <col min="81" max="81" width="14.5703125" bestFit="1" customWidth="1"/>
    <col min="82" max="82" width="17.28515625" bestFit="1" customWidth="1"/>
    <col min="83" max="83" width="21" bestFit="1" customWidth="1"/>
    <col min="86" max="86" width="9.85546875" bestFit="1" customWidth="1"/>
    <col min="87" max="87" width="18.85546875" bestFit="1" customWidth="1"/>
    <col min="88" max="88" width="14.5703125" bestFit="1" customWidth="1"/>
    <col min="89" max="89" width="17.28515625" bestFit="1" customWidth="1"/>
    <col min="90" max="90" width="21" bestFit="1" customWidth="1"/>
    <col min="93" max="93" width="9.85546875" bestFit="1" customWidth="1"/>
    <col min="94" max="94" width="18.85546875" bestFit="1" customWidth="1"/>
    <col min="95" max="95" width="14.5703125" bestFit="1" customWidth="1"/>
    <col min="96" max="96" width="17.28515625" bestFit="1" customWidth="1"/>
    <col min="97" max="97" width="21" bestFit="1" customWidth="1"/>
  </cols>
  <sheetData>
    <row r="1" spans="1:97" x14ac:dyDescent="0.25">
      <c r="A1" s="190" t="s">
        <v>131</v>
      </c>
      <c r="B1" s="190"/>
      <c r="C1" s="190"/>
      <c r="D1" s="190"/>
      <c r="E1" s="190"/>
      <c r="F1" s="190"/>
      <c r="H1" s="190" t="s">
        <v>132</v>
      </c>
      <c r="I1" s="190"/>
      <c r="J1" s="190"/>
      <c r="K1" s="190"/>
      <c r="L1" s="190"/>
      <c r="M1" s="190"/>
      <c r="O1" s="190" t="s">
        <v>133</v>
      </c>
      <c r="P1" s="190"/>
      <c r="Q1" s="190"/>
      <c r="R1" s="190"/>
      <c r="S1" s="190"/>
      <c r="T1" s="190"/>
      <c r="V1" s="190" t="s">
        <v>142</v>
      </c>
      <c r="W1" s="190"/>
      <c r="X1" s="190"/>
      <c r="Y1" s="190"/>
      <c r="Z1" s="190"/>
      <c r="AA1" s="190"/>
      <c r="AC1" s="190" t="s">
        <v>143</v>
      </c>
      <c r="AD1" s="190"/>
      <c r="AE1" s="190"/>
      <c r="AF1" s="190"/>
      <c r="AG1" s="190"/>
      <c r="AH1" s="190"/>
      <c r="AJ1" s="190" t="s">
        <v>144</v>
      </c>
      <c r="AK1" s="190"/>
      <c r="AL1" s="190"/>
      <c r="AM1" s="190"/>
      <c r="AN1" s="190"/>
      <c r="AO1" s="190"/>
      <c r="AQ1" s="190" t="s">
        <v>145</v>
      </c>
      <c r="AR1" s="190"/>
      <c r="AS1" s="190"/>
      <c r="AT1" s="190"/>
      <c r="AU1" s="190"/>
      <c r="AV1" s="190"/>
      <c r="AX1" s="190" t="s">
        <v>146</v>
      </c>
      <c r="AY1" s="190"/>
      <c r="AZ1" s="190"/>
      <c r="BA1" s="190"/>
      <c r="BB1" s="190"/>
      <c r="BC1" s="190"/>
      <c r="BE1" s="190" t="s">
        <v>147</v>
      </c>
      <c r="BF1" s="190"/>
      <c r="BG1" s="190"/>
      <c r="BH1" s="190"/>
      <c r="BI1" s="190"/>
      <c r="BJ1" s="190"/>
      <c r="BL1" s="190" t="s">
        <v>148</v>
      </c>
      <c r="BM1" s="190"/>
      <c r="BN1" s="190"/>
      <c r="BO1" s="190"/>
      <c r="BP1" s="190"/>
      <c r="BQ1" s="190"/>
      <c r="BS1" s="190" t="s">
        <v>149</v>
      </c>
      <c r="BT1" s="190"/>
      <c r="BU1" s="190"/>
      <c r="BV1" s="190"/>
      <c r="BW1" s="190"/>
      <c r="BX1" s="190"/>
      <c r="BZ1" s="190" t="s">
        <v>150</v>
      </c>
      <c r="CA1" s="190"/>
      <c r="CB1" s="190"/>
      <c r="CC1" s="190"/>
      <c r="CD1" s="190"/>
      <c r="CE1" s="190"/>
      <c r="CG1" s="190" t="s">
        <v>151</v>
      </c>
      <c r="CH1" s="190"/>
      <c r="CI1" s="190"/>
      <c r="CJ1" s="190"/>
      <c r="CK1" s="190"/>
      <c r="CL1" s="190"/>
      <c r="CN1" s="190" t="s">
        <v>152</v>
      </c>
      <c r="CO1" s="190"/>
      <c r="CP1" s="190"/>
      <c r="CQ1" s="190"/>
      <c r="CR1" s="190"/>
      <c r="CS1" s="190"/>
    </row>
    <row r="2" spans="1:97" x14ac:dyDescent="0.25">
      <c r="A2" s="9" t="s">
        <v>79</v>
      </c>
      <c r="B2" s="151" t="s">
        <v>74</v>
      </c>
      <c r="C2" s="139" t="s">
        <v>127</v>
      </c>
      <c r="D2" s="139" t="s">
        <v>128</v>
      </c>
      <c r="E2" s="138" t="s">
        <v>129</v>
      </c>
      <c r="F2" s="31" t="s">
        <v>130</v>
      </c>
      <c r="H2" s="9" t="s">
        <v>79</v>
      </c>
      <c r="I2" s="151" t="s">
        <v>74</v>
      </c>
      <c r="J2" s="139" t="s">
        <v>127</v>
      </c>
      <c r="K2" s="139" t="s">
        <v>128</v>
      </c>
      <c r="L2" s="138" t="s">
        <v>129</v>
      </c>
      <c r="M2" s="31" t="s">
        <v>130</v>
      </c>
      <c r="O2" s="9" t="s">
        <v>79</v>
      </c>
      <c r="P2" s="151" t="s">
        <v>74</v>
      </c>
      <c r="Q2" s="139" t="s">
        <v>127</v>
      </c>
      <c r="R2" s="139" t="s">
        <v>128</v>
      </c>
      <c r="S2" s="138" t="s">
        <v>129</v>
      </c>
      <c r="T2" s="31" t="s">
        <v>130</v>
      </c>
      <c r="V2" s="9" t="s">
        <v>79</v>
      </c>
      <c r="W2" s="151" t="s">
        <v>74</v>
      </c>
      <c r="X2" s="139" t="s">
        <v>127</v>
      </c>
      <c r="Y2" s="139" t="s">
        <v>128</v>
      </c>
      <c r="Z2" s="138" t="s">
        <v>129</v>
      </c>
      <c r="AA2" s="31" t="s">
        <v>130</v>
      </c>
      <c r="AC2" s="9" t="s">
        <v>79</v>
      </c>
      <c r="AD2" s="151" t="s">
        <v>74</v>
      </c>
      <c r="AE2" s="139" t="s">
        <v>127</v>
      </c>
      <c r="AF2" s="139" t="s">
        <v>128</v>
      </c>
      <c r="AG2" s="138" t="s">
        <v>129</v>
      </c>
      <c r="AH2" s="31" t="s">
        <v>130</v>
      </c>
      <c r="AJ2" s="9" t="s">
        <v>79</v>
      </c>
      <c r="AK2" s="151" t="s">
        <v>74</v>
      </c>
      <c r="AL2" s="139" t="s">
        <v>127</v>
      </c>
      <c r="AM2" s="139" t="s">
        <v>128</v>
      </c>
      <c r="AN2" s="138" t="s">
        <v>129</v>
      </c>
      <c r="AO2" s="31" t="s">
        <v>130</v>
      </c>
      <c r="AQ2" s="9" t="s">
        <v>79</v>
      </c>
      <c r="AR2" s="151" t="s">
        <v>74</v>
      </c>
      <c r="AS2" s="139" t="s">
        <v>127</v>
      </c>
      <c r="AT2" s="139" t="s">
        <v>128</v>
      </c>
      <c r="AU2" s="138" t="s">
        <v>129</v>
      </c>
      <c r="AV2" s="31" t="s">
        <v>130</v>
      </c>
      <c r="AX2" s="9" t="s">
        <v>79</v>
      </c>
      <c r="AY2" s="151" t="s">
        <v>74</v>
      </c>
      <c r="AZ2" s="139" t="s">
        <v>127</v>
      </c>
      <c r="BA2" s="139" t="s">
        <v>128</v>
      </c>
      <c r="BB2" s="138" t="s">
        <v>129</v>
      </c>
      <c r="BC2" s="31" t="s">
        <v>130</v>
      </c>
      <c r="BE2" s="9" t="s">
        <v>79</v>
      </c>
      <c r="BF2" s="151" t="s">
        <v>74</v>
      </c>
      <c r="BG2" s="139" t="s">
        <v>127</v>
      </c>
      <c r="BH2" s="139" t="s">
        <v>128</v>
      </c>
      <c r="BI2" s="138" t="s">
        <v>129</v>
      </c>
      <c r="BJ2" s="31" t="s">
        <v>130</v>
      </c>
      <c r="BL2" s="9" t="s">
        <v>79</v>
      </c>
      <c r="BM2" s="151" t="s">
        <v>74</v>
      </c>
      <c r="BN2" s="139" t="s">
        <v>127</v>
      </c>
      <c r="BO2" s="139" t="s">
        <v>128</v>
      </c>
      <c r="BP2" s="138" t="s">
        <v>129</v>
      </c>
      <c r="BQ2" s="31" t="s">
        <v>130</v>
      </c>
      <c r="BS2" s="9" t="s">
        <v>79</v>
      </c>
      <c r="BT2" s="151" t="s">
        <v>74</v>
      </c>
      <c r="BU2" s="139" t="s">
        <v>127</v>
      </c>
      <c r="BV2" s="139" t="s">
        <v>128</v>
      </c>
      <c r="BW2" s="138" t="s">
        <v>129</v>
      </c>
      <c r="BX2" s="31" t="s">
        <v>130</v>
      </c>
      <c r="BZ2" s="9" t="s">
        <v>79</v>
      </c>
      <c r="CA2" s="151" t="s">
        <v>74</v>
      </c>
      <c r="CB2" s="139" t="s">
        <v>127</v>
      </c>
      <c r="CC2" s="139" t="s">
        <v>128</v>
      </c>
      <c r="CD2" s="138" t="s">
        <v>129</v>
      </c>
      <c r="CE2" s="31" t="s">
        <v>130</v>
      </c>
      <c r="CG2" s="9" t="s">
        <v>79</v>
      </c>
      <c r="CH2" s="151" t="s">
        <v>74</v>
      </c>
      <c r="CI2" s="139" t="s">
        <v>127</v>
      </c>
      <c r="CJ2" s="139" t="s">
        <v>128</v>
      </c>
      <c r="CK2" s="138" t="s">
        <v>129</v>
      </c>
      <c r="CL2" s="31" t="s">
        <v>130</v>
      </c>
      <c r="CN2" s="9" t="s">
        <v>79</v>
      </c>
      <c r="CO2" s="151" t="s">
        <v>74</v>
      </c>
      <c r="CP2" s="139" t="s">
        <v>127</v>
      </c>
      <c r="CQ2" s="139" t="s">
        <v>128</v>
      </c>
      <c r="CR2" s="138" t="s">
        <v>129</v>
      </c>
      <c r="CS2" s="31" t="s">
        <v>130</v>
      </c>
    </row>
    <row r="3" spans="1:97" x14ac:dyDescent="0.25">
      <c r="A3" s="149">
        <v>1</v>
      </c>
      <c r="B3" s="152">
        <v>1</v>
      </c>
      <c r="C3" s="139">
        <v>2249.9</v>
      </c>
      <c r="D3" s="155">
        <v>2237.1999999999998</v>
      </c>
      <c r="E3" s="153">
        <f>C3-D3</f>
        <v>12.700000000000273</v>
      </c>
      <c r="F3" s="143">
        <f>E3/E6</f>
        <v>0.3813813813813875</v>
      </c>
      <c r="H3" s="149">
        <v>1</v>
      </c>
      <c r="I3" s="152">
        <v>1</v>
      </c>
      <c r="J3" s="139">
        <v>2313.3000000000002</v>
      </c>
      <c r="K3" s="155">
        <v>2302.9</v>
      </c>
      <c r="L3" s="153">
        <f>J3-K3</f>
        <v>10.400000000000091</v>
      </c>
      <c r="M3" s="143">
        <f>L3/L6</f>
        <v>0.39543726235741516</v>
      </c>
      <c r="O3" s="149">
        <v>1</v>
      </c>
      <c r="P3" s="152">
        <v>1</v>
      </c>
      <c r="Q3" s="139">
        <v>2469.6999999999998</v>
      </c>
      <c r="R3" s="155">
        <v>2462.6999999999998</v>
      </c>
      <c r="S3" s="153">
        <f>Q3-R3</f>
        <v>7</v>
      </c>
      <c r="T3" s="143">
        <f>S3/S6</f>
        <v>0.36458333333333681</v>
      </c>
      <c r="V3" s="149">
        <v>1</v>
      </c>
      <c r="W3" s="152">
        <v>1</v>
      </c>
      <c r="X3" s="139">
        <v>2781.9</v>
      </c>
      <c r="Y3" s="155">
        <v>2771.8</v>
      </c>
      <c r="Z3" s="153">
        <f>X3-Y3</f>
        <v>10.099999999999909</v>
      </c>
      <c r="AA3" s="143">
        <f>Z3/Z6</f>
        <v>0.40399999999999636</v>
      </c>
      <c r="AC3" s="149">
        <v>1</v>
      </c>
      <c r="AD3" s="152">
        <v>1</v>
      </c>
      <c r="AE3" s="139">
        <v>2339.5</v>
      </c>
      <c r="AF3" s="155">
        <v>2329.3000000000002</v>
      </c>
      <c r="AG3" s="153">
        <f>AE3-AF3</f>
        <v>10.199999999999818</v>
      </c>
      <c r="AH3" s="143">
        <f>AG3/AG6</f>
        <v>0.35664335664335139</v>
      </c>
      <c r="AJ3" s="149">
        <v>1</v>
      </c>
      <c r="AK3" s="152">
        <v>1</v>
      </c>
      <c r="AL3" s="139">
        <v>2445.9</v>
      </c>
      <c r="AM3" s="155">
        <v>2436.6</v>
      </c>
      <c r="AN3" s="153">
        <f>AL3-AM3</f>
        <v>9.3000000000001819</v>
      </c>
      <c r="AO3" s="143">
        <f>AN3/AN6</f>
        <v>0.38589211618257435</v>
      </c>
      <c r="AQ3" s="149">
        <v>1</v>
      </c>
      <c r="AR3" s="152">
        <v>1</v>
      </c>
      <c r="AS3" s="139">
        <v>2631.1</v>
      </c>
      <c r="AT3" s="155">
        <v>2617.9</v>
      </c>
      <c r="AU3" s="153">
        <f>AS3-AT3</f>
        <v>13.199999999999818</v>
      </c>
      <c r="AV3" s="143">
        <f>AU3/AU6</f>
        <v>0.35675675675675184</v>
      </c>
      <c r="AX3" s="149">
        <v>1</v>
      </c>
      <c r="AY3" s="152">
        <v>1</v>
      </c>
      <c r="AZ3" s="139">
        <v>2486.5</v>
      </c>
      <c r="BA3" s="155">
        <v>2475.4</v>
      </c>
      <c r="BB3" s="153">
        <f>AZ3-BA3</f>
        <v>11.099999999999909</v>
      </c>
      <c r="BC3" s="143">
        <f>BB3/BB6</f>
        <v>0.35463258785941998</v>
      </c>
      <c r="BE3" s="149">
        <v>1</v>
      </c>
      <c r="BF3" s="152">
        <v>1</v>
      </c>
      <c r="BG3" s="139">
        <v>2443.9</v>
      </c>
      <c r="BH3" s="155">
        <v>2432.5</v>
      </c>
      <c r="BI3" s="153">
        <f>BG3-BH3</f>
        <v>11.400000000000091</v>
      </c>
      <c r="BJ3" s="143">
        <f>BI3/BI6</f>
        <v>0.39583333333333398</v>
      </c>
      <c r="BL3" s="149">
        <v>1</v>
      </c>
      <c r="BM3" s="152">
        <v>1</v>
      </c>
      <c r="BN3" s="139">
        <v>2341.9</v>
      </c>
      <c r="BO3" s="155">
        <v>2330.5</v>
      </c>
      <c r="BP3" s="153">
        <f>BN3-BO3</f>
        <v>11.400000000000091</v>
      </c>
      <c r="BQ3" s="143">
        <f>BP3/BP6</f>
        <v>0.39310344827586519</v>
      </c>
      <c r="BS3" s="149">
        <v>1</v>
      </c>
      <c r="BT3" s="152">
        <v>1</v>
      </c>
      <c r="BU3" s="139">
        <v>2188.9</v>
      </c>
      <c r="BV3" s="155">
        <v>2176.1</v>
      </c>
      <c r="BW3" s="153">
        <f>BU3-BV3</f>
        <v>12.800000000000182</v>
      </c>
      <c r="BX3" s="143">
        <f>BW3/BW6</f>
        <v>0.41025641025641846</v>
      </c>
      <c r="BZ3" s="149">
        <v>1</v>
      </c>
      <c r="CA3" s="152">
        <v>1</v>
      </c>
      <c r="CB3" s="139">
        <v>2319.5</v>
      </c>
      <c r="CC3" s="155">
        <v>2309.3000000000002</v>
      </c>
      <c r="CD3" s="153">
        <f>CB3-CC3</f>
        <v>10.199999999999818</v>
      </c>
      <c r="CE3" s="143">
        <f>CD3/CD6</f>
        <v>0.38931297709922563</v>
      </c>
      <c r="CG3" s="149">
        <v>1</v>
      </c>
      <c r="CH3" s="152">
        <v>1</v>
      </c>
      <c r="CI3" s="139">
        <v>2395.8000000000002</v>
      </c>
      <c r="CJ3" s="155">
        <v>2391.1999999999998</v>
      </c>
      <c r="CK3" s="153">
        <f>CI3-CJ3</f>
        <v>4.6000000000003638</v>
      </c>
      <c r="CL3" s="143">
        <f>CK3/CK6</f>
        <v>0.40707964601772478</v>
      </c>
      <c r="CN3" s="149">
        <v>1</v>
      </c>
      <c r="CO3" s="152">
        <v>1</v>
      </c>
      <c r="CP3" s="139">
        <v>2407.4</v>
      </c>
      <c r="CQ3" s="155">
        <v>2398.3000000000002</v>
      </c>
      <c r="CR3" s="153">
        <f>CP3-CQ3</f>
        <v>9.0999999999999091</v>
      </c>
      <c r="CS3" s="143">
        <f>CR3/CR6</f>
        <v>0.34469696969696506</v>
      </c>
    </row>
    <row r="4" spans="1:97" x14ac:dyDescent="0.25">
      <c r="A4" s="142">
        <v>1.5</v>
      </c>
      <c r="B4" s="12">
        <v>2</v>
      </c>
      <c r="C4" s="142">
        <v>2237.1999999999998</v>
      </c>
      <c r="D4" s="156">
        <v>2217.6999999999998</v>
      </c>
      <c r="E4" s="141">
        <f>C4-D4</f>
        <v>19.5</v>
      </c>
      <c r="F4" s="143">
        <f>E4/E6</f>
        <v>0.58558558558558238</v>
      </c>
      <c r="H4" s="142">
        <v>1.6</v>
      </c>
      <c r="I4" s="12">
        <v>2</v>
      </c>
      <c r="J4" s="142">
        <v>2302.9</v>
      </c>
      <c r="K4" s="156">
        <v>2287</v>
      </c>
      <c r="L4" s="141">
        <f>J4-K4</f>
        <v>15.900000000000091</v>
      </c>
      <c r="M4" s="143">
        <f>L4/L6</f>
        <v>0.60456273764258484</v>
      </c>
      <c r="O4" s="142">
        <v>1.6</v>
      </c>
      <c r="P4" s="12">
        <v>2</v>
      </c>
      <c r="Q4" s="142">
        <v>2462.6999999999998</v>
      </c>
      <c r="R4" s="156">
        <v>2451.8000000000002</v>
      </c>
      <c r="S4" s="141">
        <f>Q4-R4</f>
        <v>10.899999999999636</v>
      </c>
      <c r="T4" s="143">
        <f>S4/S6</f>
        <v>0.56770833333331971</v>
      </c>
      <c r="V4" s="142">
        <v>1.6</v>
      </c>
      <c r="W4" s="12">
        <v>2</v>
      </c>
      <c r="X4" s="142">
        <v>2771.8</v>
      </c>
      <c r="Y4" s="156">
        <v>2757.9</v>
      </c>
      <c r="Z4" s="141">
        <f>X4-Y4</f>
        <v>13.900000000000091</v>
      </c>
      <c r="AA4" s="143">
        <f>Z4/Z6</f>
        <v>0.5560000000000036</v>
      </c>
      <c r="AC4" s="142">
        <v>1.6</v>
      </c>
      <c r="AD4" s="12">
        <v>2</v>
      </c>
      <c r="AE4" s="142">
        <v>2329.3000000000002</v>
      </c>
      <c r="AF4" s="156">
        <v>2314</v>
      </c>
      <c r="AG4" s="141">
        <f>AE4-AF4</f>
        <v>15.300000000000182</v>
      </c>
      <c r="AH4" s="143">
        <f>AG4/AG6</f>
        <v>0.534965034965043</v>
      </c>
      <c r="AJ4" s="142">
        <v>1.6</v>
      </c>
      <c r="AK4" s="12">
        <v>2</v>
      </c>
      <c r="AL4" s="142">
        <v>2436.6</v>
      </c>
      <c r="AM4" s="156">
        <v>2424.5</v>
      </c>
      <c r="AN4" s="141">
        <f>AL4-AM4</f>
        <v>12.099999999999909</v>
      </c>
      <c r="AO4" s="143">
        <f>AN4/AN6</f>
        <v>0.50207468879666917</v>
      </c>
      <c r="AQ4" s="142">
        <v>1.6</v>
      </c>
      <c r="AR4" s="12">
        <v>2</v>
      </c>
      <c r="AS4" s="142">
        <v>2617.9</v>
      </c>
      <c r="AT4" s="156">
        <v>2598.9</v>
      </c>
      <c r="AU4" s="141">
        <f>AS4-AT4</f>
        <v>19</v>
      </c>
      <c r="AV4" s="143">
        <f>AU4/AU6</f>
        <v>0.51351351351351349</v>
      </c>
      <c r="AX4" s="142">
        <v>1.6</v>
      </c>
      <c r="AY4" s="12">
        <v>2</v>
      </c>
      <c r="AZ4" s="142">
        <v>2475.4</v>
      </c>
      <c r="BA4" s="156">
        <v>2459.3000000000002</v>
      </c>
      <c r="BB4" s="141">
        <f>AZ4-BA4</f>
        <v>16.099999999999909</v>
      </c>
      <c r="BC4" s="143">
        <f>BB4/BB6</f>
        <v>0.51437699680510596</v>
      </c>
      <c r="BE4" s="142">
        <v>1.6</v>
      </c>
      <c r="BF4" s="12">
        <v>2</v>
      </c>
      <c r="BG4" s="142">
        <v>2432.5</v>
      </c>
      <c r="BH4" s="156">
        <v>2416.6999999999998</v>
      </c>
      <c r="BI4" s="141">
        <f>BG4-BH4</f>
        <v>15.800000000000182</v>
      </c>
      <c r="BJ4" s="143">
        <f>BI4/BI6</f>
        <v>0.54861111111111394</v>
      </c>
      <c r="BL4" s="142">
        <v>1.6</v>
      </c>
      <c r="BM4" s="12">
        <v>2</v>
      </c>
      <c r="BN4" s="142">
        <v>2330.5</v>
      </c>
      <c r="BO4" s="156">
        <v>2314.1</v>
      </c>
      <c r="BP4" s="141">
        <f>BN4-BO4</f>
        <v>16.400000000000091</v>
      </c>
      <c r="BQ4" s="143">
        <f>BP4/BP6</f>
        <v>0.56551724137931347</v>
      </c>
      <c r="BS4" s="142">
        <v>1.6</v>
      </c>
      <c r="BT4" s="12">
        <v>2</v>
      </c>
      <c r="BU4" s="142">
        <v>2176.1</v>
      </c>
      <c r="BV4" s="156">
        <v>2156.8000000000002</v>
      </c>
      <c r="BW4" s="141">
        <f>BU4-BV4</f>
        <v>19.299999999999727</v>
      </c>
      <c r="BX4" s="143">
        <f>BW4/BW6</f>
        <v>0.61858974358973851</v>
      </c>
      <c r="BZ4" s="142">
        <v>1.6</v>
      </c>
      <c r="CA4" s="12">
        <v>2</v>
      </c>
      <c r="CB4" s="142">
        <v>2309.3000000000002</v>
      </c>
      <c r="CC4" s="156">
        <v>2292.9</v>
      </c>
      <c r="CD4" s="141">
        <f>CB4-CC4</f>
        <v>16.400000000000091</v>
      </c>
      <c r="CE4" s="143">
        <f>CD4/CD6</f>
        <v>0.62595419847327938</v>
      </c>
      <c r="CG4" s="142">
        <v>1.6</v>
      </c>
      <c r="CH4" s="12">
        <v>2</v>
      </c>
      <c r="CI4" s="142">
        <v>2391.1999999999998</v>
      </c>
      <c r="CJ4" s="156">
        <v>2383.6999999999998</v>
      </c>
      <c r="CK4" s="141">
        <f>CI4-CJ4</f>
        <v>7.5</v>
      </c>
      <c r="CL4" s="143">
        <f>CK4/CK6</f>
        <v>0.6637168141592813</v>
      </c>
      <c r="CN4" s="142">
        <v>1.6</v>
      </c>
      <c r="CO4" s="12">
        <v>2</v>
      </c>
      <c r="CP4" s="142">
        <v>2398.3000000000002</v>
      </c>
      <c r="CQ4" s="156">
        <v>2384</v>
      </c>
      <c r="CR4" s="141">
        <f>CP4-CQ4</f>
        <v>14.300000000000182</v>
      </c>
      <c r="CS4" s="143">
        <f>CR4/CR6</f>
        <v>0.54166666666667174</v>
      </c>
    </row>
    <row r="5" spans="1:97" x14ac:dyDescent="0.25">
      <c r="A5" s="150">
        <v>2</v>
      </c>
      <c r="B5" s="12">
        <v>3</v>
      </c>
      <c r="C5" s="142">
        <v>2217.6999999999998</v>
      </c>
      <c r="D5" s="156">
        <v>2204.9</v>
      </c>
      <c r="E5" s="141">
        <f t="shared" ref="E5:E7" si="0">C5-D5</f>
        <v>12.799999999999727</v>
      </c>
      <c r="F5" s="143">
        <f>E5/E6</f>
        <v>0.38438438438437411</v>
      </c>
      <c r="H5" s="150">
        <v>2</v>
      </c>
      <c r="I5" s="12">
        <v>3</v>
      </c>
      <c r="J5" s="142">
        <v>2287</v>
      </c>
      <c r="K5" s="156">
        <v>2276.9</v>
      </c>
      <c r="L5" s="141">
        <f t="shared" ref="L5:L7" si="1">J5-K5</f>
        <v>10.099999999999909</v>
      </c>
      <c r="M5" s="143">
        <f>L5/L6</f>
        <v>0.38403041825094447</v>
      </c>
      <c r="O5" s="150">
        <v>2</v>
      </c>
      <c r="P5" s="12">
        <v>3</v>
      </c>
      <c r="Q5" s="142">
        <v>2451.8000000000002</v>
      </c>
      <c r="R5" s="142">
        <v>2444.5</v>
      </c>
      <c r="S5" s="141">
        <f t="shared" ref="S5:S7" si="2">Q5-R5</f>
        <v>7.3000000000001819</v>
      </c>
      <c r="T5" s="143">
        <f>S5/S6</f>
        <v>0.38020833333334642</v>
      </c>
      <c r="V5" s="150">
        <v>2</v>
      </c>
      <c r="W5" s="12">
        <v>3</v>
      </c>
      <c r="X5" s="142">
        <v>2757.9</v>
      </c>
      <c r="Y5" s="142">
        <v>2749.2</v>
      </c>
      <c r="Z5" s="141">
        <f t="shared" ref="Z5:Z7" si="3">X5-Y5</f>
        <v>8.7000000000002728</v>
      </c>
      <c r="AA5" s="143">
        <f>Z5/Z6</f>
        <v>0.34800000000001091</v>
      </c>
      <c r="AC5" s="150">
        <v>2</v>
      </c>
      <c r="AD5" s="12">
        <v>3</v>
      </c>
      <c r="AE5" s="142">
        <v>2314</v>
      </c>
      <c r="AF5" s="142">
        <v>2303.5</v>
      </c>
      <c r="AG5" s="141">
        <f t="shared" ref="AG5:AG7" si="4">AE5-AF5</f>
        <v>10.5</v>
      </c>
      <c r="AH5" s="143">
        <f>AG5/AG6</f>
        <v>0.3671328671328683</v>
      </c>
      <c r="AJ5" s="150">
        <v>2</v>
      </c>
      <c r="AK5" s="12">
        <v>3</v>
      </c>
      <c r="AL5" s="142">
        <v>2424.5</v>
      </c>
      <c r="AM5" s="142">
        <v>2415.3000000000002</v>
      </c>
      <c r="AN5" s="141">
        <f t="shared" ref="AN5:AN7" si="5">AL5-AM5</f>
        <v>9.1999999999998181</v>
      </c>
      <c r="AO5" s="143">
        <f>AN5/AN6</f>
        <v>0.38174273858919833</v>
      </c>
      <c r="AQ5" s="150">
        <v>2</v>
      </c>
      <c r="AR5" s="12">
        <v>3</v>
      </c>
      <c r="AS5" s="142">
        <v>2598.9</v>
      </c>
      <c r="AT5" s="142">
        <v>2585.8000000000002</v>
      </c>
      <c r="AU5" s="141">
        <f t="shared" ref="AU5:AU7" si="6">AS5-AT5</f>
        <v>13.099999999999909</v>
      </c>
      <c r="AV5" s="143">
        <f>AU5/AU6</f>
        <v>0.3540540540540516</v>
      </c>
      <c r="AX5" s="150">
        <v>2</v>
      </c>
      <c r="AY5" s="12">
        <v>3</v>
      </c>
      <c r="AZ5" s="142">
        <v>2459.3000000000002</v>
      </c>
      <c r="BA5" s="142">
        <v>2447.4</v>
      </c>
      <c r="BB5" s="141">
        <f t="shared" ref="BB5:BB7" si="7">AZ5-BA5</f>
        <v>11.900000000000091</v>
      </c>
      <c r="BC5" s="143">
        <f>BB5/BB6</f>
        <v>0.38019169329073554</v>
      </c>
      <c r="BE5" s="150">
        <v>2</v>
      </c>
      <c r="BF5" s="12">
        <v>3</v>
      </c>
      <c r="BG5" s="142">
        <v>2416.6999999999998</v>
      </c>
      <c r="BH5" s="142">
        <v>2406</v>
      </c>
      <c r="BI5" s="141">
        <f t="shared" ref="BI5:BI7" si="8">BG5-BH5</f>
        <v>10.699999999999818</v>
      </c>
      <c r="BJ5" s="143">
        <f>BI5/BI6</f>
        <v>0.37152777777776913</v>
      </c>
      <c r="BL5" s="150">
        <v>2</v>
      </c>
      <c r="BM5" s="12">
        <v>3</v>
      </c>
      <c r="BN5" s="142">
        <v>2314.1</v>
      </c>
      <c r="BO5" s="142">
        <v>2302.9</v>
      </c>
      <c r="BP5" s="141">
        <f t="shared" ref="BP5:BP7" si="9">BN5-BO5</f>
        <v>11.199999999999818</v>
      </c>
      <c r="BQ5" s="143">
        <f>BP5/BP6</f>
        <v>0.38620689655171786</v>
      </c>
      <c r="BS5" s="150">
        <v>2</v>
      </c>
      <c r="BT5" s="12">
        <v>3</v>
      </c>
      <c r="BU5" s="142">
        <v>2156.8000000000002</v>
      </c>
      <c r="BV5" s="142">
        <v>2143.1999999999998</v>
      </c>
      <c r="BW5" s="141">
        <f t="shared" ref="BW5:BW7" si="10">BU5-BV5</f>
        <v>13.600000000000364</v>
      </c>
      <c r="BX5" s="143">
        <f>BW5/BW6</f>
        <v>0.43589743589745011</v>
      </c>
      <c r="BZ5" s="150">
        <v>2</v>
      </c>
      <c r="CA5" s="12">
        <v>3</v>
      </c>
      <c r="CB5" s="142">
        <v>2292.9</v>
      </c>
      <c r="CC5" s="142">
        <v>2282.4</v>
      </c>
      <c r="CD5" s="141">
        <f t="shared" ref="CD5:CD7" si="11">CB5-CC5</f>
        <v>10.5</v>
      </c>
      <c r="CE5" s="143">
        <f>CD5/CD6</f>
        <v>0.40076335877862179</v>
      </c>
      <c r="CG5" s="150">
        <v>2</v>
      </c>
      <c r="CH5" s="12">
        <v>3</v>
      </c>
      <c r="CI5" s="142">
        <v>2383.6999999999998</v>
      </c>
      <c r="CJ5" s="142">
        <v>2378.8000000000002</v>
      </c>
      <c r="CK5" s="141">
        <f t="shared" ref="CK5:CK7" si="12">CI5-CJ5</f>
        <v>4.8999999999996362</v>
      </c>
      <c r="CL5" s="143">
        <f>CK5/CK6</f>
        <v>0.43362831858403161</v>
      </c>
      <c r="CN5" s="150">
        <v>2</v>
      </c>
      <c r="CO5" s="12">
        <v>3</v>
      </c>
      <c r="CP5" s="142">
        <v>2384</v>
      </c>
      <c r="CQ5" s="142">
        <v>2373.6</v>
      </c>
      <c r="CR5" s="141">
        <f t="shared" ref="CR5:CR7" si="13">CP5-CQ5</f>
        <v>10.400000000000091</v>
      </c>
      <c r="CS5" s="143">
        <f>CR5/CR6</f>
        <v>0.39393939393939603</v>
      </c>
    </row>
    <row r="6" spans="1:97" x14ac:dyDescent="0.25">
      <c r="A6" s="142">
        <v>2.7</v>
      </c>
      <c r="B6" s="12">
        <v>4</v>
      </c>
      <c r="C6" s="142">
        <v>2204.9</v>
      </c>
      <c r="D6" s="156">
        <v>2171.6</v>
      </c>
      <c r="E6" s="141">
        <f t="shared" si="0"/>
        <v>33.300000000000182</v>
      </c>
      <c r="F6" s="143">
        <v>1</v>
      </c>
      <c r="H6" s="142">
        <v>2.9</v>
      </c>
      <c r="I6" s="12">
        <v>4</v>
      </c>
      <c r="J6" s="142">
        <v>2276.9</v>
      </c>
      <c r="K6" s="156">
        <v>2250.6</v>
      </c>
      <c r="L6" s="141">
        <f t="shared" si="1"/>
        <v>26.300000000000182</v>
      </c>
      <c r="M6" s="143">
        <v>1</v>
      </c>
      <c r="O6" s="142">
        <v>2.9</v>
      </c>
      <c r="P6" s="12">
        <v>4</v>
      </c>
      <c r="Q6" s="142">
        <v>2444.5</v>
      </c>
      <c r="R6" s="142">
        <v>2425.3000000000002</v>
      </c>
      <c r="S6" s="141">
        <f t="shared" si="2"/>
        <v>19.199999999999818</v>
      </c>
      <c r="T6" s="143">
        <v>1</v>
      </c>
      <c r="V6" s="142">
        <v>2.9</v>
      </c>
      <c r="W6" s="12">
        <v>4</v>
      </c>
      <c r="X6" s="142">
        <v>2749.2</v>
      </c>
      <c r="Y6" s="142">
        <v>2724.2</v>
      </c>
      <c r="Z6" s="141">
        <f t="shared" si="3"/>
        <v>25</v>
      </c>
      <c r="AA6" s="143">
        <v>1</v>
      </c>
      <c r="AC6" s="142">
        <v>2.9</v>
      </c>
      <c r="AD6" s="12">
        <v>4</v>
      </c>
      <c r="AE6" s="142">
        <v>2303.5</v>
      </c>
      <c r="AF6" s="142">
        <v>2274.9</v>
      </c>
      <c r="AG6" s="141">
        <f t="shared" si="4"/>
        <v>28.599999999999909</v>
      </c>
      <c r="AH6" s="143">
        <v>1</v>
      </c>
      <c r="AJ6" s="142">
        <v>2.9</v>
      </c>
      <c r="AK6" s="12">
        <v>4</v>
      </c>
      <c r="AL6" s="142">
        <v>2415.3000000000002</v>
      </c>
      <c r="AM6" s="142">
        <v>2391.1999999999998</v>
      </c>
      <c r="AN6" s="141">
        <f t="shared" si="5"/>
        <v>24.100000000000364</v>
      </c>
      <c r="AO6" s="143">
        <v>1</v>
      </c>
      <c r="AQ6" s="142">
        <v>2.9</v>
      </c>
      <c r="AR6" s="12">
        <v>4</v>
      </c>
      <c r="AS6" s="142">
        <v>2585.8000000000002</v>
      </c>
      <c r="AT6" s="142">
        <v>2548.8000000000002</v>
      </c>
      <c r="AU6" s="141">
        <f t="shared" si="6"/>
        <v>37</v>
      </c>
      <c r="AV6" s="143">
        <v>1</v>
      </c>
      <c r="AX6" s="142">
        <v>2.9</v>
      </c>
      <c r="AY6" s="12">
        <v>4</v>
      </c>
      <c r="AZ6" s="142">
        <v>2447.4</v>
      </c>
      <c r="BA6" s="142">
        <v>2416.1</v>
      </c>
      <c r="BB6" s="141">
        <f t="shared" si="7"/>
        <v>31.300000000000182</v>
      </c>
      <c r="BC6" s="143">
        <v>1</v>
      </c>
      <c r="BE6" s="142">
        <v>2.9</v>
      </c>
      <c r="BF6" s="12">
        <v>4</v>
      </c>
      <c r="BG6" s="142">
        <v>2406</v>
      </c>
      <c r="BH6" s="142">
        <v>2377.1999999999998</v>
      </c>
      <c r="BI6" s="141">
        <f t="shared" si="8"/>
        <v>28.800000000000182</v>
      </c>
      <c r="BJ6" s="143">
        <v>1</v>
      </c>
      <c r="BL6" s="142">
        <v>2.9</v>
      </c>
      <c r="BM6" s="12">
        <v>4</v>
      </c>
      <c r="BN6" s="142">
        <v>2302.9</v>
      </c>
      <c r="BO6" s="142">
        <v>2273.9</v>
      </c>
      <c r="BP6" s="141">
        <f t="shared" si="9"/>
        <v>29</v>
      </c>
      <c r="BQ6" s="143">
        <v>1</v>
      </c>
      <c r="BS6" s="142">
        <v>2.9</v>
      </c>
      <c r="BT6" s="12">
        <v>4</v>
      </c>
      <c r="BU6" s="142">
        <v>2143.1999999999998</v>
      </c>
      <c r="BV6" s="142">
        <v>2112</v>
      </c>
      <c r="BW6" s="141">
        <f t="shared" si="10"/>
        <v>31.199999999999818</v>
      </c>
      <c r="BX6" s="143">
        <v>1</v>
      </c>
      <c r="BZ6" s="142">
        <v>2.9</v>
      </c>
      <c r="CA6" s="12">
        <v>4</v>
      </c>
      <c r="CB6" s="142">
        <v>2282.4</v>
      </c>
      <c r="CC6" s="142">
        <v>2256.1999999999998</v>
      </c>
      <c r="CD6" s="141">
        <f t="shared" si="11"/>
        <v>26.200000000000273</v>
      </c>
      <c r="CE6" s="143">
        <v>1</v>
      </c>
      <c r="CG6" s="142">
        <v>2.9</v>
      </c>
      <c r="CH6" s="12">
        <v>4</v>
      </c>
      <c r="CI6" s="142">
        <v>2378.8000000000002</v>
      </c>
      <c r="CJ6" s="142">
        <v>2367.5</v>
      </c>
      <c r="CK6" s="141">
        <f t="shared" si="12"/>
        <v>11.300000000000182</v>
      </c>
      <c r="CL6" s="143">
        <v>1</v>
      </c>
      <c r="CN6" s="142">
        <v>2.9</v>
      </c>
      <c r="CO6" s="12">
        <v>4</v>
      </c>
      <c r="CP6" s="142">
        <v>2373.6</v>
      </c>
      <c r="CQ6" s="142">
        <v>2347.1999999999998</v>
      </c>
      <c r="CR6" s="141">
        <f t="shared" si="13"/>
        <v>26.400000000000091</v>
      </c>
      <c r="CS6" s="143">
        <v>1</v>
      </c>
    </row>
    <row r="7" spans="1:97" x14ac:dyDescent="0.25">
      <c r="A7" s="142">
        <v>3.3</v>
      </c>
      <c r="B7" s="12">
        <v>5</v>
      </c>
      <c r="C7" s="144">
        <v>2171.6</v>
      </c>
      <c r="D7" s="157">
        <v>2146.6</v>
      </c>
      <c r="E7" s="141">
        <f t="shared" si="0"/>
        <v>25</v>
      </c>
      <c r="F7" s="143">
        <f>E7/E6</f>
        <v>0.7507507507507466</v>
      </c>
      <c r="H7" s="144">
        <v>3.3</v>
      </c>
      <c r="I7" s="157">
        <v>5</v>
      </c>
      <c r="J7" s="144">
        <v>2250.6</v>
      </c>
      <c r="K7" s="157">
        <v>2230.6999999999998</v>
      </c>
      <c r="L7" s="145">
        <f t="shared" si="1"/>
        <v>19.900000000000091</v>
      </c>
      <c r="M7" s="145">
        <f>L7/L6</f>
        <v>0.75665399239543552</v>
      </c>
      <c r="O7" s="144">
        <v>3.3</v>
      </c>
      <c r="P7" s="154">
        <v>5</v>
      </c>
      <c r="Q7" s="144">
        <v>2425.3000000000002</v>
      </c>
      <c r="R7" s="157">
        <v>2412.6</v>
      </c>
      <c r="S7" s="146">
        <f t="shared" si="2"/>
        <v>12.700000000000273</v>
      </c>
      <c r="T7" s="145">
        <f>S7/S6</f>
        <v>0.6614583333333538</v>
      </c>
      <c r="V7" s="144">
        <v>3.3</v>
      </c>
      <c r="W7" s="154">
        <v>5</v>
      </c>
      <c r="X7" s="144">
        <v>2724.2</v>
      </c>
      <c r="Y7" s="157">
        <v>2705.3</v>
      </c>
      <c r="Z7" s="146">
        <f t="shared" si="3"/>
        <v>18.899999999999636</v>
      </c>
      <c r="AA7" s="145">
        <f>Z7/Z6</f>
        <v>0.75599999999998546</v>
      </c>
      <c r="AC7" s="144">
        <v>3.3</v>
      </c>
      <c r="AD7" s="154">
        <v>5</v>
      </c>
      <c r="AE7" s="144">
        <v>2274.9</v>
      </c>
      <c r="AF7" s="157">
        <v>2253.3000000000002</v>
      </c>
      <c r="AG7" s="146">
        <f t="shared" si="4"/>
        <v>21.599999999999909</v>
      </c>
      <c r="AH7" s="145">
        <f>AG7/AG6</f>
        <v>0.75524475524475443</v>
      </c>
      <c r="AJ7" s="144">
        <v>3.3</v>
      </c>
      <c r="AK7" s="154">
        <v>5</v>
      </c>
      <c r="AL7" s="144">
        <v>2391.1999999999998</v>
      </c>
      <c r="AM7" s="157">
        <v>2372.9</v>
      </c>
      <c r="AN7" s="146">
        <f t="shared" si="5"/>
        <v>18.299999999999727</v>
      </c>
      <c r="AO7" s="145">
        <f>AN7/AN6</f>
        <v>0.75933609958503945</v>
      </c>
      <c r="AQ7" s="144">
        <v>3.3</v>
      </c>
      <c r="AR7" s="154">
        <v>5</v>
      </c>
      <c r="AS7" s="144">
        <v>2548.8000000000002</v>
      </c>
      <c r="AT7" s="157">
        <v>2522.8000000000002</v>
      </c>
      <c r="AU7" s="146">
        <f t="shared" si="6"/>
        <v>26</v>
      </c>
      <c r="AV7" s="145">
        <f>AU7/AU6</f>
        <v>0.70270270270270274</v>
      </c>
      <c r="AX7" s="144">
        <v>3.3</v>
      </c>
      <c r="AY7" s="154">
        <v>5</v>
      </c>
      <c r="AZ7" s="144">
        <v>2416.1</v>
      </c>
      <c r="BA7" s="157">
        <v>2391.1</v>
      </c>
      <c r="BB7" s="146">
        <f t="shared" si="7"/>
        <v>25</v>
      </c>
      <c r="BC7" s="145">
        <f>BB7/BB6</f>
        <v>0.79872204472842989</v>
      </c>
      <c r="BE7" s="144">
        <v>3.3</v>
      </c>
      <c r="BF7" s="154">
        <v>5</v>
      </c>
      <c r="BG7" s="144">
        <v>2377.1999999999998</v>
      </c>
      <c r="BH7" s="157">
        <v>2355.1999999999998</v>
      </c>
      <c r="BI7" s="146">
        <f t="shared" si="8"/>
        <v>22</v>
      </c>
      <c r="BJ7" s="145">
        <f>BI7/BI6</f>
        <v>0.76388888888888407</v>
      </c>
      <c r="BL7" s="144">
        <v>3.3</v>
      </c>
      <c r="BM7" s="154">
        <v>5</v>
      </c>
      <c r="BN7" s="144">
        <v>2273.9</v>
      </c>
      <c r="BO7" s="157">
        <v>2254.1</v>
      </c>
      <c r="BP7" s="146">
        <f t="shared" si="9"/>
        <v>19.800000000000182</v>
      </c>
      <c r="BQ7" s="145">
        <f>BP7/BP6</f>
        <v>0.68275862068966142</v>
      </c>
      <c r="BS7" s="144">
        <v>3.3</v>
      </c>
      <c r="BT7" s="154">
        <v>5</v>
      </c>
      <c r="BU7" s="144">
        <v>2112</v>
      </c>
      <c r="BV7" s="157">
        <v>2088.5</v>
      </c>
      <c r="BW7" s="146">
        <f t="shared" si="10"/>
        <v>23.5</v>
      </c>
      <c r="BX7" s="145">
        <f>BW7/BW6</f>
        <v>0.75320512820513263</v>
      </c>
      <c r="BZ7" s="144">
        <v>3.3</v>
      </c>
      <c r="CA7" s="154">
        <v>5</v>
      </c>
      <c r="CB7" s="144">
        <v>2256.1999999999998</v>
      </c>
      <c r="CC7" s="157">
        <v>2236.3000000000002</v>
      </c>
      <c r="CD7" s="146">
        <f t="shared" si="11"/>
        <v>19.899999999999636</v>
      </c>
      <c r="CE7" s="145">
        <f>CD7/CD6</f>
        <v>0.75954198473280266</v>
      </c>
      <c r="CG7" s="144">
        <v>3.3</v>
      </c>
      <c r="CH7" s="154">
        <v>5</v>
      </c>
      <c r="CI7" s="144">
        <v>2367.5</v>
      </c>
      <c r="CJ7" s="157">
        <v>2357.1</v>
      </c>
      <c r="CK7" s="146">
        <f t="shared" si="12"/>
        <v>10.400000000000091</v>
      </c>
      <c r="CL7" s="145">
        <f>CK7/CK6</f>
        <v>0.92035398230087817</v>
      </c>
      <c r="CN7" s="144">
        <v>3.3</v>
      </c>
      <c r="CO7" s="154">
        <v>5</v>
      </c>
      <c r="CP7" s="144">
        <v>2347.1999999999998</v>
      </c>
      <c r="CQ7" s="157">
        <v>2327.6999999999998</v>
      </c>
      <c r="CR7" s="146">
        <f t="shared" si="13"/>
        <v>19.5</v>
      </c>
      <c r="CS7" s="145">
        <f>CR7/CR6</f>
        <v>0.73863636363636109</v>
      </c>
    </row>
    <row r="8" spans="1:97" x14ac:dyDescent="0.25">
      <c r="A8" s="148"/>
      <c r="B8" s="148"/>
      <c r="E8" s="148"/>
      <c r="F8" s="148"/>
    </row>
  </sheetData>
  <mergeCells count="14">
    <mergeCell ref="A1:F1"/>
    <mergeCell ref="H1:M1"/>
    <mergeCell ref="O1:T1"/>
    <mergeCell ref="V1:AA1"/>
    <mergeCell ref="AC1:AH1"/>
    <mergeCell ref="BS1:BX1"/>
    <mergeCell ref="BZ1:CE1"/>
    <mergeCell ref="CG1:CL1"/>
    <mergeCell ref="CN1:CS1"/>
    <mergeCell ref="AJ1:AO1"/>
    <mergeCell ref="AQ1:AV1"/>
    <mergeCell ref="AX1:BC1"/>
    <mergeCell ref="BE1:BJ1"/>
    <mergeCell ref="BL1:BQ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7039-932A-4D73-A887-70EBF0D4676A}">
  <dimension ref="A1:BQ7"/>
  <sheetViews>
    <sheetView workbookViewId="0">
      <selection activeCell="H18" sqref="H18"/>
    </sheetView>
  </sheetViews>
  <sheetFormatPr defaultRowHeight="15" x14ac:dyDescent="0.25"/>
  <cols>
    <col min="2" max="2" width="9.85546875" bestFit="1" customWidth="1"/>
    <col min="3" max="3" width="17.28515625" bestFit="1" customWidth="1"/>
    <col min="4" max="4" width="21" bestFit="1" customWidth="1"/>
    <col min="7" max="7" width="9.85546875" bestFit="1" customWidth="1"/>
    <col min="8" max="8" width="17.28515625" bestFit="1" customWidth="1"/>
    <col min="9" max="9" width="21" bestFit="1" customWidth="1"/>
    <col min="12" max="12" width="9.85546875" bestFit="1" customWidth="1"/>
    <col min="13" max="13" width="17.28515625" bestFit="1" customWidth="1"/>
    <col min="14" max="14" width="21" bestFit="1" customWidth="1"/>
    <col min="17" max="17" width="9.85546875" bestFit="1" customWidth="1"/>
    <col min="18" max="18" width="17.28515625" bestFit="1" customWidth="1"/>
    <col min="19" max="19" width="21" bestFit="1" customWidth="1"/>
    <col min="22" max="22" width="9.85546875" bestFit="1" customWidth="1"/>
    <col min="23" max="23" width="17.28515625" bestFit="1" customWidth="1"/>
    <col min="24" max="24" width="21" bestFit="1" customWidth="1"/>
    <col min="27" max="27" width="9.85546875" bestFit="1" customWidth="1"/>
    <col min="28" max="28" width="17.28515625" bestFit="1" customWidth="1"/>
    <col min="29" max="29" width="21" bestFit="1" customWidth="1"/>
    <col min="32" max="32" width="9.85546875" bestFit="1" customWidth="1"/>
    <col min="33" max="33" width="17.28515625" bestFit="1" customWidth="1"/>
    <col min="34" max="34" width="21" bestFit="1" customWidth="1"/>
    <col min="37" max="37" width="9.85546875" bestFit="1" customWidth="1"/>
    <col min="38" max="38" width="17.28515625" bestFit="1" customWidth="1"/>
    <col min="39" max="39" width="21" bestFit="1" customWidth="1"/>
    <col min="42" max="42" width="9.85546875" bestFit="1" customWidth="1"/>
    <col min="43" max="43" width="17.28515625" bestFit="1" customWidth="1"/>
    <col min="44" max="44" width="21" bestFit="1" customWidth="1"/>
    <col min="47" max="47" width="9.85546875" bestFit="1" customWidth="1"/>
    <col min="48" max="48" width="17.28515625" bestFit="1" customWidth="1"/>
    <col min="49" max="49" width="21" bestFit="1" customWidth="1"/>
    <col min="52" max="52" width="9.85546875" bestFit="1" customWidth="1"/>
    <col min="53" max="53" width="17.28515625" bestFit="1" customWidth="1"/>
    <col min="54" max="54" width="21" bestFit="1" customWidth="1"/>
    <col min="57" max="57" width="9.85546875" bestFit="1" customWidth="1"/>
    <col min="58" max="58" width="17.28515625" bestFit="1" customWidth="1"/>
    <col min="59" max="59" width="21" bestFit="1" customWidth="1"/>
    <col min="62" max="62" width="9.85546875" bestFit="1" customWidth="1"/>
    <col min="63" max="63" width="17.28515625" bestFit="1" customWidth="1"/>
    <col min="64" max="64" width="21" bestFit="1" customWidth="1"/>
    <col min="67" max="67" width="9.85546875" bestFit="1" customWidth="1"/>
    <col min="68" max="68" width="17.28515625" bestFit="1" customWidth="1"/>
    <col min="69" max="69" width="21" bestFit="1" customWidth="1"/>
  </cols>
  <sheetData>
    <row r="1" spans="1:69" x14ac:dyDescent="0.25">
      <c r="A1" s="190" t="s">
        <v>131</v>
      </c>
      <c r="B1" s="190"/>
      <c r="C1" s="190"/>
      <c r="D1" s="190"/>
      <c r="F1" s="190" t="s">
        <v>132</v>
      </c>
      <c r="G1" s="190"/>
      <c r="H1" s="190"/>
      <c r="I1" s="190"/>
      <c r="K1" s="190" t="s">
        <v>133</v>
      </c>
      <c r="L1" s="190"/>
      <c r="M1" s="190"/>
      <c r="N1" s="190"/>
      <c r="P1" s="190" t="s">
        <v>142</v>
      </c>
      <c r="Q1" s="190"/>
      <c r="R1" s="190"/>
      <c r="S1" s="190"/>
      <c r="U1" s="190" t="s">
        <v>143</v>
      </c>
      <c r="V1" s="190"/>
      <c r="W1" s="190"/>
      <c r="X1" s="190"/>
      <c r="Z1" s="190" t="s">
        <v>144</v>
      </c>
      <c r="AA1" s="190"/>
      <c r="AB1" s="190"/>
      <c r="AC1" s="190"/>
      <c r="AE1" s="190" t="s">
        <v>145</v>
      </c>
      <c r="AF1" s="190"/>
      <c r="AG1" s="190"/>
      <c r="AH1" s="190"/>
      <c r="AJ1" s="190" t="s">
        <v>146</v>
      </c>
      <c r="AK1" s="190"/>
      <c r="AL1" s="190"/>
      <c r="AM1" s="190"/>
      <c r="AO1" s="190" t="s">
        <v>147</v>
      </c>
      <c r="AP1" s="190"/>
      <c r="AQ1" s="190"/>
      <c r="AR1" s="190"/>
      <c r="AT1" s="190" t="s">
        <v>148</v>
      </c>
      <c r="AU1" s="190"/>
      <c r="AV1" s="190"/>
      <c r="AW1" s="190"/>
      <c r="AY1" s="190" t="s">
        <v>149</v>
      </c>
      <c r="AZ1" s="190"/>
      <c r="BA1" s="190"/>
      <c r="BB1" s="190"/>
      <c r="BD1" s="190" t="s">
        <v>150</v>
      </c>
      <c r="BE1" s="190"/>
      <c r="BF1" s="190"/>
      <c r="BG1" s="190"/>
      <c r="BI1" s="190" t="s">
        <v>151</v>
      </c>
      <c r="BJ1" s="190"/>
      <c r="BK1" s="190"/>
      <c r="BL1" s="190"/>
      <c r="BN1" s="190" t="s">
        <v>152</v>
      </c>
      <c r="BO1" s="190"/>
      <c r="BP1" s="190"/>
      <c r="BQ1" s="190"/>
    </row>
    <row r="2" spans="1:69" x14ac:dyDescent="0.25">
      <c r="A2" s="9" t="s">
        <v>79</v>
      </c>
      <c r="B2" s="151" t="s">
        <v>74</v>
      </c>
      <c r="C2" s="31" t="s">
        <v>129</v>
      </c>
      <c r="D2" s="31" t="s">
        <v>130</v>
      </c>
      <c r="F2" s="9" t="s">
        <v>79</v>
      </c>
      <c r="G2" s="151" t="s">
        <v>74</v>
      </c>
      <c r="H2" s="31" t="s">
        <v>129</v>
      </c>
      <c r="I2" s="31" t="s">
        <v>130</v>
      </c>
      <c r="K2" s="9" t="s">
        <v>79</v>
      </c>
      <c r="L2" s="151" t="s">
        <v>74</v>
      </c>
      <c r="M2" s="31" t="s">
        <v>129</v>
      </c>
      <c r="N2" s="31" t="s">
        <v>130</v>
      </c>
      <c r="P2" s="9" t="s">
        <v>79</v>
      </c>
      <c r="Q2" s="151" t="s">
        <v>74</v>
      </c>
      <c r="R2" s="31" t="s">
        <v>129</v>
      </c>
      <c r="S2" s="31" t="s">
        <v>130</v>
      </c>
      <c r="U2" s="9" t="s">
        <v>79</v>
      </c>
      <c r="V2" s="151" t="s">
        <v>74</v>
      </c>
      <c r="W2" s="31" t="s">
        <v>129</v>
      </c>
      <c r="X2" s="31" t="s">
        <v>130</v>
      </c>
      <c r="Z2" s="9" t="s">
        <v>79</v>
      </c>
      <c r="AA2" s="151" t="s">
        <v>74</v>
      </c>
      <c r="AB2" s="31" t="s">
        <v>129</v>
      </c>
      <c r="AC2" s="31" t="s">
        <v>130</v>
      </c>
      <c r="AE2" s="9" t="s">
        <v>79</v>
      </c>
      <c r="AF2" s="151" t="s">
        <v>74</v>
      </c>
      <c r="AG2" s="31" t="s">
        <v>129</v>
      </c>
      <c r="AH2" s="31" t="s">
        <v>130</v>
      </c>
      <c r="AJ2" s="9" t="s">
        <v>79</v>
      </c>
      <c r="AK2" s="151" t="s">
        <v>74</v>
      </c>
      <c r="AL2" s="31" t="s">
        <v>129</v>
      </c>
      <c r="AM2" s="31" t="s">
        <v>130</v>
      </c>
      <c r="AO2" s="9" t="s">
        <v>79</v>
      </c>
      <c r="AP2" s="151" t="s">
        <v>74</v>
      </c>
      <c r="AQ2" s="31" t="s">
        <v>129</v>
      </c>
      <c r="AR2" s="31" t="s">
        <v>130</v>
      </c>
      <c r="AT2" s="9" t="s">
        <v>79</v>
      </c>
      <c r="AU2" s="151" t="s">
        <v>74</v>
      </c>
      <c r="AV2" s="31" t="s">
        <v>129</v>
      </c>
      <c r="AW2" s="31" t="s">
        <v>130</v>
      </c>
      <c r="AY2" s="9" t="s">
        <v>79</v>
      </c>
      <c r="AZ2" s="151" t="s">
        <v>74</v>
      </c>
      <c r="BA2" s="31" t="s">
        <v>129</v>
      </c>
      <c r="BB2" s="31" t="s">
        <v>130</v>
      </c>
      <c r="BD2" s="9" t="s">
        <v>79</v>
      </c>
      <c r="BE2" s="151" t="s">
        <v>74</v>
      </c>
      <c r="BF2" s="31" t="s">
        <v>129</v>
      </c>
      <c r="BG2" s="31" t="s">
        <v>130</v>
      </c>
      <c r="BI2" s="9" t="s">
        <v>79</v>
      </c>
      <c r="BJ2" s="151" t="s">
        <v>74</v>
      </c>
      <c r="BK2" s="31" t="s">
        <v>129</v>
      </c>
      <c r="BL2" s="31" t="s">
        <v>130</v>
      </c>
      <c r="BN2" s="9" t="s">
        <v>79</v>
      </c>
      <c r="BO2" s="151" t="s">
        <v>74</v>
      </c>
      <c r="BP2" s="31" t="s">
        <v>129</v>
      </c>
      <c r="BQ2" s="31" t="s">
        <v>130</v>
      </c>
    </row>
    <row r="3" spans="1:69" x14ac:dyDescent="0.25">
      <c r="A3" s="149">
        <v>1.1000000000000001</v>
      </c>
      <c r="B3" s="152">
        <v>1</v>
      </c>
      <c r="C3" s="140">
        <v>7.4</v>
      </c>
      <c r="D3" s="143">
        <f>C3/C7</f>
        <v>0.46540880503144655</v>
      </c>
      <c r="F3" s="149">
        <v>1.1000000000000001</v>
      </c>
      <c r="G3" s="152">
        <v>1</v>
      </c>
      <c r="H3" s="140">
        <v>7.9</v>
      </c>
      <c r="I3" s="143">
        <f>H3/H7</f>
        <v>0.64227642276422758</v>
      </c>
      <c r="K3" s="149">
        <v>1.1000000000000001</v>
      </c>
      <c r="L3" s="152">
        <v>1</v>
      </c>
      <c r="M3" s="140">
        <v>5.4</v>
      </c>
      <c r="N3" s="143">
        <f>M3/M7</f>
        <v>0.57446808510638303</v>
      </c>
      <c r="P3" s="149">
        <v>1.1000000000000001</v>
      </c>
      <c r="Q3" s="152">
        <v>1</v>
      </c>
      <c r="R3" s="140">
        <v>7.4</v>
      </c>
      <c r="S3" s="143">
        <f>R3/R7</f>
        <v>0.63793103448275867</v>
      </c>
      <c r="U3" s="149">
        <v>1.1000000000000001</v>
      </c>
      <c r="V3" s="152">
        <v>1</v>
      </c>
      <c r="W3" s="140">
        <v>8.8000000000000007</v>
      </c>
      <c r="X3" s="143">
        <f>W3/W7</f>
        <v>0.71544715447154472</v>
      </c>
      <c r="Z3" s="149">
        <v>1.1000000000000001</v>
      </c>
      <c r="AA3" s="152">
        <v>1</v>
      </c>
      <c r="AB3" s="140">
        <v>8.3000000000000007</v>
      </c>
      <c r="AC3" s="143">
        <f>AB3/AB7</f>
        <v>0.82178217821782185</v>
      </c>
      <c r="AE3" s="149">
        <v>1.1000000000000001</v>
      </c>
      <c r="AF3" s="152">
        <v>1</v>
      </c>
      <c r="AG3" s="140">
        <v>11.3</v>
      </c>
      <c r="AH3" s="143">
        <f>AG3/AG7</f>
        <v>0.6108108108108109</v>
      </c>
      <c r="AJ3" s="149">
        <v>1.1000000000000001</v>
      </c>
      <c r="AK3" s="152">
        <v>1</v>
      </c>
      <c r="AL3" s="140">
        <v>8.4</v>
      </c>
      <c r="AM3" s="143">
        <f>AL3/AL7</f>
        <v>0.52830188679245282</v>
      </c>
      <c r="AO3" s="149">
        <v>1.1000000000000001</v>
      </c>
      <c r="AP3" s="152">
        <v>1</v>
      </c>
      <c r="AQ3" s="140">
        <v>9.1999999999999993</v>
      </c>
      <c r="AR3" s="143">
        <f>AQ3/AQ7</f>
        <v>0.69696969696969691</v>
      </c>
      <c r="AT3" s="149">
        <v>1.1000000000000001</v>
      </c>
      <c r="AU3" s="152">
        <v>1</v>
      </c>
      <c r="AV3" s="140">
        <v>7.71</v>
      </c>
      <c r="AW3" s="143">
        <f>AV3/AV7</f>
        <v>0.62682926829268293</v>
      </c>
      <c r="AY3" s="149">
        <v>1.1000000000000001</v>
      </c>
      <c r="AZ3" s="152">
        <v>1</v>
      </c>
      <c r="BA3" s="140">
        <v>9.1999999999999993</v>
      </c>
      <c r="BB3" s="143">
        <f>BA3/BA7</f>
        <v>0.53179190751445082</v>
      </c>
      <c r="BD3" s="149">
        <v>1.1000000000000001</v>
      </c>
      <c r="BE3" s="152">
        <v>1</v>
      </c>
      <c r="BF3" s="140">
        <v>6.6</v>
      </c>
      <c r="BG3" s="143">
        <f>BF3/BF7</f>
        <v>0.54999999999999993</v>
      </c>
      <c r="BI3" s="149">
        <v>1.1000000000000001</v>
      </c>
      <c r="BJ3" s="152">
        <v>1</v>
      </c>
      <c r="BK3" s="140">
        <v>3.5</v>
      </c>
      <c r="BL3" s="143">
        <f>BK3/BK7</f>
        <v>0.53846153846153844</v>
      </c>
      <c r="BN3" s="149">
        <v>1.1000000000000001</v>
      </c>
      <c r="BO3" s="152">
        <v>1</v>
      </c>
      <c r="BP3" s="140">
        <v>6.3</v>
      </c>
      <c r="BQ3" s="143">
        <f>BP3/BP7</f>
        <v>0.50806451612903225</v>
      </c>
    </row>
    <row r="4" spans="1:69" x14ac:dyDescent="0.25">
      <c r="A4" s="142">
        <v>1.6</v>
      </c>
      <c r="B4" s="12">
        <v>2</v>
      </c>
      <c r="C4" s="143">
        <v>11.6</v>
      </c>
      <c r="D4" s="143">
        <f>C4/C7</f>
        <v>0.72955974842767291</v>
      </c>
      <c r="F4" s="142">
        <v>1.6</v>
      </c>
      <c r="G4" s="12">
        <v>2</v>
      </c>
      <c r="H4" s="143">
        <v>9.1</v>
      </c>
      <c r="I4" s="143">
        <f>H4/H7</f>
        <v>0.73983739837398366</v>
      </c>
      <c r="K4" s="142">
        <v>1.6</v>
      </c>
      <c r="L4" s="12">
        <v>2</v>
      </c>
      <c r="M4" s="143">
        <v>6.8</v>
      </c>
      <c r="N4" s="143">
        <f>M4/M7</f>
        <v>0.72340425531914887</v>
      </c>
      <c r="P4" s="142">
        <v>1.6</v>
      </c>
      <c r="Q4" s="12">
        <v>2</v>
      </c>
      <c r="R4" s="143">
        <v>8.3000000000000007</v>
      </c>
      <c r="S4" s="143">
        <f>R4/R7</f>
        <v>0.71551724137931039</v>
      </c>
      <c r="U4" s="142">
        <v>1.6</v>
      </c>
      <c r="V4" s="12">
        <v>2</v>
      </c>
      <c r="W4" s="143">
        <v>9.4</v>
      </c>
      <c r="X4" s="143">
        <f>W4/W7</f>
        <v>0.7642276422764227</v>
      </c>
      <c r="Z4" s="142">
        <v>1.6</v>
      </c>
      <c r="AA4" s="12">
        <v>2</v>
      </c>
      <c r="AB4" s="143">
        <v>8.1</v>
      </c>
      <c r="AC4" s="143">
        <f>AB4/AB7</f>
        <v>0.80198019801980203</v>
      </c>
      <c r="AE4" s="142">
        <v>1.6</v>
      </c>
      <c r="AF4" s="12">
        <v>2</v>
      </c>
      <c r="AG4" s="143">
        <v>12</v>
      </c>
      <c r="AH4" s="143">
        <f>AG4/AG7</f>
        <v>0.64864864864864868</v>
      </c>
      <c r="AJ4" s="142">
        <v>1.6</v>
      </c>
      <c r="AK4" s="12">
        <v>2</v>
      </c>
      <c r="AL4" s="143">
        <v>9.6</v>
      </c>
      <c r="AM4" s="143">
        <f>AL4/AL7</f>
        <v>0.60377358490566035</v>
      </c>
      <c r="AO4" s="142">
        <v>1.6</v>
      </c>
      <c r="AP4" s="12">
        <v>2</v>
      </c>
      <c r="AQ4" s="143">
        <v>8.5</v>
      </c>
      <c r="AR4" s="143">
        <f>AQ4/AQ7</f>
        <v>0.64393939393939392</v>
      </c>
      <c r="AT4" s="142">
        <v>1.6</v>
      </c>
      <c r="AU4" s="12">
        <v>2</v>
      </c>
      <c r="AV4" s="143">
        <v>8.4</v>
      </c>
      <c r="AW4" s="143">
        <f>AV4/AV7</f>
        <v>0.68292682926829262</v>
      </c>
      <c r="AY4" s="142">
        <v>1.6</v>
      </c>
      <c r="AZ4" s="12">
        <v>2</v>
      </c>
      <c r="BA4" s="143">
        <v>11.3</v>
      </c>
      <c r="BB4" s="143">
        <f>BA4/BA7</f>
        <v>0.65317919075144515</v>
      </c>
      <c r="BD4" s="142">
        <v>1.6</v>
      </c>
      <c r="BE4" s="12">
        <v>2</v>
      </c>
      <c r="BF4" s="143">
        <v>8.3000000000000007</v>
      </c>
      <c r="BG4" s="143">
        <f>BF4/BF7</f>
        <v>0.69166666666666676</v>
      </c>
      <c r="BI4" s="142">
        <v>1.6</v>
      </c>
      <c r="BJ4" s="12">
        <v>2</v>
      </c>
      <c r="BK4" s="143">
        <v>4.3</v>
      </c>
      <c r="BL4" s="143">
        <f>BK4/BK7</f>
        <v>0.66153846153846152</v>
      </c>
      <c r="BN4" s="142">
        <v>1.6</v>
      </c>
      <c r="BO4" s="12">
        <v>2</v>
      </c>
      <c r="BP4" s="143">
        <v>8.3000000000000007</v>
      </c>
      <c r="BQ4" s="143">
        <f>BP4/BP7</f>
        <v>0.66935483870967749</v>
      </c>
    </row>
    <row r="5" spans="1:69" x14ac:dyDescent="0.25">
      <c r="A5" s="150">
        <v>2.1</v>
      </c>
      <c r="B5" s="12">
        <v>3</v>
      </c>
      <c r="C5" s="143">
        <v>12.3</v>
      </c>
      <c r="D5" s="143">
        <f>C5/C7</f>
        <v>0.77358490566037741</v>
      </c>
      <c r="F5" s="150">
        <v>2.1</v>
      </c>
      <c r="G5" s="12">
        <v>3</v>
      </c>
      <c r="H5" s="143">
        <v>11.2</v>
      </c>
      <c r="I5" s="143">
        <f>H5/H7</f>
        <v>0.91056910569105676</v>
      </c>
      <c r="K5" s="150">
        <v>2.1</v>
      </c>
      <c r="L5" s="12">
        <v>3</v>
      </c>
      <c r="M5" s="143">
        <v>7.3</v>
      </c>
      <c r="N5" s="143">
        <f>M5/M7</f>
        <v>0.77659574468085102</v>
      </c>
      <c r="P5" s="150">
        <v>2.1</v>
      </c>
      <c r="Q5" s="12">
        <v>3</v>
      </c>
      <c r="R5" s="143">
        <v>8.4</v>
      </c>
      <c r="S5" s="143">
        <f>R5/R7</f>
        <v>0.72413793103448276</v>
      </c>
      <c r="U5" s="150">
        <v>2.1</v>
      </c>
      <c r="V5" s="12">
        <v>3</v>
      </c>
      <c r="W5" s="143">
        <v>10.6</v>
      </c>
      <c r="X5" s="143">
        <f>W5/W7</f>
        <v>0.86178861788617878</v>
      </c>
      <c r="Z5" s="150">
        <v>2.1</v>
      </c>
      <c r="AA5" s="12">
        <v>3</v>
      </c>
      <c r="AB5" s="143">
        <v>8.1</v>
      </c>
      <c r="AC5" s="143">
        <f>AB5/AB7</f>
        <v>0.80198019801980203</v>
      </c>
      <c r="AE5" s="150">
        <v>2.1</v>
      </c>
      <c r="AF5" s="12">
        <v>3</v>
      </c>
      <c r="AG5" s="143">
        <v>13.5</v>
      </c>
      <c r="AH5" s="143">
        <f>AG5/AG7</f>
        <v>0.72972972972972971</v>
      </c>
      <c r="AJ5" s="150">
        <v>2.1</v>
      </c>
      <c r="AK5" s="12">
        <v>3</v>
      </c>
      <c r="AL5" s="143">
        <v>11.8</v>
      </c>
      <c r="AM5" s="143">
        <f>AL5/AL7</f>
        <v>0.74213836477987427</v>
      </c>
      <c r="AO5" s="150">
        <v>2.1</v>
      </c>
      <c r="AP5" s="12">
        <v>3</v>
      </c>
      <c r="AQ5" s="143">
        <v>9.1</v>
      </c>
      <c r="AR5" s="143">
        <f>AQ5/AQ7</f>
        <v>0.68939393939393945</v>
      </c>
      <c r="AT5" s="150">
        <v>2.1</v>
      </c>
      <c r="AU5" s="12">
        <v>3</v>
      </c>
      <c r="AV5" s="143">
        <v>10.3</v>
      </c>
      <c r="AW5" s="143">
        <f>AV5/AV7</f>
        <v>0.83739837398373984</v>
      </c>
      <c r="AY5" s="150">
        <v>2.1</v>
      </c>
      <c r="AZ5" s="12">
        <v>3</v>
      </c>
      <c r="BA5" s="143">
        <v>13.9</v>
      </c>
      <c r="BB5" s="143">
        <f>BA5/BA7</f>
        <v>0.80346820809248554</v>
      </c>
      <c r="BD5" s="150">
        <v>2.1</v>
      </c>
      <c r="BE5" s="12">
        <v>3</v>
      </c>
      <c r="BF5" s="143">
        <v>12.4</v>
      </c>
      <c r="BG5" s="143">
        <v>1</v>
      </c>
      <c r="BI5" s="150">
        <v>2.1</v>
      </c>
      <c r="BJ5" s="12">
        <v>3</v>
      </c>
      <c r="BK5" s="143">
        <v>5</v>
      </c>
      <c r="BL5" s="143">
        <f>BK5/BK7</f>
        <v>0.76923076923076927</v>
      </c>
      <c r="BN5" s="150">
        <v>2.1</v>
      </c>
      <c r="BO5" s="12">
        <v>3</v>
      </c>
      <c r="BP5" s="143">
        <v>9</v>
      </c>
      <c r="BQ5" s="143">
        <f>BP5/BP7</f>
        <v>0.72580645161290325</v>
      </c>
    </row>
    <row r="6" spans="1:69" x14ac:dyDescent="0.25">
      <c r="A6" s="142">
        <v>2.7</v>
      </c>
      <c r="B6" s="12">
        <v>4</v>
      </c>
      <c r="C6" s="143">
        <v>14.2</v>
      </c>
      <c r="D6" s="143">
        <f>C6/C7</f>
        <v>0.89308176100628922</v>
      </c>
      <c r="F6" s="142">
        <v>2.7</v>
      </c>
      <c r="G6" s="12">
        <v>4</v>
      </c>
      <c r="H6" s="143">
        <v>12.3</v>
      </c>
      <c r="I6" s="143">
        <f>H6/H7</f>
        <v>1</v>
      </c>
      <c r="K6" s="142">
        <v>2.7</v>
      </c>
      <c r="L6" s="12">
        <v>4</v>
      </c>
      <c r="M6" s="143">
        <v>8.5</v>
      </c>
      <c r="N6" s="143">
        <f>M6/M7</f>
        <v>0.90425531914893609</v>
      </c>
      <c r="P6" s="142">
        <v>2.7</v>
      </c>
      <c r="Q6" s="12">
        <v>4</v>
      </c>
      <c r="R6" s="143">
        <v>10.8</v>
      </c>
      <c r="S6" s="143">
        <f>R6/R7</f>
        <v>0.93103448275862077</v>
      </c>
      <c r="U6" s="142">
        <v>2.7</v>
      </c>
      <c r="V6" s="12">
        <v>4</v>
      </c>
      <c r="W6" s="143">
        <v>11.1</v>
      </c>
      <c r="X6" s="143">
        <f>W6/W7</f>
        <v>0.90243902439024382</v>
      </c>
      <c r="Z6" s="142">
        <v>2.7</v>
      </c>
      <c r="AA6" s="12">
        <v>4</v>
      </c>
      <c r="AB6" s="143">
        <v>10.1</v>
      </c>
      <c r="AC6" s="143">
        <f>AB6/AB7</f>
        <v>1</v>
      </c>
      <c r="AE6" s="142">
        <v>2.7</v>
      </c>
      <c r="AF6" s="12">
        <v>4</v>
      </c>
      <c r="AG6" s="143">
        <v>16.899999999999999</v>
      </c>
      <c r="AH6" s="143">
        <f>AG6/AG7</f>
        <v>0.9135135135135134</v>
      </c>
      <c r="AJ6" s="142">
        <v>2.7</v>
      </c>
      <c r="AK6" s="12">
        <v>4</v>
      </c>
      <c r="AL6" s="143">
        <v>13.2</v>
      </c>
      <c r="AM6" s="143">
        <f>AL6/AL7</f>
        <v>0.83018867924528295</v>
      </c>
      <c r="AO6" s="142">
        <v>2.7</v>
      </c>
      <c r="AP6" s="12">
        <v>4</v>
      </c>
      <c r="AQ6" s="143">
        <v>10.7</v>
      </c>
      <c r="AR6" s="143">
        <f>AQ6/AQ7</f>
        <v>0.81060606060606055</v>
      </c>
      <c r="AT6" s="142">
        <v>2.7</v>
      </c>
      <c r="AU6" s="12">
        <v>4</v>
      </c>
      <c r="AV6" s="143">
        <v>11.3</v>
      </c>
      <c r="AW6" s="143">
        <f>AV6/AV7</f>
        <v>0.91869918699186992</v>
      </c>
      <c r="AY6" s="142">
        <v>2.7</v>
      </c>
      <c r="AZ6" s="12">
        <v>4</v>
      </c>
      <c r="BA6" s="143">
        <v>16.7</v>
      </c>
      <c r="BB6" s="143">
        <f>BA6/BA7</f>
        <v>0.96531791907514441</v>
      </c>
      <c r="BD6" s="142">
        <v>2.7</v>
      </c>
      <c r="BE6" s="12">
        <v>4</v>
      </c>
      <c r="BF6" s="143">
        <v>11.6</v>
      </c>
      <c r="BG6" s="143">
        <f>BF6/BF7</f>
        <v>0.96666666666666667</v>
      </c>
      <c r="BI6" s="142">
        <v>2.7</v>
      </c>
      <c r="BJ6" s="12">
        <v>4</v>
      </c>
      <c r="BK6" s="143">
        <v>5.7</v>
      </c>
      <c r="BL6" s="143">
        <f>BK6/BK7</f>
        <v>0.87692307692307692</v>
      </c>
      <c r="BN6" s="142">
        <v>2.7</v>
      </c>
      <c r="BO6" s="12">
        <v>4</v>
      </c>
      <c r="BP6" s="143">
        <v>11.8</v>
      </c>
      <c r="BQ6" s="143">
        <f>BP6/BP7</f>
        <v>0.95161290322580649</v>
      </c>
    </row>
    <row r="7" spans="1:69" x14ac:dyDescent="0.25">
      <c r="A7" s="144">
        <v>3.5</v>
      </c>
      <c r="B7" s="154">
        <v>5</v>
      </c>
      <c r="C7" s="145">
        <v>15.9</v>
      </c>
      <c r="D7" s="145">
        <v>1</v>
      </c>
      <c r="F7" s="144">
        <v>3.5</v>
      </c>
      <c r="G7" s="154">
        <v>5</v>
      </c>
      <c r="H7" s="145">
        <v>12.3</v>
      </c>
      <c r="I7" s="145">
        <v>1</v>
      </c>
      <c r="K7" s="144">
        <v>3.5</v>
      </c>
      <c r="L7" s="154">
        <v>5</v>
      </c>
      <c r="M7" s="145">
        <v>9.4</v>
      </c>
      <c r="N7" s="145">
        <v>1</v>
      </c>
      <c r="P7" s="144">
        <v>3.5</v>
      </c>
      <c r="Q7" s="154">
        <v>5</v>
      </c>
      <c r="R7" s="145">
        <v>11.6</v>
      </c>
      <c r="S7" s="145">
        <v>1</v>
      </c>
      <c r="U7" s="144">
        <v>3.5</v>
      </c>
      <c r="V7" s="154">
        <v>5</v>
      </c>
      <c r="W7" s="145">
        <v>12.3</v>
      </c>
      <c r="X7" s="145">
        <v>1</v>
      </c>
      <c r="Z7" s="144">
        <v>3.5</v>
      </c>
      <c r="AA7" s="154">
        <v>5</v>
      </c>
      <c r="AB7" s="145">
        <v>10.1</v>
      </c>
      <c r="AC7" s="145">
        <v>1</v>
      </c>
      <c r="AE7" s="144">
        <v>3.5</v>
      </c>
      <c r="AF7" s="154">
        <v>5</v>
      </c>
      <c r="AG7" s="145">
        <v>18.5</v>
      </c>
      <c r="AH7" s="145">
        <v>1</v>
      </c>
      <c r="AJ7" s="144">
        <v>3.5</v>
      </c>
      <c r="AK7" s="154">
        <v>5</v>
      </c>
      <c r="AL7" s="145">
        <v>15.9</v>
      </c>
      <c r="AM7" s="145">
        <v>1</v>
      </c>
      <c r="AO7" s="144">
        <v>3.5</v>
      </c>
      <c r="AP7" s="154">
        <v>5</v>
      </c>
      <c r="AQ7" s="145">
        <v>13.2</v>
      </c>
      <c r="AR7" s="145">
        <v>1</v>
      </c>
      <c r="AT7" s="144">
        <v>3.5</v>
      </c>
      <c r="AU7" s="154">
        <v>5</v>
      </c>
      <c r="AV7" s="145">
        <v>12.3</v>
      </c>
      <c r="AW7" s="145">
        <v>1</v>
      </c>
      <c r="AY7" s="144">
        <v>3.5</v>
      </c>
      <c r="AZ7" s="154">
        <v>5</v>
      </c>
      <c r="BA7" s="145">
        <v>17.3</v>
      </c>
      <c r="BB7" s="145">
        <v>1</v>
      </c>
      <c r="BD7" s="144">
        <v>3.5</v>
      </c>
      <c r="BE7" s="154">
        <v>5</v>
      </c>
      <c r="BF7" s="145">
        <v>12</v>
      </c>
      <c r="BG7" s="145">
        <f>BF7/BF5</f>
        <v>0.96774193548387089</v>
      </c>
      <c r="BI7" s="144">
        <v>3.5</v>
      </c>
      <c r="BJ7" s="154">
        <v>5</v>
      </c>
      <c r="BK7" s="145">
        <v>6.5</v>
      </c>
      <c r="BL7" s="145">
        <v>1</v>
      </c>
      <c r="BN7" s="144">
        <v>3.5</v>
      </c>
      <c r="BO7" s="154">
        <v>5</v>
      </c>
      <c r="BP7" s="145">
        <v>12.4</v>
      </c>
      <c r="BQ7" s="145">
        <v>1</v>
      </c>
    </row>
  </sheetData>
  <mergeCells count="14">
    <mergeCell ref="Z1:AC1"/>
    <mergeCell ref="A1:D1"/>
    <mergeCell ref="F1:I1"/>
    <mergeCell ref="K1:N1"/>
    <mergeCell ref="P1:S1"/>
    <mergeCell ref="U1:X1"/>
    <mergeCell ref="BI1:BL1"/>
    <mergeCell ref="BN1:BQ1"/>
    <mergeCell ref="AE1:AH1"/>
    <mergeCell ref="AJ1:AM1"/>
    <mergeCell ref="AO1:AR1"/>
    <mergeCell ref="AT1:AW1"/>
    <mergeCell ref="AY1:BB1"/>
    <mergeCell ref="BD1:BG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2BC7-1380-41F6-85B4-16B8035984B6}">
  <dimension ref="A2:X39"/>
  <sheetViews>
    <sheetView zoomScale="80" zoomScaleNormal="80" workbookViewId="0">
      <selection activeCell="Y36" sqref="Y36"/>
    </sheetView>
  </sheetViews>
  <sheetFormatPr defaultRowHeight="15" x14ac:dyDescent="0.25"/>
  <cols>
    <col min="1" max="1" width="17.85546875" bestFit="1" customWidth="1"/>
    <col min="2" max="2" width="17.42578125" bestFit="1" customWidth="1"/>
    <col min="3" max="3" width="20.140625" bestFit="1" customWidth="1"/>
    <col min="5" max="5" width="17.85546875" bestFit="1" customWidth="1"/>
    <col min="6" max="6" width="17.42578125" bestFit="1" customWidth="1"/>
    <col min="7" max="7" width="20.140625" bestFit="1" customWidth="1"/>
    <col min="9" max="9" width="17.85546875" bestFit="1" customWidth="1"/>
    <col min="10" max="10" width="17.42578125" bestFit="1" customWidth="1"/>
    <col min="11" max="11" width="20.140625" bestFit="1" customWidth="1"/>
    <col min="13" max="13" width="17.85546875" bestFit="1" customWidth="1"/>
    <col min="14" max="14" width="17.42578125" bestFit="1" customWidth="1"/>
    <col min="15" max="15" width="20.140625" bestFit="1" customWidth="1"/>
    <col min="17" max="17" width="17.85546875" bestFit="1" customWidth="1"/>
    <col min="18" max="18" width="17.42578125" bestFit="1" customWidth="1"/>
    <col min="19" max="19" width="20.140625" bestFit="1" customWidth="1"/>
    <col min="21" max="21" width="10.140625" bestFit="1" customWidth="1"/>
  </cols>
  <sheetData>
    <row r="2" spans="1:24" x14ac:dyDescent="0.25">
      <c r="A2" s="252" t="s">
        <v>176</v>
      </c>
      <c r="B2" s="252"/>
      <c r="C2" s="252"/>
      <c r="E2" s="252" t="s">
        <v>177</v>
      </c>
      <c r="F2" s="252"/>
      <c r="G2" s="252"/>
      <c r="I2" s="252" t="s">
        <v>178</v>
      </c>
      <c r="J2" s="252"/>
      <c r="K2" s="252"/>
      <c r="M2" s="252" t="s">
        <v>179</v>
      </c>
      <c r="N2" s="252"/>
      <c r="O2" s="252"/>
      <c r="Q2" s="252" t="s">
        <v>180</v>
      </c>
      <c r="R2" s="252"/>
      <c r="S2" s="252"/>
      <c r="U2" s="252" t="s">
        <v>198</v>
      </c>
      <c r="V2" s="252"/>
      <c r="W2" s="252"/>
      <c r="X2" s="252"/>
    </row>
    <row r="3" spans="1:24" x14ac:dyDescent="0.25">
      <c r="A3" s="151" t="s">
        <v>97</v>
      </c>
      <c r="B3" s="9" t="s">
        <v>129</v>
      </c>
      <c r="C3" s="9" t="s">
        <v>174</v>
      </c>
      <c r="E3" s="151" t="s">
        <v>97</v>
      </c>
      <c r="F3" s="9" t="s">
        <v>129</v>
      </c>
      <c r="G3" s="9" t="s">
        <v>174</v>
      </c>
      <c r="I3" s="151" t="s">
        <v>97</v>
      </c>
      <c r="J3" s="9" t="s">
        <v>129</v>
      </c>
      <c r="K3" s="9" t="s">
        <v>174</v>
      </c>
      <c r="M3" s="151" t="s">
        <v>97</v>
      </c>
      <c r="N3" s="9" t="s">
        <v>129</v>
      </c>
      <c r="O3" s="9" t="s">
        <v>174</v>
      </c>
      <c r="Q3" s="151" t="s">
        <v>97</v>
      </c>
      <c r="R3" s="9" t="s">
        <v>129</v>
      </c>
      <c r="S3" s="9" t="s">
        <v>174</v>
      </c>
      <c r="U3" s="139" t="s">
        <v>74</v>
      </c>
      <c r="V3" s="139" t="s">
        <v>79</v>
      </c>
      <c r="W3" s="9" t="s">
        <v>196</v>
      </c>
      <c r="X3" s="9" t="s">
        <v>197</v>
      </c>
    </row>
    <row r="4" spans="1:24" x14ac:dyDescent="0.25">
      <c r="A4" s="168">
        <v>17</v>
      </c>
      <c r="B4" s="143">
        <v>12.700000000000273</v>
      </c>
      <c r="C4" s="143">
        <v>0.3813813813813875</v>
      </c>
      <c r="E4" s="168">
        <v>17</v>
      </c>
      <c r="F4" s="143">
        <v>19.5</v>
      </c>
      <c r="G4" s="143">
        <v>0.58558558558558238</v>
      </c>
      <c r="I4" s="168">
        <v>17</v>
      </c>
      <c r="J4" s="143">
        <v>12.799999999999727</v>
      </c>
      <c r="K4" s="143">
        <v>0.38438438438437411</v>
      </c>
      <c r="M4" s="168">
        <v>17</v>
      </c>
      <c r="N4" s="143">
        <v>33.300000000000182</v>
      </c>
      <c r="O4" s="143">
        <v>1</v>
      </c>
      <c r="Q4" s="168">
        <v>17</v>
      </c>
      <c r="R4" s="143">
        <v>25</v>
      </c>
      <c r="S4" s="143">
        <v>0.7507507507507466</v>
      </c>
      <c r="U4" s="139">
        <v>1</v>
      </c>
      <c r="V4" s="149">
        <v>1</v>
      </c>
      <c r="W4" s="143">
        <v>0.38</v>
      </c>
      <c r="X4" s="143">
        <v>0.02</v>
      </c>
    </row>
    <row r="5" spans="1:24" x14ac:dyDescent="0.25">
      <c r="A5" s="168">
        <v>23</v>
      </c>
      <c r="B5" s="169">
        <v>13.199999999999818</v>
      </c>
      <c r="C5" s="143">
        <v>0.35675675675675184</v>
      </c>
      <c r="E5" s="168">
        <v>23</v>
      </c>
      <c r="F5" s="169">
        <v>19</v>
      </c>
      <c r="G5" s="143">
        <v>0.51351351351351349</v>
      </c>
      <c r="I5" s="168">
        <v>23</v>
      </c>
      <c r="J5" s="169">
        <v>13.099999999999909</v>
      </c>
      <c r="K5" s="143">
        <v>0.3540540540540516</v>
      </c>
      <c r="M5" s="168">
        <v>23</v>
      </c>
      <c r="N5" s="169">
        <v>37</v>
      </c>
      <c r="O5" s="143">
        <v>1</v>
      </c>
      <c r="Q5" s="168">
        <v>23</v>
      </c>
      <c r="R5" s="169">
        <v>26</v>
      </c>
      <c r="S5" s="143">
        <v>0.70270270270270274</v>
      </c>
      <c r="U5" s="142">
        <v>2</v>
      </c>
      <c r="V5" s="142">
        <v>1.6</v>
      </c>
      <c r="W5" s="143">
        <v>0.59</v>
      </c>
      <c r="X5" s="143">
        <v>0.05</v>
      </c>
    </row>
    <row r="6" spans="1:24" x14ac:dyDescent="0.25">
      <c r="A6" s="168">
        <v>28</v>
      </c>
      <c r="B6" s="169">
        <v>12.800000000000182</v>
      </c>
      <c r="C6" s="143">
        <v>0.41025641025641846</v>
      </c>
      <c r="E6" s="168">
        <v>28</v>
      </c>
      <c r="F6" s="169">
        <v>19.299999999999727</v>
      </c>
      <c r="G6" s="143">
        <v>0.61858974358973851</v>
      </c>
      <c r="I6" s="168">
        <v>28</v>
      </c>
      <c r="J6" s="169">
        <v>13.600000000000364</v>
      </c>
      <c r="K6" s="143">
        <v>0.43589743589745011</v>
      </c>
      <c r="M6" s="168">
        <v>28</v>
      </c>
      <c r="N6" s="169">
        <v>31.199999999999818</v>
      </c>
      <c r="O6" s="143">
        <v>1</v>
      </c>
      <c r="Q6" s="168">
        <v>28</v>
      </c>
      <c r="R6" s="169">
        <v>23.5</v>
      </c>
      <c r="S6" s="143">
        <v>0.75320512820513263</v>
      </c>
      <c r="U6" s="142">
        <v>3</v>
      </c>
      <c r="V6" s="150">
        <v>2</v>
      </c>
      <c r="W6" s="175">
        <v>0.39</v>
      </c>
      <c r="X6" s="175">
        <v>0.03</v>
      </c>
    </row>
    <row r="7" spans="1:24" x14ac:dyDescent="0.25">
      <c r="A7" s="170">
        <v>30</v>
      </c>
      <c r="B7" s="171">
        <v>10.199999999999818</v>
      </c>
      <c r="C7" s="145">
        <v>0.38931297709922563</v>
      </c>
      <c r="E7" s="170">
        <v>30</v>
      </c>
      <c r="F7" s="171">
        <v>16.400000000000091</v>
      </c>
      <c r="G7" s="145">
        <v>0.62595419847327938</v>
      </c>
      <c r="I7" s="170">
        <v>30</v>
      </c>
      <c r="J7" s="171">
        <v>10.5</v>
      </c>
      <c r="K7" s="145">
        <v>0.40076335877862179</v>
      </c>
      <c r="M7" s="170">
        <v>30</v>
      </c>
      <c r="N7" s="171">
        <v>26.200000000000273</v>
      </c>
      <c r="O7" s="145">
        <v>1</v>
      </c>
      <c r="Q7" s="170">
        <v>30</v>
      </c>
      <c r="R7" s="171">
        <v>19.899999999999636</v>
      </c>
      <c r="S7" s="145">
        <v>0.75954198473280266</v>
      </c>
      <c r="U7" s="142">
        <v>4</v>
      </c>
      <c r="V7" s="142">
        <v>2.9</v>
      </c>
      <c r="W7" s="175">
        <v>1</v>
      </c>
      <c r="X7" s="175">
        <v>0</v>
      </c>
    </row>
    <row r="8" spans="1:24" x14ac:dyDescent="0.25">
      <c r="A8" s="151" t="s">
        <v>94</v>
      </c>
      <c r="B8" s="172">
        <f>AVERAGE(B4:B7)</f>
        <v>12.225000000000023</v>
      </c>
      <c r="C8" s="173">
        <f>AVERAGE(C4:C7)</f>
        <v>0.38442688137344588</v>
      </c>
      <c r="E8" s="151" t="s">
        <v>94</v>
      </c>
      <c r="F8" s="172">
        <f>AVERAGE(F4:F7)</f>
        <v>18.549999999999955</v>
      </c>
      <c r="G8" s="173">
        <f>AVERAGE(G4:G7)</f>
        <v>0.58591076029052847</v>
      </c>
      <c r="I8" s="151" t="s">
        <v>94</v>
      </c>
      <c r="J8" s="172">
        <f>AVERAGE(J4:J7)</f>
        <v>12.5</v>
      </c>
      <c r="K8" s="173">
        <f>AVERAGE(K4:K7)</f>
        <v>0.39377480827862443</v>
      </c>
      <c r="M8" s="151" t="s">
        <v>94</v>
      </c>
      <c r="N8" s="172">
        <f>AVERAGE(N4:N7)</f>
        <v>31.925000000000068</v>
      </c>
      <c r="O8" s="173">
        <f>AVERAGE(O4:O7)</f>
        <v>1</v>
      </c>
      <c r="Q8" s="151" t="s">
        <v>94</v>
      </c>
      <c r="R8" s="172">
        <f>AVERAGE(R4:R7)</f>
        <v>23.599999999999909</v>
      </c>
      <c r="S8" s="173">
        <f>AVERAGE(S4:S7)</f>
        <v>0.74155014159784605</v>
      </c>
      <c r="U8" s="142">
        <v>5</v>
      </c>
      <c r="V8" s="142">
        <v>3.3</v>
      </c>
      <c r="W8" s="175">
        <v>0.74</v>
      </c>
      <c r="X8" s="175">
        <v>0.03</v>
      </c>
    </row>
    <row r="9" spans="1:24" x14ac:dyDescent="0.25">
      <c r="A9" s="151" t="s">
        <v>175</v>
      </c>
      <c r="B9" s="173">
        <f>_xlfn.STDEV.S(B4:B7)</f>
        <v>1.3671747023211591</v>
      </c>
      <c r="C9" s="174">
        <f>_xlfn.STDEV.S(C4:C7)</f>
        <v>2.2105424373991732E-2</v>
      </c>
      <c r="E9" s="151" t="s">
        <v>175</v>
      </c>
      <c r="F9" s="173">
        <f>_xlfn.STDEV.S(F4:F7)</f>
        <v>1.4479871085981393</v>
      </c>
      <c r="G9" s="174">
        <f>_xlfn.STDEV.S(G4:G7)</f>
        <v>5.1357764652960325E-2</v>
      </c>
      <c r="I9" s="151" t="s">
        <v>175</v>
      </c>
      <c r="J9" s="173">
        <f>_xlfn.STDEV.S(J4:J7)</f>
        <v>1.373559851869165</v>
      </c>
      <c r="K9" s="174">
        <f>_xlfn.STDEV.S(K4:K7)</f>
        <v>3.4103147326348518E-2</v>
      </c>
      <c r="M9" s="151" t="s">
        <v>175</v>
      </c>
      <c r="N9" s="173">
        <f>_xlfn.STDEV.S(N4:N7)</f>
        <v>4.5073088792906679</v>
      </c>
      <c r="O9" s="174">
        <f>_xlfn.STDEV.S(O4:O7)</f>
        <v>0</v>
      </c>
      <c r="Q9" s="151" t="s">
        <v>175</v>
      </c>
      <c r="R9" s="173">
        <f>_xlfn.STDEV.S(R4:R7)</f>
        <v>2.6720778431776457</v>
      </c>
      <c r="S9" s="174">
        <f>_xlfn.STDEV.S(S4:S7)</f>
        <v>2.6161803261658942E-2</v>
      </c>
      <c r="U9" s="148"/>
      <c r="V9" s="148"/>
      <c r="W9" s="148"/>
      <c r="X9" s="148"/>
    </row>
    <row r="12" spans="1:24" x14ac:dyDescent="0.25">
      <c r="A12" s="252" t="s">
        <v>181</v>
      </c>
      <c r="B12" s="252"/>
      <c r="C12" s="252"/>
      <c r="E12" s="252" t="s">
        <v>182</v>
      </c>
      <c r="F12" s="252"/>
      <c r="G12" s="252"/>
      <c r="I12" s="252" t="s">
        <v>183</v>
      </c>
      <c r="J12" s="252"/>
      <c r="K12" s="252"/>
      <c r="M12" s="252" t="s">
        <v>184</v>
      </c>
      <c r="N12" s="252"/>
      <c r="O12" s="252"/>
      <c r="Q12" s="252" t="s">
        <v>185</v>
      </c>
      <c r="R12" s="252"/>
      <c r="S12" s="252"/>
      <c r="U12" s="252" t="s">
        <v>199</v>
      </c>
      <c r="V12" s="252"/>
      <c r="W12" s="252"/>
      <c r="X12" s="252"/>
    </row>
    <row r="13" spans="1:24" x14ac:dyDescent="0.25">
      <c r="A13" s="151" t="s">
        <v>97</v>
      </c>
      <c r="B13" s="9" t="s">
        <v>129</v>
      </c>
      <c r="C13" s="9" t="s">
        <v>174</v>
      </c>
      <c r="E13" s="151" t="s">
        <v>97</v>
      </c>
      <c r="F13" s="9" t="s">
        <v>129</v>
      </c>
      <c r="G13" s="9" t="s">
        <v>174</v>
      </c>
      <c r="I13" s="151" t="s">
        <v>97</v>
      </c>
      <c r="J13" s="9" t="s">
        <v>129</v>
      </c>
      <c r="K13" s="9" t="s">
        <v>174</v>
      </c>
      <c r="M13" s="151" t="s">
        <v>97</v>
      </c>
      <c r="N13" s="9" t="s">
        <v>129</v>
      </c>
      <c r="O13" s="9" t="s">
        <v>174</v>
      </c>
      <c r="Q13" s="151" t="s">
        <v>97</v>
      </c>
      <c r="R13" s="9" t="s">
        <v>129</v>
      </c>
      <c r="S13" s="9" t="s">
        <v>174</v>
      </c>
      <c r="U13" s="139" t="s">
        <v>74</v>
      </c>
      <c r="V13" s="139" t="s">
        <v>79</v>
      </c>
      <c r="W13" s="9" t="s">
        <v>196</v>
      </c>
      <c r="X13" s="9" t="s">
        <v>197</v>
      </c>
    </row>
    <row r="14" spans="1:24" x14ac:dyDescent="0.25">
      <c r="A14" s="168">
        <v>18</v>
      </c>
      <c r="B14" s="143">
        <v>10.400000000000091</v>
      </c>
      <c r="C14" s="143">
        <v>0.39543726235741516</v>
      </c>
      <c r="E14" s="168">
        <v>18</v>
      </c>
      <c r="F14" s="143">
        <v>15.900000000000091</v>
      </c>
      <c r="G14" s="143">
        <v>0.60456273764258484</v>
      </c>
      <c r="I14" s="168">
        <v>18</v>
      </c>
      <c r="J14" s="143">
        <v>10.099999999999909</v>
      </c>
      <c r="K14" s="143">
        <v>0.38403041825094447</v>
      </c>
      <c r="M14" s="168">
        <v>18</v>
      </c>
      <c r="N14" s="143">
        <v>26.300000000000182</v>
      </c>
      <c r="O14" s="143">
        <v>1</v>
      </c>
      <c r="Q14" s="168">
        <v>18</v>
      </c>
      <c r="R14" s="143">
        <v>19.900000000000091</v>
      </c>
      <c r="S14" s="143">
        <v>0.75665399239543552</v>
      </c>
      <c r="U14" s="139">
        <v>1</v>
      </c>
      <c r="V14" s="149">
        <v>1</v>
      </c>
      <c r="W14" s="143">
        <v>0.37</v>
      </c>
      <c r="X14" s="143">
        <v>0.03</v>
      </c>
    </row>
    <row r="15" spans="1:24" x14ac:dyDescent="0.25">
      <c r="A15" s="168">
        <v>21</v>
      </c>
      <c r="B15" s="169">
        <v>10.199999999999818</v>
      </c>
      <c r="C15" s="143">
        <v>0.35664335664335139</v>
      </c>
      <c r="E15" s="168">
        <v>21</v>
      </c>
      <c r="F15" s="169">
        <v>15.300000000000182</v>
      </c>
      <c r="G15" s="143">
        <v>0.534965034965043</v>
      </c>
      <c r="I15" s="168">
        <v>21</v>
      </c>
      <c r="J15" s="169">
        <v>10.5</v>
      </c>
      <c r="K15" s="143">
        <v>0.3671328671328683</v>
      </c>
      <c r="M15" s="168">
        <v>21</v>
      </c>
      <c r="N15" s="169">
        <v>28.599999999999909</v>
      </c>
      <c r="O15" s="143">
        <v>1</v>
      </c>
      <c r="Q15" s="168">
        <v>21</v>
      </c>
      <c r="R15" s="169">
        <v>21.599999999999909</v>
      </c>
      <c r="S15" s="143">
        <v>0.75524475524475443</v>
      </c>
      <c r="U15" s="142">
        <v>2</v>
      </c>
      <c r="V15" s="142">
        <v>1.6</v>
      </c>
      <c r="W15" s="143">
        <v>0.56000000000000005</v>
      </c>
      <c r="X15" s="143">
        <v>0.03</v>
      </c>
    </row>
    <row r="16" spans="1:24" x14ac:dyDescent="0.25">
      <c r="A16" s="168">
        <v>26</v>
      </c>
      <c r="B16" s="169">
        <v>11.400000000000091</v>
      </c>
      <c r="C16" s="143">
        <v>0.39310344827586519</v>
      </c>
      <c r="E16" s="168">
        <v>26</v>
      </c>
      <c r="F16" s="169">
        <v>16.400000000000091</v>
      </c>
      <c r="G16" s="143">
        <v>0.56551724137931347</v>
      </c>
      <c r="I16" s="168">
        <v>26</v>
      </c>
      <c r="J16" s="169">
        <v>11.199999999999818</v>
      </c>
      <c r="K16" s="143">
        <v>0.38620689655171786</v>
      </c>
      <c r="M16" s="168">
        <v>26</v>
      </c>
      <c r="N16" s="169">
        <v>29</v>
      </c>
      <c r="O16" s="143">
        <v>1</v>
      </c>
      <c r="Q16" s="168">
        <v>26</v>
      </c>
      <c r="R16" s="169">
        <v>19.800000000000182</v>
      </c>
      <c r="S16" s="143">
        <v>0.68275862068966142</v>
      </c>
      <c r="U16" s="142">
        <v>3</v>
      </c>
      <c r="V16" s="150">
        <v>2</v>
      </c>
      <c r="W16" s="175">
        <v>0.38</v>
      </c>
      <c r="X16" s="175">
        <v>0.01</v>
      </c>
    </row>
    <row r="17" spans="1:24" x14ac:dyDescent="0.25">
      <c r="A17" s="170">
        <v>32</v>
      </c>
      <c r="B17" s="171">
        <v>9.0999999999999091</v>
      </c>
      <c r="C17" s="145">
        <v>0.34469696969696506</v>
      </c>
      <c r="E17" s="170">
        <v>32</v>
      </c>
      <c r="F17" s="171">
        <v>14.300000000000182</v>
      </c>
      <c r="G17" s="145">
        <v>0.54166666666667174</v>
      </c>
      <c r="I17" s="170">
        <v>32</v>
      </c>
      <c r="J17" s="171">
        <v>10.400000000000091</v>
      </c>
      <c r="K17" s="145">
        <v>0.39393939393939603</v>
      </c>
      <c r="M17" s="170">
        <v>32</v>
      </c>
      <c r="N17" s="171">
        <v>26.400000000000091</v>
      </c>
      <c r="O17" s="145">
        <v>1</v>
      </c>
      <c r="Q17" s="170">
        <v>32</v>
      </c>
      <c r="R17" s="171">
        <v>19.5</v>
      </c>
      <c r="S17" s="145">
        <v>0.73863636363636109</v>
      </c>
      <c r="U17" s="142">
        <v>4</v>
      </c>
      <c r="V17" s="142">
        <v>2.9</v>
      </c>
      <c r="W17" s="175">
        <v>1</v>
      </c>
      <c r="X17" s="175">
        <v>0</v>
      </c>
    </row>
    <row r="18" spans="1:24" x14ac:dyDescent="0.25">
      <c r="A18" s="151" t="s">
        <v>94</v>
      </c>
      <c r="B18" s="172">
        <f>AVERAGE(B14:B17)</f>
        <v>10.274999999999977</v>
      </c>
      <c r="C18" s="173">
        <f>AVERAGE(C14:C17)</f>
        <v>0.37247025924339922</v>
      </c>
      <c r="E18" s="151" t="s">
        <v>94</v>
      </c>
      <c r="F18" s="172">
        <f>AVERAGE(F14:F17)</f>
        <v>15.475000000000136</v>
      </c>
      <c r="G18" s="173">
        <f>AVERAGE(G14:G17)</f>
        <v>0.56167792016340323</v>
      </c>
      <c r="I18" s="151" t="s">
        <v>94</v>
      </c>
      <c r="J18" s="172">
        <f>AVERAGE(J14:J17)</f>
        <v>10.549999999999955</v>
      </c>
      <c r="K18" s="173">
        <f>AVERAGE(K14:K17)</f>
        <v>0.38282739396873167</v>
      </c>
      <c r="M18" s="151" t="s">
        <v>94</v>
      </c>
      <c r="N18" s="172">
        <f>AVERAGE(N14:N17)</f>
        <v>27.575000000000045</v>
      </c>
      <c r="O18" s="173">
        <f>AVERAGE(O14:O17)</f>
        <v>1</v>
      </c>
      <c r="Q18" s="151" t="s">
        <v>94</v>
      </c>
      <c r="R18" s="172">
        <f>AVERAGE(R14:R17)</f>
        <v>20.200000000000045</v>
      </c>
      <c r="S18" s="173">
        <f>AVERAGE(S14:S17)</f>
        <v>0.73332343299155311</v>
      </c>
      <c r="U18" s="144">
        <v>5</v>
      </c>
      <c r="V18" s="144">
        <v>3.3</v>
      </c>
      <c r="W18" s="176">
        <v>0.73</v>
      </c>
      <c r="X18" s="176">
        <v>0.03</v>
      </c>
    </row>
    <row r="19" spans="1:24" x14ac:dyDescent="0.25">
      <c r="A19" s="151" t="s">
        <v>175</v>
      </c>
      <c r="B19" s="173">
        <f>_xlfn.STDEV.S(B14:B17)</f>
        <v>0.94295634398779182</v>
      </c>
      <c r="C19" s="174">
        <f>_xlfn.STDEV.S(C14:C17)</f>
        <v>2.5658385113059116E-2</v>
      </c>
      <c r="E19" s="151" t="s">
        <v>175</v>
      </c>
      <c r="F19" s="173">
        <f>_xlfn.STDEV.S(F14:F17)</f>
        <v>0.90323492698923658</v>
      </c>
      <c r="G19" s="174">
        <f>_xlfn.STDEV.S(G14:G17)</f>
        <v>3.1453015010503522E-2</v>
      </c>
      <c r="I19" s="151" t="s">
        <v>175</v>
      </c>
      <c r="J19" s="173">
        <f>_xlfn.STDEV.S(J14:J17)</f>
        <v>0.46547466812556626</v>
      </c>
      <c r="K19" s="174">
        <f>_xlfn.STDEV.S(K14:K17)</f>
        <v>1.1293995765917456E-2</v>
      </c>
      <c r="M19" s="151" t="s">
        <v>175</v>
      </c>
      <c r="N19" s="173">
        <f>_xlfn.STDEV.S(N14:N17)</f>
        <v>1.424488212189339</v>
      </c>
      <c r="O19" s="174">
        <f>_xlfn.STDEV.S(O14:O17)</f>
        <v>0</v>
      </c>
      <c r="Q19" s="151" t="s">
        <v>175</v>
      </c>
      <c r="R19" s="173">
        <f>_xlfn.STDEV.S(R14:R17)</f>
        <v>0.94868329805043394</v>
      </c>
      <c r="S19" s="174">
        <f>_xlfn.STDEV.S(S14:S17)</f>
        <v>3.4688551649349975E-2</v>
      </c>
    </row>
    <row r="22" spans="1:24" x14ac:dyDescent="0.25">
      <c r="A22" s="252" t="s">
        <v>186</v>
      </c>
      <c r="B22" s="252"/>
      <c r="C22" s="252"/>
      <c r="E22" s="252" t="s">
        <v>187</v>
      </c>
      <c r="F22" s="252"/>
      <c r="G22" s="252"/>
      <c r="I22" s="252" t="s">
        <v>188</v>
      </c>
      <c r="J22" s="252"/>
      <c r="K22" s="252"/>
      <c r="M22" s="252" t="s">
        <v>189</v>
      </c>
      <c r="N22" s="252"/>
      <c r="O22" s="252"/>
      <c r="Q22" s="252" t="s">
        <v>190</v>
      </c>
      <c r="R22" s="252"/>
      <c r="S22" s="252"/>
      <c r="U22" s="252" t="s">
        <v>200</v>
      </c>
      <c r="V22" s="252"/>
      <c r="W22" s="252"/>
      <c r="X22" s="252"/>
    </row>
    <row r="23" spans="1:24" x14ac:dyDescent="0.25">
      <c r="A23" s="151" t="s">
        <v>97</v>
      </c>
      <c r="B23" s="9" t="s">
        <v>129</v>
      </c>
      <c r="C23" s="9" t="s">
        <v>174</v>
      </c>
      <c r="E23" s="151" t="s">
        <v>97</v>
      </c>
      <c r="F23" s="9" t="s">
        <v>129</v>
      </c>
      <c r="G23" s="9" t="s">
        <v>174</v>
      </c>
      <c r="I23" s="151" t="s">
        <v>97</v>
      </c>
      <c r="J23" s="9" t="s">
        <v>129</v>
      </c>
      <c r="K23" s="9" t="s">
        <v>174</v>
      </c>
      <c r="M23" s="151" t="s">
        <v>97</v>
      </c>
      <c r="N23" s="9" t="s">
        <v>129</v>
      </c>
      <c r="O23" s="9" t="s">
        <v>174</v>
      </c>
      <c r="Q23" s="151" t="s">
        <v>97</v>
      </c>
      <c r="R23" s="9" t="s">
        <v>129</v>
      </c>
      <c r="S23" s="9" t="s">
        <v>174</v>
      </c>
      <c r="U23" s="139" t="s">
        <v>74</v>
      </c>
      <c r="V23" s="139" t="s">
        <v>79</v>
      </c>
      <c r="W23" s="9" t="s">
        <v>196</v>
      </c>
      <c r="X23" s="9" t="s">
        <v>197</v>
      </c>
    </row>
    <row r="24" spans="1:24" x14ac:dyDescent="0.25">
      <c r="A24" s="168">
        <v>19</v>
      </c>
      <c r="B24" s="143">
        <v>7</v>
      </c>
      <c r="C24" s="143">
        <v>0.36458333333333681</v>
      </c>
      <c r="E24" s="168">
        <v>19</v>
      </c>
      <c r="F24" s="143">
        <v>10.899999999999636</v>
      </c>
      <c r="G24" s="143">
        <v>0.56770833333331971</v>
      </c>
      <c r="I24" s="168">
        <v>19</v>
      </c>
      <c r="J24" s="143">
        <v>7.3000000000001819</v>
      </c>
      <c r="K24" s="143">
        <v>0.38020833333334642</v>
      </c>
      <c r="M24" s="168">
        <v>19</v>
      </c>
      <c r="N24" s="143">
        <v>19.199999999999818</v>
      </c>
      <c r="O24" s="143">
        <v>1</v>
      </c>
      <c r="Q24" s="168">
        <v>19</v>
      </c>
      <c r="R24" s="143">
        <v>12.700000000000273</v>
      </c>
      <c r="S24" s="143">
        <v>0.6614583333333538</v>
      </c>
      <c r="U24" s="139">
        <v>1</v>
      </c>
      <c r="V24" s="149">
        <v>1</v>
      </c>
      <c r="W24" s="143">
        <v>0.38</v>
      </c>
      <c r="X24" s="143">
        <v>0.02</v>
      </c>
    </row>
    <row r="25" spans="1:24" x14ac:dyDescent="0.25">
      <c r="A25" s="168">
        <v>22</v>
      </c>
      <c r="B25" s="169">
        <v>9.3000000000001819</v>
      </c>
      <c r="C25" s="143">
        <v>0.38589211618257435</v>
      </c>
      <c r="E25" s="168">
        <v>22</v>
      </c>
      <c r="F25" s="169">
        <v>12.099999999999909</v>
      </c>
      <c r="G25" s="143">
        <v>0.50207468879666917</v>
      </c>
      <c r="I25" s="168">
        <v>22</v>
      </c>
      <c r="J25" s="169">
        <v>9.1999999999998181</v>
      </c>
      <c r="K25" s="143">
        <v>0.38174273858919833</v>
      </c>
      <c r="M25" s="168">
        <v>22</v>
      </c>
      <c r="N25" s="169">
        <v>24.100000000000364</v>
      </c>
      <c r="O25" s="143">
        <v>1</v>
      </c>
      <c r="Q25" s="168">
        <v>22</v>
      </c>
      <c r="R25" s="169">
        <v>18.299999999999727</v>
      </c>
      <c r="S25" s="143">
        <v>0.75933609958503945</v>
      </c>
      <c r="U25" s="142">
        <v>2</v>
      </c>
      <c r="V25" s="142">
        <v>1.6</v>
      </c>
      <c r="W25" s="143">
        <v>0.53</v>
      </c>
      <c r="X25" s="143">
        <v>0.05</v>
      </c>
    </row>
    <row r="26" spans="1:24" x14ac:dyDescent="0.25">
      <c r="A26" s="168"/>
      <c r="B26" s="169"/>
      <c r="C26" s="143"/>
      <c r="E26" s="168"/>
      <c r="F26" s="169"/>
      <c r="G26" s="143"/>
      <c r="I26" s="168"/>
      <c r="J26" s="169"/>
      <c r="K26" s="143"/>
      <c r="M26" s="168"/>
      <c r="N26" s="169"/>
      <c r="O26" s="143"/>
      <c r="Q26" s="168"/>
      <c r="R26" s="169"/>
      <c r="S26" s="143"/>
      <c r="U26" s="142">
        <v>3</v>
      </c>
      <c r="V26" s="150">
        <v>2</v>
      </c>
      <c r="W26" s="175">
        <v>0.38</v>
      </c>
      <c r="X26" s="175">
        <v>0</v>
      </c>
    </row>
    <row r="27" spans="1:24" x14ac:dyDescent="0.25">
      <c r="A27" s="170"/>
      <c r="B27" s="171"/>
      <c r="C27" s="145"/>
      <c r="E27" s="170"/>
      <c r="F27" s="171"/>
      <c r="G27" s="145"/>
      <c r="I27" s="170"/>
      <c r="J27" s="171"/>
      <c r="K27" s="145"/>
      <c r="M27" s="170"/>
      <c r="N27" s="171"/>
      <c r="O27" s="145"/>
      <c r="Q27" s="170"/>
      <c r="R27" s="171"/>
      <c r="S27" s="145"/>
      <c r="U27" s="142">
        <v>4</v>
      </c>
      <c r="V27" s="142">
        <v>2.9</v>
      </c>
      <c r="W27" s="175">
        <v>1</v>
      </c>
      <c r="X27" s="175">
        <v>0</v>
      </c>
    </row>
    <row r="28" spans="1:24" x14ac:dyDescent="0.25">
      <c r="A28" s="151" t="s">
        <v>94</v>
      </c>
      <c r="B28" s="172">
        <f>AVERAGE(B24:B27)</f>
        <v>8.1500000000000909</v>
      </c>
      <c r="C28" s="173">
        <f>AVERAGE(C24:C25)</f>
        <v>0.37523772475795558</v>
      </c>
      <c r="E28" s="151" t="s">
        <v>94</v>
      </c>
      <c r="F28" s="172">
        <f>AVERAGE(F24:F27)</f>
        <v>11.499999999999773</v>
      </c>
      <c r="G28" s="173">
        <f>AVERAGE(G24:G25)</f>
        <v>0.53489151106499444</v>
      </c>
      <c r="I28" s="151" t="s">
        <v>94</v>
      </c>
      <c r="J28" s="172">
        <f>AVERAGE(J24:J27)</f>
        <v>8.25</v>
      </c>
      <c r="K28" s="173">
        <f>AVERAGE(K24:K25)</f>
        <v>0.38097553596127237</v>
      </c>
      <c r="M28" s="151" t="s">
        <v>94</v>
      </c>
      <c r="N28" s="172">
        <f>AVERAGE(N24:N27)</f>
        <v>21.650000000000091</v>
      </c>
      <c r="O28" s="173">
        <f>AVERAGE(O24:O25)</f>
        <v>1</v>
      </c>
      <c r="Q28" s="151" t="s">
        <v>94</v>
      </c>
      <c r="R28" s="172">
        <f>AVERAGE(R24:R27)</f>
        <v>15.5</v>
      </c>
      <c r="S28" s="173">
        <f>AVERAGE(S24:S25)</f>
        <v>0.71039721645919662</v>
      </c>
      <c r="U28" s="144">
        <v>5</v>
      </c>
      <c r="V28" s="144">
        <v>3.3</v>
      </c>
      <c r="W28" s="176">
        <v>0.71</v>
      </c>
      <c r="X28" s="176">
        <v>7.0000000000000007E-2</v>
      </c>
    </row>
    <row r="29" spans="1:24" x14ac:dyDescent="0.25">
      <c r="A29" s="151" t="s">
        <v>175</v>
      </c>
      <c r="B29" s="173">
        <f>_xlfn.STDEV.S(B24:B27)</f>
        <v>1.6263455967291849</v>
      </c>
      <c r="C29" s="174">
        <f>_xlfn.STDEV.S(C24:C25)</f>
        <v>1.5067584851527465E-2</v>
      </c>
      <c r="E29" s="151" t="s">
        <v>175</v>
      </c>
      <c r="F29" s="173">
        <f>_xlfn.STDEV.S(F24:F27)</f>
        <v>0.84852813742404998</v>
      </c>
      <c r="G29" s="174">
        <f>_xlfn.STDEV.S(G24:G25)</f>
        <v>4.6409995125853004E-2</v>
      </c>
      <c r="I29" s="151" t="s">
        <v>175</v>
      </c>
      <c r="J29" s="173">
        <f>_xlfn.STDEV.S(J24:J27)</f>
        <v>1.3435028842541783</v>
      </c>
      <c r="K29" s="174">
        <f>_xlfn.STDEV.S(K24:K25)</f>
        <v>1.0849883615011661E-3</v>
      </c>
      <c r="M29" s="151" t="s">
        <v>175</v>
      </c>
      <c r="N29" s="173">
        <f>_xlfn.STDEV.S(N24:N27)</f>
        <v>3.4648232278144597</v>
      </c>
      <c r="O29" s="174">
        <f>_xlfn.STDEV.S(O24:O25)</f>
        <v>0</v>
      </c>
      <c r="Q29" s="151" t="s">
        <v>175</v>
      </c>
      <c r="R29" s="173">
        <f>_xlfn.STDEV.S(R24:R27)</f>
        <v>3.9597979746442866</v>
      </c>
      <c r="S29" s="174">
        <f>_xlfn.STDEV.S(S24:S25)</f>
        <v>6.9210032243958733E-2</v>
      </c>
    </row>
    <row r="32" spans="1:24" x14ac:dyDescent="0.25">
      <c r="A32" s="252" t="s">
        <v>191</v>
      </c>
      <c r="B32" s="252"/>
      <c r="C32" s="252"/>
      <c r="E32" s="252" t="s">
        <v>192</v>
      </c>
      <c r="F32" s="252"/>
      <c r="G32" s="252"/>
      <c r="I32" s="252" t="s">
        <v>193</v>
      </c>
      <c r="J32" s="252"/>
      <c r="K32" s="252"/>
      <c r="M32" s="252" t="s">
        <v>194</v>
      </c>
      <c r="N32" s="252"/>
      <c r="O32" s="252"/>
      <c r="Q32" s="252" t="s">
        <v>195</v>
      </c>
      <c r="R32" s="252"/>
      <c r="S32" s="252"/>
      <c r="U32" s="252" t="s">
        <v>201</v>
      </c>
      <c r="V32" s="252"/>
      <c r="W32" s="252"/>
      <c r="X32" s="252"/>
    </row>
    <row r="33" spans="1:24" x14ac:dyDescent="0.25">
      <c r="A33" s="151" t="s">
        <v>97</v>
      </c>
      <c r="B33" s="9" t="s">
        <v>129</v>
      </c>
      <c r="C33" s="9" t="s">
        <v>174</v>
      </c>
      <c r="E33" s="151" t="s">
        <v>97</v>
      </c>
      <c r="F33" s="9" t="s">
        <v>129</v>
      </c>
      <c r="G33" s="9" t="s">
        <v>174</v>
      </c>
      <c r="I33" s="151" t="s">
        <v>97</v>
      </c>
      <c r="J33" s="9" t="s">
        <v>129</v>
      </c>
      <c r="K33" s="9" t="s">
        <v>174</v>
      </c>
      <c r="M33" s="151" t="s">
        <v>97</v>
      </c>
      <c r="N33" s="9" t="s">
        <v>129</v>
      </c>
      <c r="O33" s="9" t="s">
        <v>174</v>
      </c>
      <c r="Q33" s="151" t="s">
        <v>97</v>
      </c>
      <c r="R33" s="9" t="s">
        <v>129</v>
      </c>
      <c r="S33" s="9" t="s">
        <v>174</v>
      </c>
      <c r="U33" s="139" t="s">
        <v>74</v>
      </c>
      <c r="V33" s="139" t="s">
        <v>79</v>
      </c>
      <c r="W33" s="9" t="s">
        <v>196</v>
      </c>
      <c r="X33" s="9" t="s">
        <v>197</v>
      </c>
    </row>
    <row r="34" spans="1:24" x14ac:dyDescent="0.25">
      <c r="A34" s="168">
        <v>20</v>
      </c>
      <c r="B34" s="143">
        <v>10.099999999999909</v>
      </c>
      <c r="C34" s="143">
        <v>0.40399999999999636</v>
      </c>
      <c r="E34" s="168">
        <v>20</v>
      </c>
      <c r="F34" s="143">
        <v>13.900000000000091</v>
      </c>
      <c r="G34" s="143">
        <v>0.5560000000000036</v>
      </c>
      <c r="I34" s="168">
        <v>20</v>
      </c>
      <c r="J34" s="143">
        <v>8.7000000000002728</v>
      </c>
      <c r="K34" s="143">
        <v>0.34800000000001091</v>
      </c>
      <c r="M34" s="168">
        <v>20</v>
      </c>
      <c r="N34" s="143">
        <v>25</v>
      </c>
      <c r="O34" s="143">
        <v>1</v>
      </c>
      <c r="Q34" s="168">
        <v>20</v>
      </c>
      <c r="R34" s="143">
        <v>18.899999999999636</v>
      </c>
      <c r="S34" s="143">
        <v>0.75599999999998546</v>
      </c>
      <c r="U34" s="139">
        <v>1</v>
      </c>
      <c r="V34" s="149">
        <v>1</v>
      </c>
      <c r="W34" s="143">
        <v>0.39</v>
      </c>
      <c r="X34" s="143">
        <v>0.02</v>
      </c>
    </row>
    <row r="35" spans="1:24" x14ac:dyDescent="0.25">
      <c r="A35" s="168">
        <v>24</v>
      </c>
      <c r="B35" s="169">
        <v>11.099999999999909</v>
      </c>
      <c r="C35" s="143">
        <v>0.35463258785941998</v>
      </c>
      <c r="E35" s="168">
        <v>24</v>
      </c>
      <c r="F35" s="169">
        <v>16.099999999999909</v>
      </c>
      <c r="G35" s="143">
        <v>0.51437699680510596</v>
      </c>
      <c r="I35" s="168">
        <v>24</v>
      </c>
      <c r="J35" s="169">
        <v>11.900000000000091</v>
      </c>
      <c r="K35" s="143">
        <v>0.38019169329073554</v>
      </c>
      <c r="M35" s="168">
        <v>24</v>
      </c>
      <c r="N35" s="169">
        <v>31.300000000000182</v>
      </c>
      <c r="O35" s="143">
        <v>1</v>
      </c>
      <c r="Q35" s="168">
        <v>24</v>
      </c>
      <c r="R35" s="169">
        <v>25</v>
      </c>
      <c r="S35" s="143">
        <v>0.79872204472842989</v>
      </c>
      <c r="U35" s="142">
        <v>2</v>
      </c>
      <c r="V35" s="142">
        <v>1.6</v>
      </c>
      <c r="W35" s="143">
        <v>0.56999999999999995</v>
      </c>
      <c r="X35" s="143">
        <v>0.06</v>
      </c>
    </row>
    <row r="36" spans="1:24" x14ac:dyDescent="0.25">
      <c r="A36" s="168">
        <v>25</v>
      </c>
      <c r="B36" s="169">
        <v>11.400000000000091</v>
      </c>
      <c r="C36" s="143">
        <v>0.39583333333333398</v>
      </c>
      <c r="E36" s="168">
        <v>25</v>
      </c>
      <c r="F36" s="169">
        <v>15.800000000000182</v>
      </c>
      <c r="G36" s="143">
        <v>0.54861111111111394</v>
      </c>
      <c r="I36" s="168">
        <v>25</v>
      </c>
      <c r="J36" s="169">
        <v>10.699999999999818</v>
      </c>
      <c r="K36" s="143">
        <v>0.37152777777776913</v>
      </c>
      <c r="M36" s="168">
        <v>25</v>
      </c>
      <c r="N36" s="169">
        <v>28.800000000000182</v>
      </c>
      <c r="O36" s="143">
        <v>1</v>
      </c>
      <c r="Q36" s="168">
        <v>25</v>
      </c>
      <c r="R36" s="169">
        <v>22</v>
      </c>
      <c r="S36" s="143">
        <v>0.76388888888888407</v>
      </c>
      <c r="U36" s="142">
        <v>3</v>
      </c>
      <c r="V36" s="150">
        <v>2</v>
      </c>
      <c r="W36" s="175">
        <v>0.38</v>
      </c>
      <c r="X36" s="175">
        <v>0.04</v>
      </c>
    </row>
    <row r="37" spans="1:24" x14ac:dyDescent="0.25">
      <c r="A37" s="170">
        <v>31</v>
      </c>
      <c r="B37" s="171">
        <v>4.6000000000003638</v>
      </c>
      <c r="C37" s="145">
        <v>0.40707964601772478</v>
      </c>
      <c r="E37" s="170">
        <v>31</v>
      </c>
      <c r="F37" s="171">
        <v>7.5</v>
      </c>
      <c r="G37" s="145">
        <v>0.6637168141592813</v>
      </c>
      <c r="I37" s="170">
        <v>31</v>
      </c>
      <c r="J37" s="171">
        <v>4.8999999999996362</v>
      </c>
      <c r="K37" s="145">
        <v>0.43362831858403161</v>
      </c>
      <c r="M37" s="170">
        <v>31</v>
      </c>
      <c r="N37" s="171">
        <v>11.300000000000182</v>
      </c>
      <c r="O37" s="145">
        <v>1</v>
      </c>
      <c r="Q37" s="170">
        <v>31</v>
      </c>
      <c r="R37" s="171">
        <v>10.400000000000091</v>
      </c>
      <c r="S37" s="145">
        <v>0.92035398230087817</v>
      </c>
      <c r="U37" s="142">
        <v>4</v>
      </c>
      <c r="V37" s="142">
        <v>2.9</v>
      </c>
      <c r="W37" s="175">
        <v>1</v>
      </c>
      <c r="X37" s="175">
        <v>0</v>
      </c>
    </row>
    <row r="38" spans="1:24" x14ac:dyDescent="0.25">
      <c r="A38" s="151" t="s">
        <v>94</v>
      </c>
      <c r="B38" s="172">
        <f>AVERAGE(B34:B37)</f>
        <v>9.3000000000000682</v>
      </c>
      <c r="C38" s="173">
        <f>AVERAGE(C34:C37)</f>
        <v>0.3903863918026188</v>
      </c>
      <c r="E38" s="151" t="s">
        <v>94</v>
      </c>
      <c r="F38" s="172">
        <f>AVERAGE(F34:F37)</f>
        <v>13.325000000000045</v>
      </c>
      <c r="G38" s="173">
        <f>AVERAGE(G34:G37)</f>
        <v>0.57067623051887617</v>
      </c>
      <c r="I38" s="151" t="s">
        <v>94</v>
      </c>
      <c r="J38" s="172">
        <f>AVERAGE(J34:J37)</f>
        <v>9.0499999999999545</v>
      </c>
      <c r="K38" s="173">
        <f>AVERAGE(K34:K37)</f>
        <v>0.38333694741313684</v>
      </c>
      <c r="M38" s="151" t="s">
        <v>94</v>
      </c>
      <c r="N38" s="172">
        <f>AVERAGE(N34:N37)</f>
        <v>24.100000000000136</v>
      </c>
      <c r="O38" s="173">
        <f>AVERAGE(O34:O37)</f>
        <v>1</v>
      </c>
      <c r="Q38" s="151" t="s">
        <v>94</v>
      </c>
      <c r="R38" s="172">
        <f>AVERAGE(R34:R37)</f>
        <v>19.074999999999932</v>
      </c>
      <c r="S38" s="173">
        <f>AVERAGE(S34:S37)</f>
        <v>0.80974122897954448</v>
      </c>
      <c r="U38" s="144">
        <v>5</v>
      </c>
      <c r="V38" s="144">
        <v>3.3</v>
      </c>
      <c r="W38" s="176">
        <v>0.81</v>
      </c>
      <c r="X38" s="176">
        <v>0.08</v>
      </c>
    </row>
    <row r="39" spans="1:24" x14ac:dyDescent="0.25">
      <c r="A39" s="151" t="s">
        <v>175</v>
      </c>
      <c r="B39" s="173">
        <f>_xlfn.STDEV.S(B34:B37)</f>
        <v>3.1822423959631818</v>
      </c>
      <c r="C39" s="174">
        <f>_xlfn.STDEV.S(C34:C37)</f>
        <v>2.4303626155298918E-2</v>
      </c>
      <c r="E39" s="151" t="s">
        <v>175</v>
      </c>
      <c r="F39" s="173">
        <f>_xlfn.STDEV.S(F34:F37)</f>
        <v>4.0036441733334458</v>
      </c>
      <c r="G39" s="174">
        <f>_xlfn.STDEV.S(G34:G37)</f>
        <v>6.4623048410575701E-2</v>
      </c>
      <c r="I39" s="151" t="s">
        <v>175</v>
      </c>
      <c r="J39" s="173">
        <f>_xlfn.STDEV.S(J34:J37)</f>
        <v>3.0653982884231499</v>
      </c>
      <c r="K39" s="174">
        <f>_xlfn.STDEV.S(K34:K37)</f>
        <v>3.6181353290049408E-2</v>
      </c>
      <c r="M39" s="151" t="s">
        <v>175</v>
      </c>
      <c r="N39" s="173">
        <f>_xlfn.STDEV.S(N34:N37)</f>
        <v>8.9177725170956581</v>
      </c>
      <c r="O39" s="174">
        <f>_xlfn.STDEV.S(O34:O37)</f>
        <v>0</v>
      </c>
      <c r="Q39" s="151" t="s">
        <v>175</v>
      </c>
      <c r="R39" s="173">
        <f>_xlfn.STDEV.S(R34:R37)</f>
        <v>6.2967584253063205</v>
      </c>
      <c r="S39" s="174">
        <f>_xlfn.STDEV.S(S34:S37)</f>
        <v>7.604200681840094E-2</v>
      </c>
    </row>
  </sheetData>
  <mergeCells count="24">
    <mergeCell ref="U12:X12"/>
    <mergeCell ref="A2:C2"/>
    <mergeCell ref="E2:G2"/>
    <mergeCell ref="I2:K2"/>
    <mergeCell ref="M2:O2"/>
    <mergeCell ref="Q2:S2"/>
    <mergeCell ref="U2:X2"/>
    <mergeCell ref="A12:C12"/>
    <mergeCell ref="E12:G12"/>
    <mergeCell ref="I12:K12"/>
    <mergeCell ref="M12:O12"/>
    <mergeCell ref="Q12:S12"/>
    <mergeCell ref="U32:X32"/>
    <mergeCell ref="A22:C22"/>
    <mergeCell ref="E22:G22"/>
    <mergeCell ref="I22:K22"/>
    <mergeCell ref="M22:O22"/>
    <mergeCell ref="Q22:S22"/>
    <mergeCell ref="U22:X22"/>
    <mergeCell ref="A32:C32"/>
    <mergeCell ref="E32:G32"/>
    <mergeCell ref="I32:K32"/>
    <mergeCell ref="M32:O32"/>
    <mergeCell ref="Q32:S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E1BE4-A272-460C-A60C-0045BBC03A23}">
  <dimension ref="A2:X39"/>
  <sheetViews>
    <sheetView workbookViewId="0">
      <selection activeCell="N40" sqref="N40"/>
    </sheetView>
  </sheetViews>
  <sheetFormatPr defaultRowHeight="15" x14ac:dyDescent="0.25"/>
  <cols>
    <col min="1" max="1" width="17.85546875" bestFit="1" customWidth="1"/>
    <col min="2" max="2" width="17.42578125" bestFit="1" customWidth="1"/>
    <col min="3" max="3" width="20.140625" bestFit="1" customWidth="1"/>
    <col min="5" max="5" width="17.85546875" bestFit="1" customWidth="1"/>
    <col min="6" max="6" width="17.42578125" bestFit="1" customWidth="1"/>
    <col min="7" max="7" width="20.140625" bestFit="1" customWidth="1"/>
    <col min="9" max="9" width="17.85546875" bestFit="1" customWidth="1"/>
    <col min="10" max="10" width="17.42578125" bestFit="1" customWidth="1"/>
    <col min="11" max="11" width="20.140625" bestFit="1" customWidth="1"/>
    <col min="13" max="13" width="17.85546875" bestFit="1" customWidth="1"/>
    <col min="14" max="14" width="17.42578125" bestFit="1" customWidth="1"/>
    <col min="15" max="15" width="20.140625" bestFit="1" customWidth="1"/>
    <col min="17" max="17" width="17.85546875" bestFit="1" customWidth="1"/>
    <col min="18" max="18" width="17.42578125" bestFit="1" customWidth="1"/>
    <col min="19" max="19" width="20.140625" bestFit="1" customWidth="1"/>
    <col min="21" max="21" width="9.85546875" bestFit="1" customWidth="1"/>
  </cols>
  <sheetData>
    <row r="2" spans="1:24" x14ac:dyDescent="0.25">
      <c r="A2" s="252" t="s">
        <v>176</v>
      </c>
      <c r="B2" s="252"/>
      <c r="C2" s="252"/>
      <c r="E2" s="252" t="s">
        <v>177</v>
      </c>
      <c r="F2" s="252"/>
      <c r="G2" s="252"/>
      <c r="I2" s="252" t="s">
        <v>178</v>
      </c>
      <c r="J2" s="252"/>
      <c r="K2" s="252"/>
      <c r="M2" s="252" t="s">
        <v>179</v>
      </c>
      <c r="N2" s="252"/>
      <c r="O2" s="252"/>
      <c r="Q2" s="252" t="s">
        <v>180</v>
      </c>
      <c r="R2" s="252"/>
      <c r="S2" s="252"/>
      <c r="U2" s="252" t="s">
        <v>198</v>
      </c>
      <c r="V2" s="252"/>
      <c r="W2" s="252"/>
      <c r="X2" s="252"/>
    </row>
    <row r="3" spans="1:24" x14ac:dyDescent="0.25">
      <c r="A3" s="151" t="s">
        <v>97</v>
      </c>
      <c r="B3" s="9" t="s">
        <v>129</v>
      </c>
      <c r="C3" s="9" t="s">
        <v>174</v>
      </c>
      <c r="E3" s="151" t="s">
        <v>97</v>
      </c>
      <c r="F3" s="9" t="s">
        <v>129</v>
      </c>
      <c r="G3" s="9" t="s">
        <v>174</v>
      </c>
      <c r="I3" s="151" t="s">
        <v>97</v>
      </c>
      <c r="J3" s="9" t="s">
        <v>129</v>
      </c>
      <c r="K3" s="9" t="s">
        <v>174</v>
      </c>
      <c r="M3" s="151" t="s">
        <v>97</v>
      </c>
      <c r="N3" s="9" t="s">
        <v>129</v>
      </c>
      <c r="O3" s="9" t="s">
        <v>174</v>
      </c>
      <c r="Q3" s="151" t="s">
        <v>97</v>
      </c>
      <c r="R3" s="9" t="s">
        <v>129</v>
      </c>
      <c r="S3" s="9" t="s">
        <v>174</v>
      </c>
      <c r="U3" s="139" t="s">
        <v>74</v>
      </c>
      <c r="V3" s="139" t="s">
        <v>79</v>
      </c>
      <c r="W3" s="9" t="s">
        <v>196</v>
      </c>
      <c r="X3" s="9" t="s">
        <v>197</v>
      </c>
    </row>
    <row r="4" spans="1:24" x14ac:dyDescent="0.25">
      <c r="A4" s="168">
        <v>17</v>
      </c>
      <c r="B4" s="143">
        <v>7.4</v>
      </c>
      <c r="C4" s="143">
        <v>0.46540880503144655</v>
      </c>
      <c r="E4" s="168">
        <v>17</v>
      </c>
      <c r="F4" s="143">
        <v>11.6</v>
      </c>
      <c r="G4" s="143">
        <v>0.72955974842767291</v>
      </c>
      <c r="I4" s="168">
        <v>17</v>
      </c>
      <c r="J4" s="143">
        <v>12.3</v>
      </c>
      <c r="K4" s="143">
        <v>0.77358490566037741</v>
      </c>
      <c r="M4" s="168">
        <v>17</v>
      </c>
      <c r="N4" s="143">
        <v>14.2</v>
      </c>
      <c r="O4" s="143">
        <v>0.89308176100628922</v>
      </c>
      <c r="Q4" s="168">
        <v>17</v>
      </c>
      <c r="R4" s="143">
        <v>15.9</v>
      </c>
      <c r="S4" s="143">
        <v>1</v>
      </c>
      <c r="U4" s="139">
        <v>1</v>
      </c>
      <c r="V4" s="149">
        <v>1.1000000000000001</v>
      </c>
      <c r="W4" s="143">
        <v>0.54</v>
      </c>
      <c r="X4" s="143">
        <v>0.06</v>
      </c>
    </row>
    <row r="5" spans="1:24" x14ac:dyDescent="0.25">
      <c r="A5" s="168">
        <v>23</v>
      </c>
      <c r="B5" s="169">
        <v>11.3</v>
      </c>
      <c r="C5" s="143">
        <v>0.6108108108108109</v>
      </c>
      <c r="E5" s="168">
        <v>23</v>
      </c>
      <c r="F5" s="169">
        <v>12</v>
      </c>
      <c r="G5" s="143">
        <v>0.64864864864864868</v>
      </c>
      <c r="I5" s="168">
        <v>23</v>
      </c>
      <c r="J5" s="169">
        <v>13.5</v>
      </c>
      <c r="K5" s="143">
        <v>0.72972972972972971</v>
      </c>
      <c r="M5" s="168">
        <v>23</v>
      </c>
      <c r="N5" s="169">
        <v>16.899999999999999</v>
      </c>
      <c r="O5" s="143">
        <v>0.9135135135135134</v>
      </c>
      <c r="Q5" s="168">
        <v>23</v>
      </c>
      <c r="R5" s="169">
        <v>18.5</v>
      </c>
      <c r="S5" s="143">
        <v>1</v>
      </c>
      <c r="U5" s="142">
        <v>2</v>
      </c>
      <c r="V5" s="142">
        <v>1.6</v>
      </c>
      <c r="W5" s="143">
        <v>0.68</v>
      </c>
      <c r="X5" s="143">
        <v>0.04</v>
      </c>
    </row>
    <row r="6" spans="1:24" x14ac:dyDescent="0.25">
      <c r="A6" s="168">
        <v>28</v>
      </c>
      <c r="B6" s="169">
        <v>9.1999999999999993</v>
      </c>
      <c r="C6" s="143">
        <v>0.53179190751445082</v>
      </c>
      <c r="E6" s="168">
        <v>28</v>
      </c>
      <c r="F6" s="169">
        <v>11.3</v>
      </c>
      <c r="G6" s="143">
        <v>0.65317919075144515</v>
      </c>
      <c r="I6" s="168">
        <v>28</v>
      </c>
      <c r="J6" s="169">
        <v>13.9</v>
      </c>
      <c r="K6" s="143">
        <v>0.80346820809248554</v>
      </c>
      <c r="M6" s="168">
        <v>28</v>
      </c>
      <c r="N6" s="169">
        <v>16.7</v>
      </c>
      <c r="O6" s="143">
        <v>0.96531791907514441</v>
      </c>
      <c r="Q6" s="168">
        <v>28</v>
      </c>
      <c r="R6" s="169">
        <v>17.3</v>
      </c>
      <c r="S6" s="143">
        <v>1</v>
      </c>
      <c r="U6" s="142">
        <v>3</v>
      </c>
      <c r="V6" s="150">
        <v>2.1</v>
      </c>
      <c r="W6" s="175">
        <v>0.83</v>
      </c>
      <c r="X6" s="175">
        <v>0.12</v>
      </c>
    </row>
    <row r="7" spans="1:24" x14ac:dyDescent="0.25">
      <c r="A7" s="170">
        <v>30</v>
      </c>
      <c r="B7" s="171">
        <v>6.6</v>
      </c>
      <c r="C7" s="145">
        <v>0.54999999999999993</v>
      </c>
      <c r="E7" s="170">
        <v>30</v>
      </c>
      <c r="F7" s="171">
        <v>8.3000000000000007</v>
      </c>
      <c r="G7" s="145">
        <v>0.69166666666666676</v>
      </c>
      <c r="I7" s="170">
        <v>30</v>
      </c>
      <c r="J7" s="171">
        <v>12.4</v>
      </c>
      <c r="K7" s="145">
        <v>1</v>
      </c>
      <c r="M7" s="170">
        <v>30</v>
      </c>
      <c r="N7" s="171">
        <v>11.6</v>
      </c>
      <c r="O7" s="145">
        <v>0.96666666666666667</v>
      </c>
      <c r="Q7" s="170">
        <v>30</v>
      </c>
      <c r="R7" s="171">
        <v>12</v>
      </c>
      <c r="S7" s="145">
        <v>0.96774193548387089</v>
      </c>
      <c r="U7" s="142">
        <v>4</v>
      </c>
      <c r="V7" s="142">
        <v>2.7</v>
      </c>
      <c r="W7" s="175">
        <v>0.93</v>
      </c>
      <c r="X7" s="175">
        <v>0.04</v>
      </c>
    </row>
    <row r="8" spans="1:24" x14ac:dyDescent="0.25">
      <c r="A8" s="151" t="s">
        <v>94</v>
      </c>
      <c r="B8" s="172">
        <f>AVERAGE(B4:B7)</f>
        <v>8.625</v>
      </c>
      <c r="C8" s="173">
        <f>AVERAGE(C4:C7)</f>
        <v>0.53950288083917708</v>
      </c>
      <c r="E8" s="151" t="s">
        <v>94</v>
      </c>
      <c r="F8" s="172">
        <f>AVERAGE(F4:F7)</f>
        <v>10.8</v>
      </c>
      <c r="G8" s="173">
        <f>AVERAGE(G4:G7)</f>
        <v>0.68076356362360835</v>
      </c>
      <c r="I8" s="151" t="s">
        <v>94</v>
      </c>
      <c r="J8" s="172">
        <f>AVERAGE(J4:J7)</f>
        <v>13.025</v>
      </c>
      <c r="K8" s="173">
        <f>AVERAGE(K4:K7)</f>
        <v>0.82669571087064819</v>
      </c>
      <c r="M8" s="151" t="s">
        <v>94</v>
      </c>
      <c r="N8" s="172">
        <f>AVERAGE(N4:N7)</f>
        <v>14.85</v>
      </c>
      <c r="O8" s="173">
        <f>AVERAGE(O4:O7)</f>
        <v>0.9346449650654034</v>
      </c>
      <c r="Q8" s="151" t="s">
        <v>94</v>
      </c>
      <c r="R8" s="172">
        <f>AVERAGE(R4:R7)</f>
        <v>15.925000000000001</v>
      </c>
      <c r="S8" s="173">
        <f>AVERAGE(S4:S7)</f>
        <v>0.99193548387096775</v>
      </c>
      <c r="U8" s="142">
        <v>5</v>
      </c>
      <c r="V8" s="142">
        <v>3.5</v>
      </c>
      <c r="W8" s="175">
        <v>0.99</v>
      </c>
      <c r="X8" s="175">
        <v>0.02</v>
      </c>
    </row>
    <row r="9" spans="1:24" x14ac:dyDescent="0.25">
      <c r="A9" s="151" t="s">
        <v>175</v>
      </c>
      <c r="B9" s="173">
        <f>_xlfn.STDEV.S(B4:B7)</f>
        <v>2.0886598574205451</v>
      </c>
      <c r="C9" s="174">
        <f>_xlfn.STDEV.S(C4:C7)</f>
        <v>5.9845360630356594E-2</v>
      </c>
      <c r="E9" s="151" t="s">
        <v>175</v>
      </c>
      <c r="F9" s="173">
        <f>_xlfn.STDEV.S(F4:F7)</f>
        <v>1.6911534525287693</v>
      </c>
      <c r="G9" s="174">
        <f>_xlfn.STDEV.S(G4:G7)</f>
        <v>3.7825082938879734E-2</v>
      </c>
      <c r="I9" s="151" t="s">
        <v>175</v>
      </c>
      <c r="J9" s="173">
        <f>_xlfn.STDEV.S(J4:J7)</f>
        <v>0.79739158092704554</v>
      </c>
      <c r="K9" s="174">
        <f>_xlfn.STDEV.S(K4:K7)</f>
        <v>0.11943903974363311</v>
      </c>
      <c r="M9" s="151" t="s">
        <v>175</v>
      </c>
      <c r="N9" s="173">
        <f>_xlfn.STDEV.S(N4:N7)</f>
        <v>2.4906491790963456</v>
      </c>
      <c r="O9" s="174">
        <f>_xlfn.STDEV.S(O4:O7)</f>
        <v>3.7149507208366725E-2</v>
      </c>
      <c r="Q9" s="151" t="s">
        <v>175</v>
      </c>
      <c r="R9" s="173">
        <f>_xlfn.STDEV.S(R4:R7)</f>
        <v>2.8241517900660473</v>
      </c>
      <c r="S9" s="174">
        <f>_xlfn.STDEV.S(S4:S7)</f>
        <v>1.6129032258064557E-2</v>
      </c>
      <c r="U9" s="148"/>
      <c r="V9" s="148"/>
      <c r="W9" s="148"/>
      <c r="X9" s="148"/>
    </row>
    <row r="12" spans="1:24" x14ac:dyDescent="0.25">
      <c r="A12" s="252" t="s">
        <v>181</v>
      </c>
      <c r="B12" s="252"/>
      <c r="C12" s="252"/>
      <c r="E12" s="252" t="s">
        <v>182</v>
      </c>
      <c r="F12" s="252"/>
      <c r="G12" s="252"/>
      <c r="I12" s="252" t="s">
        <v>183</v>
      </c>
      <c r="J12" s="252"/>
      <c r="K12" s="252"/>
      <c r="M12" s="252" t="s">
        <v>184</v>
      </c>
      <c r="N12" s="252"/>
      <c r="O12" s="252"/>
      <c r="Q12" s="252" t="s">
        <v>185</v>
      </c>
      <c r="R12" s="252"/>
      <c r="S12" s="252"/>
      <c r="U12" s="252" t="s">
        <v>199</v>
      </c>
      <c r="V12" s="252"/>
      <c r="W12" s="252"/>
      <c r="X12" s="252"/>
    </row>
    <row r="13" spans="1:24" x14ac:dyDescent="0.25">
      <c r="A13" s="151" t="s">
        <v>97</v>
      </c>
      <c r="B13" s="9" t="s">
        <v>129</v>
      </c>
      <c r="C13" s="9" t="s">
        <v>174</v>
      </c>
      <c r="E13" s="151" t="s">
        <v>97</v>
      </c>
      <c r="F13" s="9" t="s">
        <v>129</v>
      </c>
      <c r="G13" s="9" t="s">
        <v>174</v>
      </c>
      <c r="I13" s="151" t="s">
        <v>97</v>
      </c>
      <c r="J13" s="9" t="s">
        <v>129</v>
      </c>
      <c r="K13" s="9" t="s">
        <v>174</v>
      </c>
      <c r="M13" s="151" t="s">
        <v>97</v>
      </c>
      <c r="N13" s="9" t="s">
        <v>129</v>
      </c>
      <c r="O13" s="9" t="s">
        <v>174</v>
      </c>
      <c r="Q13" s="151" t="s">
        <v>97</v>
      </c>
      <c r="R13" s="9" t="s">
        <v>129</v>
      </c>
      <c r="S13" s="9" t="s">
        <v>174</v>
      </c>
      <c r="U13" s="139" t="s">
        <v>74</v>
      </c>
      <c r="V13" s="139" t="s">
        <v>79</v>
      </c>
      <c r="W13" s="9" t="s">
        <v>196</v>
      </c>
      <c r="X13" s="9" t="s">
        <v>197</v>
      </c>
    </row>
    <row r="14" spans="1:24" x14ac:dyDescent="0.25">
      <c r="A14" s="168">
        <v>18</v>
      </c>
      <c r="B14" s="143">
        <v>7.9</v>
      </c>
      <c r="C14" s="143">
        <v>0.64227642276422758</v>
      </c>
      <c r="E14" s="168">
        <v>18</v>
      </c>
      <c r="F14" s="143">
        <v>9.1</v>
      </c>
      <c r="G14" s="143">
        <v>0.73983739837398366</v>
      </c>
      <c r="I14" s="168">
        <v>18</v>
      </c>
      <c r="J14" s="143">
        <v>11.2</v>
      </c>
      <c r="K14" s="143">
        <v>0.91056910569105676</v>
      </c>
      <c r="M14" s="168">
        <v>18</v>
      </c>
      <c r="N14" s="143">
        <v>12.3</v>
      </c>
      <c r="O14" s="143">
        <v>1</v>
      </c>
      <c r="Q14" s="168">
        <v>18</v>
      </c>
      <c r="R14" s="143">
        <v>12.3</v>
      </c>
      <c r="S14" s="143">
        <v>1</v>
      </c>
      <c r="U14" s="139">
        <v>1</v>
      </c>
      <c r="V14" s="149">
        <v>1.1000000000000001</v>
      </c>
      <c r="W14" s="143">
        <v>0.62</v>
      </c>
      <c r="X14" s="143">
        <v>0.09</v>
      </c>
    </row>
    <row r="15" spans="1:24" x14ac:dyDescent="0.25">
      <c r="A15" s="168">
        <v>21</v>
      </c>
      <c r="B15" s="169">
        <v>8.8000000000000007</v>
      </c>
      <c r="C15" s="143">
        <v>0.71544715447154472</v>
      </c>
      <c r="E15" s="168">
        <v>21</v>
      </c>
      <c r="F15" s="169">
        <v>9.4</v>
      </c>
      <c r="G15" s="143">
        <v>0.7642276422764227</v>
      </c>
      <c r="I15" s="168">
        <v>21</v>
      </c>
      <c r="J15" s="169">
        <v>10.6</v>
      </c>
      <c r="K15" s="143">
        <v>0.86178861788617878</v>
      </c>
      <c r="M15" s="168">
        <v>21</v>
      </c>
      <c r="N15" s="169">
        <v>11.1</v>
      </c>
      <c r="O15" s="143">
        <v>0.90243902439024382</v>
      </c>
      <c r="Q15" s="168">
        <v>21</v>
      </c>
      <c r="R15" s="169">
        <v>12.3</v>
      </c>
      <c r="S15" s="143">
        <v>1</v>
      </c>
      <c r="U15" s="142">
        <v>2</v>
      </c>
      <c r="V15" s="142">
        <v>1.6</v>
      </c>
      <c r="W15" s="143">
        <v>0.71</v>
      </c>
      <c r="X15" s="143">
        <v>0.05</v>
      </c>
    </row>
    <row r="16" spans="1:24" x14ac:dyDescent="0.25">
      <c r="A16" s="168">
        <v>26</v>
      </c>
      <c r="B16" s="169">
        <v>7.71</v>
      </c>
      <c r="C16" s="143">
        <v>0.62682926829268293</v>
      </c>
      <c r="E16" s="168">
        <v>26</v>
      </c>
      <c r="F16" s="169">
        <v>8.4</v>
      </c>
      <c r="G16" s="143">
        <v>0.68292682926829262</v>
      </c>
      <c r="I16" s="168">
        <v>26</v>
      </c>
      <c r="J16" s="169">
        <v>10.3</v>
      </c>
      <c r="K16" s="143">
        <v>0.83739837398373984</v>
      </c>
      <c r="M16" s="168">
        <v>26</v>
      </c>
      <c r="N16" s="169">
        <v>11.3</v>
      </c>
      <c r="O16" s="143">
        <v>0.91869918699186992</v>
      </c>
      <c r="Q16" s="168">
        <v>26</v>
      </c>
      <c r="R16" s="169">
        <v>12.3</v>
      </c>
      <c r="S16" s="143">
        <v>1</v>
      </c>
      <c r="U16" s="142">
        <v>3</v>
      </c>
      <c r="V16" s="150">
        <v>2.1</v>
      </c>
      <c r="W16" s="175">
        <v>0.83</v>
      </c>
      <c r="X16" s="175">
        <v>0.08</v>
      </c>
    </row>
    <row r="17" spans="1:24" x14ac:dyDescent="0.25">
      <c r="A17" s="170">
        <v>32</v>
      </c>
      <c r="B17" s="171">
        <v>6.3</v>
      </c>
      <c r="C17" s="145">
        <v>0.50806451612903225</v>
      </c>
      <c r="E17" s="170">
        <v>32</v>
      </c>
      <c r="F17" s="171">
        <v>8.3000000000000007</v>
      </c>
      <c r="G17" s="145">
        <v>0.66935483870967749</v>
      </c>
      <c r="I17" s="170">
        <v>32</v>
      </c>
      <c r="J17" s="171">
        <v>9</v>
      </c>
      <c r="K17" s="145">
        <v>0.72580645161290325</v>
      </c>
      <c r="M17" s="170">
        <v>32</v>
      </c>
      <c r="N17" s="171">
        <v>11.8</v>
      </c>
      <c r="O17" s="145">
        <v>0.95161290322580649</v>
      </c>
      <c r="Q17" s="170">
        <v>32</v>
      </c>
      <c r="R17" s="171">
        <v>12.4</v>
      </c>
      <c r="S17" s="145">
        <v>1</v>
      </c>
      <c r="U17" s="142">
        <v>4</v>
      </c>
      <c r="V17" s="142">
        <v>2.7</v>
      </c>
      <c r="W17" s="175">
        <v>0.94</v>
      </c>
      <c r="X17" s="175">
        <v>0.04</v>
      </c>
    </row>
    <row r="18" spans="1:24" x14ac:dyDescent="0.25">
      <c r="A18" s="151" t="s">
        <v>94</v>
      </c>
      <c r="B18" s="172">
        <f>AVERAGE(B14:B17)</f>
        <v>7.6775000000000011</v>
      </c>
      <c r="C18" s="173">
        <f>AVERAGE(C14:C17)</f>
        <v>0.62315434041437179</v>
      </c>
      <c r="E18" s="151" t="s">
        <v>94</v>
      </c>
      <c r="F18" s="172">
        <f>AVERAGE(F14:F17)</f>
        <v>8.8000000000000007</v>
      </c>
      <c r="G18" s="173">
        <f>AVERAGE(G14:G17)</f>
        <v>0.71408667715709406</v>
      </c>
      <c r="I18" s="151" t="s">
        <v>94</v>
      </c>
      <c r="J18" s="172">
        <f>AVERAGE(J14:J17)</f>
        <v>10.274999999999999</v>
      </c>
      <c r="K18" s="173">
        <f>AVERAGE(K14:K17)</f>
        <v>0.83389063729346957</v>
      </c>
      <c r="M18" s="151" t="s">
        <v>94</v>
      </c>
      <c r="N18" s="172">
        <f>AVERAGE(N14:N17)</f>
        <v>11.625</v>
      </c>
      <c r="O18" s="173">
        <f>AVERAGE(O14:O17)</f>
        <v>0.94318777865198011</v>
      </c>
      <c r="Q18" s="151" t="s">
        <v>94</v>
      </c>
      <c r="R18" s="172">
        <f>AVERAGE(R14:R17)</f>
        <v>12.325000000000001</v>
      </c>
      <c r="S18" s="173">
        <f>AVERAGE(S14:S17)</f>
        <v>1</v>
      </c>
      <c r="U18" s="144">
        <v>5</v>
      </c>
      <c r="V18" s="144">
        <v>3.5</v>
      </c>
      <c r="W18" s="176">
        <v>1</v>
      </c>
      <c r="X18" s="176">
        <v>0</v>
      </c>
    </row>
    <row r="19" spans="1:24" x14ac:dyDescent="0.25">
      <c r="A19" s="151" t="s">
        <v>175</v>
      </c>
      <c r="B19" s="173">
        <f>_xlfn.STDEV.S(B14:B17)</f>
        <v>1.0340978354746311</v>
      </c>
      <c r="C19" s="174">
        <f>_xlfn.STDEV.S(C14:C17)</f>
        <v>8.5912339643243255E-2</v>
      </c>
      <c r="E19" s="151" t="s">
        <v>175</v>
      </c>
      <c r="F19" s="173">
        <f>_xlfn.STDEV.S(F14:F17)</f>
        <v>0.53541261347363345</v>
      </c>
      <c r="G19" s="174">
        <f>_xlfn.STDEV.S(G14:G17)</f>
        <v>4.5273574034701225E-2</v>
      </c>
      <c r="I19" s="151" t="s">
        <v>175</v>
      </c>
      <c r="J19" s="173">
        <f>_xlfn.STDEV.S(J14:J17)</f>
        <v>0.92870878105033527</v>
      </c>
      <c r="K19" s="174">
        <f>_xlfn.STDEV.S(K14:K17)</f>
        <v>7.82141936135856E-2</v>
      </c>
      <c r="M19" s="151" t="s">
        <v>175</v>
      </c>
      <c r="N19" s="173">
        <f>_xlfn.STDEV.S(N14:N17)</f>
        <v>0.53774219349672292</v>
      </c>
      <c r="O19" s="174">
        <f>_xlfn.STDEV.S(O14:O17)</f>
        <v>4.3045570093254625E-2</v>
      </c>
      <c r="Q19" s="151" t="s">
        <v>175</v>
      </c>
      <c r="R19" s="173">
        <f>_xlfn.STDEV.S(R14:R17)</f>
        <v>4.9999999999999815E-2</v>
      </c>
      <c r="S19" s="174">
        <f>_xlfn.STDEV.S(S14:S17)</f>
        <v>0</v>
      </c>
    </row>
    <row r="22" spans="1:24" x14ac:dyDescent="0.25">
      <c r="A22" s="252" t="s">
        <v>186</v>
      </c>
      <c r="B22" s="252"/>
      <c r="C22" s="252"/>
      <c r="E22" s="252" t="s">
        <v>187</v>
      </c>
      <c r="F22" s="252"/>
      <c r="G22" s="252"/>
      <c r="I22" s="252" t="s">
        <v>188</v>
      </c>
      <c r="J22" s="252"/>
      <c r="K22" s="252"/>
      <c r="M22" s="252" t="s">
        <v>189</v>
      </c>
      <c r="N22" s="252"/>
      <c r="O22" s="252"/>
      <c r="Q22" s="252" t="s">
        <v>190</v>
      </c>
      <c r="R22" s="252"/>
      <c r="S22" s="252"/>
      <c r="U22" s="252" t="s">
        <v>200</v>
      </c>
      <c r="V22" s="252"/>
      <c r="W22" s="252"/>
      <c r="X22" s="252"/>
    </row>
    <row r="23" spans="1:24" x14ac:dyDescent="0.25">
      <c r="A23" s="151" t="s">
        <v>97</v>
      </c>
      <c r="B23" s="9" t="s">
        <v>129</v>
      </c>
      <c r="C23" s="9" t="s">
        <v>174</v>
      </c>
      <c r="E23" s="151" t="s">
        <v>97</v>
      </c>
      <c r="F23" s="9" t="s">
        <v>129</v>
      </c>
      <c r="G23" s="9" t="s">
        <v>174</v>
      </c>
      <c r="I23" s="151" t="s">
        <v>97</v>
      </c>
      <c r="J23" s="9" t="s">
        <v>129</v>
      </c>
      <c r="K23" s="9" t="s">
        <v>174</v>
      </c>
      <c r="M23" s="151" t="s">
        <v>97</v>
      </c>
      <c r="N23" s="9" t="s">
        <v>129</v>
      </c>
      <c r="O23" s="9" t="s">
        <v>174</v>
      </c>
      <c r="Q23" s="151" t="s">
        <v>97</v>
      </c>
      <c r="R23" s="9" t="s">
        <v>129</v>
      </c>
      <c r="S23" s="9" t="s">
        <v>174</v>
      </c>
      <c r="U23" s="139" t="s">
        <v>74</v>
      </c>
      <c r="V23" s="139" t="s">
        <v>79</v>
      </c>
      <c r="W23" s="9" t="s">
        <v>196</v>
      </c>
      <c r="X23" s="9" t="s">
        <v>197</v>
      </c>
    </row>
    <row r="24" spans="1:24" x14ac:dyDescent="0.25">
      <c r="A24" s="168">
        <v>19</v>
      </c>
      <c r="B24" s="143">
        <v>5.4</v>
      </c>
      <c r="C24" s="143">
        <v>0.57446808510638303</v>
      </c>
      <c r="E24" s="168">
        <v>19</v>
      </c>
      <c r="F24" s="143">
        <v>6.8</v>
      </c>
      <c r="G24" s="143">
        <v>0.72340425531914887</v>
      </c>
      <c r="I24" s="168">
        <v>19</v>
      </c>
      <c r="J24" s="143">
        <v>7.3</v>
      </c>
      <c r="K24" s="143">
        <v>0.78</v>
      </c>
      <c r="M24" s="168">
        <v>19</v>
      </c>
      <c r="N24" s="143">
        <v>8.5</v>
      </c>
      <c r="O24" s="143">
        <v>0.90425531914893609</v>
      </c>
      <c r="Q24" s="168">
        <v>19</v>
      </c>
      <c r="R24" s="143">
        <v>9.4</v>
      </c>
      <c r="S24" s="143">
        <v>1</v>
      </c>
      <c r="U24" s="139">
        <v>1</v>
      </c>
      <c r="V24" s="149">
        <v>1.1000000000000001</v>
      </c>
      <c r="W24" s="143">
        <v>0.7</v>
      </c>
      <c r="X24" s="143">
        <v>0.17</v>
      </c>
    </row>
    <row r="25" spans="1:24" x14ac:dyDescent="0.25">
      <c r="A25" s="168">
        <v>22</v>
      </c>
      <c r="B25" s="169">
        <v>8.3000000000000007</v>
      </c>
      <c r="C25" s="143">
        <v>0.82178217821782185</v>
      </c>
      <c r="E25" s="168">
        <v>22</v>
      </c>
      <c r="F25" s="169">
        <v>8.1</v>
      </c>
      <c r="G25" s="143">
        <v>0.80198019801980203</v>
      </c>
      <c r="I25" s="168">
        <v>22</v>
      </c>
      <c r="J25" s="169">
        <v>8.1</v>
      </c>
      <c r="K25" s="143">
        <v>0.80198019801980203</v>
      </c>
      <c r="M25" s="168">
        <v>22</v>
      </c>
      <c r="N25" s="169">
        <v>10.1</v>
      </c>
      <c r="O25" s="143">
        <v>1</v>
      </c>
      <c r="Q25" s="168">
        <v>22</v>
      </c>
      <c r="R25" s="169">
        <v>10.1</v>
      </c>
      <c r="S25" s="143">
        <v>1</v>
      </c>
      <c r="U25" s="142">
        <v>2</v>
      </c>
      <c r="V25" s="142">
        <v>1.6</v>
      </c>
      <c r="W25" s="143">
        <v>0.76</v>
      </c>
      <c r="X25" s="143">
        <v>0.06</v>
      </c>
    </row>
    <row r="26" spans="1:24" x14ac:dyDescent="0.25">
      <c r="A26" s="168"/>
      <c r="B26" s="169"/>
      <c r="C26" s="143"/>
      <c r="E26" s="168"/>
      <c r="F26" s="169"/>
      <c r="G26" s="143"/>
      <c r="I26" s="168"/>
      <c r="J26" s="169"/>
      <c r="K26" s="143"/>
      <c r="M26" s="168"/>
      <c r="N26" s="169"/>
      <c r="O26" s="143"/>
      <c r="Q26" s="168"/>
      <c r="R26" s="169"/>
      <c r="S26" s="143"/>
      <c r="U26" s="142">
        <v>3</v>
      </c>
      <c r="V26" s="150">
        <v>2.1</v>
      </c>
      <c r="W26" s="175">
        <v>0.79</v>
      </c>
      <c r="X26" s="175">
        <v>0.02</v>
      </c>
    </row>
    <row r="27" spans="1:24" x14ac:dyDescent="0.25">
      <c r="A27" s="170"/>
      <c r="B27" s="171"/>
      <c r="C27" s="145"/>
      <c r="E27" s="170"/>
      <c r="F27" s="171"/>
      <c r="G27" s="145"/>
      <c r="I27" s="170"/>
      <c r="J27" s="171"/>
      <c r="K27" s="145"/>
      <c r="M27" s="170"/>
      <c r="N27" s="171"/>
      <c r="O27" s="145"/>
      <c r="Q27" s="170"/>
      <c r="R27" s="171"/>
      <c r="S27" s="145"/>
      <c r="U27" s="142">
        <v>4</v>
      </c>
      <c r="V27" s="142">
        <v>2.7</v>
      </c>
      <c r="W27" s="175">
        <v>0.95</v>
      </c>
      <c r="X27" s="175">
        <v>7.0000000000000007E-2</v>
      </c>
    </row>
    <row r="28" spans="1:24" x14ac:dyDescent="0.25">
      <c r="A28" s="151" t="s">
        <v>94</v>
      </c>
      <c r="B28" s="172">
        <f>AVERAGE(B24:B27)</f>
        <v>6.8500000000000005</v>
      </c>
      <c r="C28" s="173">
        <f>AVERAGE(C24:C25)</f>
        <v>0.69812513166210244</v>
      </c>
      <c r="E28" s="151" t="s">
        <v>94</v>
      </c>
      <c r="F28" s="172">
        <f>AVERAGE(F24:F27)</f>
        <v>7.4499999999999993</v>
      </c>
      <c r="G28" s="173">
        <f>AVERAGE(G24:G25)</f>
        <v>0.76269222666947545</v>
      </c>
      <c r="I28" s="151" t="s">
        <v>94</v>
      </c>
      <c r="J28" s="172">
        <f>AVERAGE(J24:J27)</f>
        <v>7.6999999999999993</v>
      </c>
      <c r="K28" s="173">
        <f>AVERAGE(K24:K25)</f>
        <v>0.79099009900990103</v>
      </c>
      <c r="M28" s="151" t="s">
        <v>94</v>
      </c>
      <c r="N28" s="172">
        <f>AVERAGE(N24:N27)</f>
        <v>9.3000000000000007</v>
      </c>
      <c r="O28" s="173">
        <f>AVERAGE(O24:O25)</f>
        <v>0.9521276595744681</v>
      </c>
      <c r="Q28" s="151" t="s">
        <v>94</v>
      </c>
      <c r="R28" s="172">
        <f>AVERAGE(R24:R27)</f>
        <v>9.75</v>
      </c>
      <c r="S28" s="173">
        <f>AVERAGE(S24:S25)</f>
        <v>1</v>
      </c>
      <c r="U28" s="144">
        <v>5</v>
      </c>
      <c r="V28" s="144">
        <v>3.5</v>
      </c>
      <c r="W28" s="176">
        <v>1</v>
      </c>
      <c r="X28" s="176">
        <v>0</v>
      </c>
    </row>
    <row r="29" spans="1:24" x14ac:dyDescent="0.25">
      <c r="A29" s="151" t="s">
        <v>175</v>
      </c>
      <c r="B29" s="173">
        <f>_xlfn.STDEV.S(B24:B27)</f>
        <v>2.0506096654409873</v>
      </c>
      <c r="C29" s="174">
        <f>_xlfn.STDEV.S(C24:C25)</f>
        <v>0.17487747232209966</v>
      </c>
      <c r="E29" s="151" t="s">
        <v>175</v>
      </c>
      <c r="F29" s="173">
        <f>_xlfn.STDEV.S(F24:F27)</f>
        <v>0.91923881554251163</v>
      </c>
      <c r="G29" s="174">
        <f>_xlfn.STDEV.S(G24:G25)</f>
        <v>5.5561581921757447E-2</v>
      </c>
      <c r="I29" s="151" t="s">
        <v>175</v>
      </c>
      <c r="J29" s="173">
        <f>_xlfn.STDEV.S(J24:J27)</f>
        <v>0.5656854249492379</v>
      </c>
      <c r="K29" s="174">
        <f>_xlfn.STDEV.S(K24:K25)</f>
        <v>1.5542347071625117E-2</v>
      </c>
      <c r="M29" s="151" t="s">
        <v>175</v>
      </c>
      <c r="N29" s="173">
        <f>_xlfn.STDEV.S(N24:N27)</f>
        <v>1.1313708498984758</v>
      </c>
      <c r="O29" s="174">
        <f>_xlfn.STDEV.S(O24:O25)</f>
        <v>6.7701713092329086E-2</v>
      </c>
      <c r="Q29" s="151" t="s">
        <v>175</v>
      </c>
      <c r="R29" s="173">
        <f>_xlfn.STDEV.S(R24:R27)</f>
        <v>0.49497474683058273</v>
      </c>
      <c r="S29" s="174">
        <f>_xlfn.STDEV.S(S24:S25)</f>
        <v>0</v>
      </c>
    </row>
    <row r="32" spans="1:24" x14ac:dyDescent="0.25">
      <c r="A32" s="252" t="s">
        <v>191</v>
      </c>
      <c r="B32" s="252"/>
      <c r="C32" s="252"/>
      <c r="E32" s="252" t="s">
        <v>192</v>
      </c>
      <c r="F32" s="252"/>
      <c r="G32" s="252"/>
      <c r="I32" s="252" t="s">
        <v>193</v>
      </c>
      <c r="J32" s="252"/>
      <c r="K32" s="252"/>
      <c r="M32" s="252" t="s">
        <v>194</v>
      </c>
      <c r="N32" s="252"/>
      <c r="O32" s="252"/>
      <c r="Q32" s="252" t="s">
        <v>195</v>
      </c>
      <c r="R32" s="252"/>
      <c r="S32" s="252"/>
      <c r="U32" s="252" t="s">
        <v>201</v>
      </c>
      <c r="V32" s="252"/>
      <c r="W32" s="252"/>
      <c r="X32" s="252"/>
    </row>
    <row r="33" spans="1:24" x14ac:dyDescent="0.25">
      <c r="A33" s="151" t="s">
        <v>97</v>
      </c>
      <c r="B33" s="9" t="s">
        <v>129</v>
      </c>
      <c r="C33" s="9" t="s">
        <v>174</v>
      </c>
      <c r="E33" s="151" t="s">
        <v>97</v>
      </c>
      <c r="F33" s="9" t="s">
        <v>129</v>
      </c>
      <c r="G33" s="9" t="s">
        <v>174</v>
      </c>
      <c r="I33" s="151" t="s">
        <v>97</v>
      </c>
      <c r="J33" s="9" t="s">
        <v>129</v>
      </c>
      <c r="K33" s="9" t="s">
        <v>174</v>
      </c>
      <c r="M33" s="151" t="s">
        <v>97</v>
      </c>
      <c r="N33" s="9" t="s">
        <v>129</v>
      </c>
      <c r="O33" s="9" t="s">
        <v>174</v>
      </c>
      <c r="Q33" s="151" t="s">
        <v>97</v>
      </c>
      <c r="R33" s="9" t="s">
        <v>129</v>
      </c>
      <c r="S33" s="9" t="s">
        <v>174</v>
      </c>
      <c r="U33" s="139" t="s">
        <v>74</v>
      </c>
      <c r="V33" s="139" t="s">
        <v>79</v>
      </c>
      <c r="W33" s="9" t="s">
        <v>196</v>
      </c>
      <c r="X33" s="9" t="s">
        <v>197</v>
      </c>
    </row>
    <row r="34" spans="1:24" x14ac:dyDescent="0.25">
      <c r="A34" s="168">
        <v>20</v>
      </c>
      <c r="B34" s="143">
        <v>7.4</v>
      </c>
      <c r="C34" s="143">
        <v>0.63793103448275867</v>
      </c>
      <c r="E34" s="168">
        <v>20</v>
      </c>
      <c r="F34" s="143">
        <v>8.3000000000000007</v>
      </c>
      <c r="G34" s="143">
        <v>0.71551724137931039</v>
      </c>
      <c r="I34" s="168">
        <v>20</v>
      </c>
      <c r="J34" s="143">
        <v>8.4</v>
      </c>
      <c r="K34" s="143">
        <v>0.72413793103448276</v>
      </c>
      <c r="M34" s="168">
        <v>20</v>
      </c>
      <c r="N34" s="143">
        <v>10.8</v>
      </c>
      <c r="O34" s="143">
        <v>0.93103448275862077</v>
      </c>
      <c r="Q34" s="168">
        <v>20</v>
      </c>
      <c r="R34" s="143">
        <v>11.6</v>
      </c>
      <c r="S34" s="143">
        <v>1</v>
      </c>
      <c r="U34" s="139">
        <v>1</v>
      </c>
      <c r="V34" s="149">
        <v>1.1000000000000001</v>
      </c>
      <c r="W34" s="143">
        <v>0.6</v>
      </c>
      <c r="X34" s="143">
        <v>0.08</v>
      </c>
    </row>
    <row r="35" spans="1:24" x14ac:dyDescent="0.25">
      <c r="A35" s="168">
        <v>24</v>
      </c>
      <c r="B35" s="169">
        <v>8.4</v>
      </c>
      <c r="C35" s="143">
        <v>0.52830188679245282</v>
      </c>
      <c r="E35" s="168">
        <v>24</v>
      </c>
      <c r="F35" s="169">
        <v>9.6</v>
      </c>
      <c r="G35" s="143">
        <v>0.60377358490566035</v>
      </c>
      <c r="I35" s="168">
        <v>24</v>
      </c>
      <c r="J35" s="169">
        <v>11.8</v>
      </c>
      <c r="K35" s="143">
        <v>0.74213836477987427</v>
      </c>
      <c r="M35" s="168">
        <v>24</v>
      </c>
      <c r="N35" s="169">
        <v>13.2</v>
      </c>
      <c r="O35" s="143">
        <v>0.83018867924528295</v>
      </c>
      <c r="Q35" s="168">
        <v>24</v>
      </c>
      <c r="R35" s="169">
        <v>15.9</v>
      </c>
      <c r="S35" s="143">
        <v>1</v>
      </c>
      <c r="U35" s="142">
        <v>2</v>
      </c>
      <c r="V35" s="142">
        <v>1.6</v>
      </c>
      <c r="W35" s="143">
        <v>0.66</v>
      </c>
      <c r="X35" s="143">
        <v>0.05</v>
      </c>
    </row>
    <row r="36" spans="1:24" x14ac:dyDescent="0.25">
      <c r="A36" s="168">
        <v>25</v>
      </c>
      <c r="B36" s="169">
        <v>9.1999999999999993</v>
      </c>
      <c r="C36" s="143">
        <v>0.69696969696969691</v>
      </c>
      <c r="E36" s="168">
        <v>25</v>
      </c>
      <c r="F36" s="169">
        <v>8.5</v>
      </c>
      <c r="G36" s="143">
        <v>0.64393939393939392</v>
      </c>
      <c r="I36" s="168">
        <v>25</v>
      </c>
      <c r="J36" s="169">
        <v>9.1</v>
      </c>
      <c r="K36" s="143">
        <v>0.68939393939393945</v>
      </c>
      <c r="M36" s="168">
        <v>25</v>
      </c>
      <c r="N36" s="169">
        <v>10.7</v>
      </c>
      <c r="O36" s="143">
        <v>0.81060606060606055</v>
      </c>
      <c r="Q36" s="168">
        <v>25</v>
      </c>
      <c r="R36" s="169">
        <v>13.2</v>
      </c>
      <c r="S36" s="143">
        <v>1</v>
      </c>
      <c r="U36" s="142">
        <v>3</v>
      </c>
      <c r="V36" s="150">
        <v>2.1</v>
      </c>
      <c r="W36" s="175">
        <v>0.73</v>
      </c>
      <c r="X36" s="175">
        <v>0.03</v>
      </c>
    </row>
    <row r="37" spans="1:24" x14ac:dyDescent="0.25">
      <c r="A37" s="170">
        <v>31</v>
      </c>
      <c r="B37" s="171">
        <v>3.5</v>
      </c>
      <c r="C37" s="145">
        <v>0.53846153846153844</v>
      </c>
      <c r="E37" s="170">
        <v>31</v>
      </c>
      <c r="F37" s="171">
        <v>4.3</v>
      </c>
      <c r="G37" s="145">
        <v>0.66153846153846152</v>
      </c>
      <c r="I37" s="170">
        <v>31</v>
      </c>
      <c r="J37" s="171">
        <v>5</v>
      </c>
      <c r="K37" s="145">
        <v>0.76923076923076927</v>
      </c>
      <c r="M37" s="170">
        <v>31</v>
      </c>
      <c r="N37" s="171">
        <v>5.7</v>
      </c>
      <c r="O37" s="145">
        <v>0.87692307692307692</v>
      </c>
      <c r="Q37" s="170">
        <v>31</v>
      </c>
      <c r="R37" s="171">
        <v>6.5</v>
      </c>
      <c r="S37" s="145">
        <v>1</v>
      </c>
      <c r="U37" s="142">
        <v>4</v>
      </c>
      <c r="V37" s="142">
        <v>2.7</v>
      </c>
      <c r="W37" s="175">
        <v>0.86</v>
      </c>
      <c r="X37" s="175">
        <v>0.05</v>
      </c>
    </row>
    <row r="38" spans="1:24" x14ac:dyDescent="0.25">
      <c r="A38" s="151" t="s">
        <v>94</v>
      </c>
      <c r="B38" s="172">
        <f>AVERAGE(B34:B37)</f>
        <v>7.125</v>
      </c>
      <c r="C38" s="173">
        <f>AVERAGE(C34:C37)</f>
        <v>0.60041603917661168</v>
      </c>
      <c r="E38" s="151" t="s">
        <v>94</v>
      </c>
      <c r="F38" s="172">
        <f>AVERAGE(F34:F37)</f>
        <v>7.6749999999999998</v>
      </c>
      <c r="G38" s="173">
        <f>AVERAGE(G34:G37)</f>
        <v>0.65619217044070655</v>
      </c>
      <c r="I38" s="151" t="s">
        <v>94</v>
      </c>
      <c r="J38" s="172">
        <f>AVERAGE(J34:J37)</f>
        <v>8.5750000000000011</v>
      </c>
      <c r="K38" s="173">
        <f>AVERAGE(K34:K37)</f>
        <v>0.73122525110976644</v>
      </c>
      <c r="M38" s="151" t="s">
        <v>94</v>
      </c>
      <c r="N38" s="172">
        <f>AVERAGE(N34:N37)</f>
        <v>10.100000000000001</v>
      </c>
      <c r="O38" s="173">
        <f>AVERAGE(O34:O37)</f>
        <v>0.86218807488326032</v>
      </c>
      <c r="Q38" s="151" t="s">
        <v>94</v>
      </c>
      <c r="R38" s="172">
        <f>AVERAGE(R34:R37)</f>
        <v>11.8</v>
      </c>
      <c r="S38" s="173">
        <f>AVERAGE(S34:S37)</f>
        <v>1</v>
      </c>
      <c r="U38" s="144">
        <v>5</v>
      </c>
      <c r="V38" s="144">
        <v>3.5</v>
      </c>
      <c r="W38" s="176">
        <v>1</v>
      </c>
      <c r="X38" s="176">
        <v>0</v>
      </c>
    </row>
    <row r="39" spans="1:24" x14ac:dyDescent="0.25">
      <c r="A39" s="151" t="s">
        <v>175</v>
      </c>
      <c r="B39" s="173">
        <f>_xlfn.STDEV.S(B34:B37)</f>
        <v>2.5263610193319548</v>
      </c>
      <c r="C39" s="174">
        <f>_xlfn.STDEV.S(C34:C37)</f>
        <v>8.1176340639754124E-2</v>
      </c>
      <c r="E39" s="151" t="s">
        <v>175</v>
      </c>
      <c r="F39" s="173">
        <f>_xlfn.STDEV.S(F34:F37)</f>
        <v>2.3214578752729227</v>
      </c>
      <c r="G39" s="174">
        <f>_xlfn.STDEV.S(G34:G37)</f>
        <v>4.6353300895974975E-2</v>
      </c>
      <c r="I39" s="151" t="s">
        <v>175</v>
      </c>
      <c r="J39" s="173">
        <f>_xlfn.STDEV.S(J34:J37)</f>
        <v>2.7980648074457912</v>
      </c>
      <c r="K39" s="174">
        <f>_xlfn.STDEV.S(K34:K37)</f>
        <v>3.3484345612732593E-2</v>
      </c>
      <c r="M39" s="151" t="s">
        <v>175</v>
      </c>
      <c r="N39" s="173">
        <f>_xlfn.STDEV.S(N34:N37)</f>
        <v>3.1527765540868828</v>
      </c>
      <c r="O39" s="174">
        <f>_xlfn.STDEV.S(O34:O37)</f>
        <v>5.3670642752945613E-2</v>
      </c>
      <c r="Q39" s="151" t="s">
        <v>175</v>
      </c>
      <c r="R39" s="173">
        <f>_xlfn.STDEV.S(R34:R37)</f>
        <v>3.9539010272556552</v>
      </c>
      <c r="S39" s="174">
        <f>_xlfn.STDEV.S(S34:S37)</f>
        <v>0</v>
      </c>
    </row>
  </sheetData>
  <mergeCells count="24">
    <mergeCell ref="I2:K2"/>
    <mergeCell ref="M2:O2"/>
    <mergeCell ref="Q2:S2"/>
    <mergeCell ref="A12:C12"/>
    <mergeCell ref="E12:G12"/>
    <mergeCell ref="I12:K12"/>
    <mergeCell ref="M12:O12"/>
    <mergeCell ref="Q12:S12"/>
    <mergeCell ref="U2:X2"/>
    <mergeCell ref="U12:X12"/>
    <mergeCell ref="U22:X22"/>
    <mergeCell ref="U32:X32"/>
    <mergeCell ref="A22:C22"/>
    <mergeCell ref="E22:G22"/>
    <mergeCell ref="I22:K22"/>
    <mergeCell ref="M22:O22"/>
    <mergeCell ref="Q22:S22"/>
    <mergeCell ref="A32:C32"/>
    <mergeCell ref="E32:G32"/>
    <mergeCell ref="I32:K32"/>
    <mergeCell ref="M32:O32"/>
    <mergeCell ref="Q32:S32"/>
    <mergeCell ref="A2:C2"/>
    <mergeCell ref="E2:G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1A2FE-62E1-41EC-A26E-1FEEBE38F3D0}">
  <dimension ref="A1"/>
  <sheetViews>
    <sheetView workbookViewId="0">
      <selection activeCell="W16" sqref="W16"/>
    </sheetView>
  </sheetViews>
  <sheetFormatPr defaultRowHeight="15" x14ac:dyDescent="0.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7C24-54C6-4F32-88BD-0B5F0C53C73E}">
  <dimension ref="A1:M21"/>
  <sheetViews>
    <sheetView workbookViewId="0">
      <selection activeCell="P9" sqref="P9"/>
    </sheetView>
  </sheetViews>
  <sheetFormatPr defaultRowHeight="15" x14ac:dyDescent="0.25"/>
  <cols>
    <col min="1" max="1" width="12.85546875" bestFit="1" customWidth="1"/>
    <col min="5" max="5" width="12.85546875" bestFit="1" customWidth="1"/>
    <col min="9" max="9" width="12.85546875" bestFit="1" customWidth="1"/>
  </cols>
  <sheetData>
    <row r="1" spans="1:13" x14ac:dyDescent="0.25">
      <c r="A1" s="242" t="s">
        <v>135</v>
      </c>
      <c r="B1" s="253"/>
      <c r="C1" s="253"/>
      <c r="D1" s="253"/>
      <c r="E1" s="253"/>
      <c r="F1" s="253"/>
      <c r="G1" s="253"/>
    </row>
    <row r="2" spans="1:13" x14ac:dyDescent="0.25">
      <c r="A2" s="158"/>
      <c r="B2" s="158"/>
      <c r="C2" s="158"/>
      <c r="D2" s="158"/>
      <c r="E2" s="158"/>
      <c r="F2" s="158"/>
      <c r="G2" s="158"/>
    </row>
    <row r="3" spans="1:13" x14ac:dyDescent="0.25">
      <c r="A3" s="254" t="s">
        <v>136</v>
      </c>
      <c r="B3" s="254"/>
      <c r="C3" s="254"/>
      <c r="E3" s="254" t="s">
        <v>137</v>
      </c>
      <c r="F3" s="254"/>
      <c r="G3" s="254"/>
      <c r="I3" s="254" t="s">
        <v>138</v>
      </c>
      <c r="J3" s="254"/>
      <c r="K3" s="254"/>
      <c r="M3" t="s">
        <v>219</v>
      </c>
    </row>
    <row r="4" spans="1:13" x14ac:dyDescent="0.25">
      <c r="A4" s="139" t="s">
        <v>139</v>
      </c>
      <c r="B4" s="9" t="s">
        <v>140</v>
      </c>
      <c r="C4" s="9" t="s">
        <v>17</v>
      </c>
      <c r="E4" s="9" t="s">
        <v>139</v>
      </c>
      <c r="F4" s="9" t="s">
        <v>141</v>
      </c>
      <c r="G4" s="9" t="s">
        <v>17</v>
      </c>
      <c r="I4" s="9" t="s">
        <v>139</v>
      </c>
      <c r="J4" s="9" t="s">
        <v>141</v>
      </c>
      <c r="K4" s="9" t="s">
        <v>17</v>
      </c>
    </row>
    <row r="5" spans="1:13" x14ac:dyDescent="0.25">
      <c r="A5" s="139">
        <v>17</v>
      </c>
      <c r="B5" s="155">
        <v>5.0999999999999996</v>
      </c>
      <c r="C5" s="159">
        <v>45614</v>
      </c>
      <c r="E5" s="139">
        <v>17</v>
      </c>
      <c r="F5" s="139">
        <v>2.9</v>
      </c>
      <c r="G5" s="159">
        <v>45614</v>
      </c>
      <c r="I5" s="139">
        <v>17</v>
      </c>
      <c r="J5" s="139">
        <v>0</v>
      </c>
      <c r="K5" s="159">
        <v>45614</v>
      </c>
      <c r="M5">
        <f>B5+F5+J5</f>
        <v>8</v>
      </c>
    </row>
    <row r="6" spans="1:13" x14ac:dyDescent="0.25">
      <c r="A6" s="142">
        <v>18</v>
      </c>
      <c r="B6" s="156">
        <v>3.3</v>
      </c>
      <c r="C6" s="160"/>
      <c r="E6" s="142">
        <v>18</v>
      </c>
      <c r="F6" s="142">
        <v>1.9</v>
      </c>
      <c r="G6" s="160"/>
      <c r="I6" s="142">
        <v>18</v>
      </c>
      <c r="J6" s="142">
        <v>0</v>
      </c>
      <c r="K6" s="160"/>
      <c r="M6">
        <f t="shared" ref="M6:M21" si="0">B6+F6+J6</f>
        <v>5.1999999999999993</v>
      </c>
    </row>
    <row r="7" spans="1:13" x14ac:dyDescent="0.25">
      <c r="A7" s="142">
        <v>19</v>
      </c>
      <c r="B7" s="156">
        <v>1.9</v>
      </c>
      <c r="C7" s="160"/>
      <c r="E7" s="142">
        <v>19</v>
      </c>
      <c r="F7" s="142">
        <v>1.2</v>
      </c>
      <c r="G7" s="160"/>
      <c r="I7" s="142">
        <v>19</v>
      </c>
      <c r="J7" s="142">
        <v>0</v>
      </c>
      <c r="K7" s="160"/>
      <c r="M7">
        <f t="shared" si="0"/>
        <v>3.0999999999999996</v>
      </c>
    </row>
    <row r="8" spans="1:13" x14ac:dyDescent="0.25">
      <c r="A8" s="142">
        <v>20</v>
      </c>
      <c r="B8" s="156">
        <v>4.0999999999999996</v>
      </c>
      <c r="C8" s="160"/>
      <c r="E8" s="142">
        <v>20</v>
      </c>
      <c r="F8" s="142">
        <v>2.2000000000000002</v>
      </c>
      <c r="G8" s="160"/>
      <c r="I8" s="142">
        <v>20</v>
      </c>
      <c r="J8" s="142">
        <v>0.1</v>
      </c>
      <c r="K8" s="160"/>
      <c r="M8">
        <f t="shared" si="0"/>
        <v>6.3999999999999995</v>
      </c>
    </row>
    <row r="9" spans="1:13" x14ac:dyDescent="0.25">
      <c r="A9" s="142">
        <v>21</v>
      </c>
      <c r="B9" s="156">
        <v>3.7</v>
      </c>
      <c r="C9" s="160"/>
      <c r="E9" s="142">
        <v>21</v>
      </c>
      <c r="F9" s="142">
        <v>1.6</v>
      </c>
      <c r="G9" s="160"/>
      <c r="I9" s="142">
        <v>21</v>
      </c>
      <c r="J9" s="142">
        <v>0</v>
      </c>
      <c r="K9" s="160"/>
      <c r="M9">
        <f t="shared" si="0"/>
        <v>5.3000000000000007</v>
      </c>
    </row>
    <row r="10" spans="1:13" x14ac:dyDescent="0.25">
      <c r="A10" s="142">
        <v>22</v>
      </c>
      <c r="B10" s="156">
        <v>2.8</v>
      </c>
      <c r="C10" s="160"/>
      <c r="E10" s="142">
        <v>22</v>
      </c>
      <c r="F10" s="142">
        <v>1.5</v>
      </c>
      <c r="G10" s="160"/>
      <c r="I10" s="142">
        <v>22</v>
      </c>
      <c r="J10" s="142">
        <v>0</v>
      </c>
      <c r="K10" s="160"/>
      <c r="M10">
        <f t="shared" si="0"/>
        <v>4.3</v>
      </c>
    </row>
    <row r="11" spans="1:13" x14ac:dyDescent="0.25">
      <c r="A11" s="142">
        <v>23</v>
      </c>
      <c r="B11" s="156">
        <v>5</v>
      </c>
      <c r="C11" s="160"/>
      <c r="E11" s="142">
        <v>23</v>
      </c>
      <c r="F11" s="142">
        <v>3</v>
      </c>
      <c r="G11" s="160"/>
      <c r="I11" s="142">
        <v>23</v>
      </c>
      <c r="J11" s="142">
        <v>0</v>
      </c>
      <c r="K11" s="160"/>
      <c r="M11">
        <f t="shared" si="0"/>
        <v>8</v>
      </c>
    </row>
    <row r="12" spans="1:13" x14ac:dyDescent="0.25">
      <c r="A12" s="142">
        <v>24</v>
      </c>
      <c r="B12" s="156">
        <v>5.4</v>
      </c>
      <c r="C12" s="160"/>
      <c r="E12" s="142">
        <v>24</v>
      </c>
      <c r="F12" s="142">
        <v>2.6</v>
      </c>
      <c r="G12" s="160"/>
      <c r="I12" s="142">
        <v>24</v>
      </c>
      <c r="J12" s="142">
        <v>0.2</v>
      </c>
      <c r="K12" s="160"/>
      <c r="M12">
        <f t="shared" si="0"/>
        <v>8.1999999999999993</v>
      </c>
    </row>
    <row r="13" spans="1:13" x14ac:dyDescent="0.25">
      <c r="A13" s="142">
        <v>25</v>
      </c>
      <c r="B13" s="156">
        <v>5.7</v>
      </c>
      <c r="C13" s="160"/>
      <c r="E13" s="142">
        <v>25</v>
      </c>
      <c r="F13" s="142">
        <v>2.9</v>
      </c>
      <c r="G13" s="160"/>
      <c r="I13" s="142">
        <v>25</v>
      </c>
      <c r="J13" s="142">
        <v>0.2</v>
      </c>
      <c r="K13" s="160"/>
      <c r="M13">
        <f t="shared" si="0"/>
        <v>8.7999999999999989</v>
      </c>
    </row>
    <row r="14" spans="1:13" x14ac:dyDescent="0.25">
      <c r="A14" s="142">
        <v>26</v>
      </c>
      <c r="B14" s="156">
        <v>3.4</v>
      </c>
      <c r="C14" s="160"/>
      <c r="E14" s="142">
        <v>26</v>
      </c>
      <c r="F14" s="142">
        <v>1.6</v>
      </c>
      <c r="G14" s="160"/>
      <c r="I14" s="142">
        <v>26</v>
      </c>
      <c r="J14" s="142">
        <v>0</v>
      </c>
      <c r="K14" s="160"/>
      <c r="M14">
        <f t="shared" si="0"/>
        <v>5</v>
      </c>
    </row>
    <row r="15" spans="1:13" x14ac:dyDescent="0.25">
      <c r="A15" s="162">
        <v>27</v>
      </c>
      <c r="B15" s="163"/>
      <c r="C15" s="164"/>
      <c r="E15" s="162">
        <v>27</v>
      </c>
      <c r="F15" s="162"/>
      <c r="G15" s="164"/>
      <c r="I15" s="162">
        <v>27</v>
      </c>
      <c r="J15" s="162"/>
      <c r="K15" s="164"/>
      <c r="M15">
        <f t="shared" si="0"/>
        <v>0</v>
      </c>
    </row>
    <row r="16" spans="1:13" x14ac:dyDescent="0.25">
      <c r="A16" s="142">
        <v>28</v>
      </c>
      <c r="B16" s="156">
        <v>5.4</v>
      </c>
      <c r="C16" s="160"/>
      <c r="E16" s="142">
        <v>28</v>
      </c>
      <c r="F16" s="156">
        <v>2.8</v>
      </c>
      <c r="G16" s="160"/>
      <c r="I16" s="142">
        <v>28</v>
      </c>
      <c r="J16" s="142">
        <v>0</v>
      </c>
      <c r="K16" s="160"/>
      <c r="M16">
        <f t="shared" si="0"/>
        <v>8.1999999999999993</v>
      </c>
    </row>
    <row r="17" spans="1:13" x14ac:dyDescent="0.25">
      <c r="A17" s="162">
        <v>29</v>
      </c>
      <c r="B17" s="163"/>
      <c r="C17" s="164"/>
      <c r="E17" s="162">
        <v>29</v>
      </c>
      <c r="F17" s="162"/>
      <c r="G17" s="164"/>
      <c r="I17" s="162">
        <v>29</v>
      </c>
      <c r="J17" s="162"/>
      <c r="K17" s="164"/>
      <c r="M17">
        <f t="shared" si="0"/>
        <v>0</v>
      </c>
    </row>
    <row r="18" spans="1:13" x14ac:dyDescent="0.25">
      <c r="A18" s="142">
        <v>30</v>
      </c>
      <c r="B18" s="156">
        <v>3.1</v>
      </c>
      <c r="C18" s="160"/>
      <c r="E18" s="142">
        <v>30</v>
      </c>
      <c r="F18" s="142">
        <v>1.7</v>
      </c>
      <c r="G18" s="160"/>
      <c r="I18" s="142">
        <v>30</v>
      </c>
      <c r="J18" s="142">
        <v>0</v>
      </c>
      <c r="K18" s="160"/>
      <c r="M18">
        <f t="shared" si="0"/>
        <v>4.8</v>
      </c>
    </row>
    <row r="19" spans="1:13" x14ac:dyDescent="0.25">
      <c r="A19" s="142">
        <v>31</v>
      </c>
      <c r="B19" s="156">
        <v>2</v>
      </c>
      <c r="C19" s="160"/>
      <c r="E19" s="142">
        <v>31</v>
      </c>
      <c r="F19" s="142">
        <v>1.2</v>
      </c>
      <c r="G19" s="160"/>
      <c r="I19" s="142">
        <v>31</v>
      </c>
      <c r="J19" s="142">
        <v>0</v>
      </c>
      <c r="K19" s="160"/>
      <c r="M19">
        <f t="shared" si="0"/>
        <v>3.2</v>
      </c>
    </row>
    <row r="20" spans="1:13" x14ac:dyDescent="0.25">
      <c r="A20" s="144">
        <v>32</v>
      </c>
      <c r="B20" s="157">
        <v>3.1</v>
      </c>
      <c r="C20" s="161"/>
      <c r="E20" s="144">
        <v>32</v>
      </c>
      <c r="F20" s="144">
        <v>1.2</v>
      </c>
      <c r="G20" s="161"/>
      <c r="I20" s="144">
        <v>32</v>
      </c>
      <c r="J20" s="144">
        <v>0</v>
      </c>
      <c r="K20" s="161"/>
      <c r="M20">
        <f t="shared" si="0"/>
        <v>4.3</v>
      </c>
    </row>
    <row r="21" spans="1:13" x14ac:dyDescent="0.25">
      <c r="A21" s="253"/>
      <c r="B21" s="255"/>
      <c r="C21" s="255"/>
      <c r="E21" s="255"/>
      <c r="F21" s="255"/>
      <c r="G21" s="255"/>
      <c r="I21" s="255"/>
      <c r="J21" s="255"/>
      <c r="K21" s="255"/>
      <c r="M21">
        <f t="shared" si="0"/>
        <v>0</v>
      </c>
    </row>
  </sheetData>
  <mergeCells count="7">
    <mergeCell ref="A1:G1"/>
    <mergeCell ref="A3:C3"/>
    <mergeCell ref="E3:G3"/>
    <mergeCell ref="I3:K3"/>
    <mergeCell ref="A21:C21"/>
    <mergeCell ref="E21:G21"/>
    <mergeCell ref="I21:K2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3A9D-1944-4855-98C5-2EBA898130B7}">
  <dimension ref="A1:R113"/>
  <sheetViews>
    <sheetView workbookViewId="0">
      <selection activeCell="L2" sqref="L2"/>
    </sheetView>
  </sheetViews>
  <sheetFormatPr defaultRowHeight="15" x14ac:dyDescent="0.25"/>
  <cols>
    <col min="2" max="2" width="14.7109375" bestFit="1" customWidth="1"/>
    <col min="4" max="4" width="9.85546875" bestFit="1" customWidth="1"/>
    <col min="6" max="6" width="17.42578125" bestFit="1" customWidth="1"/>
    <col min="7" max="7" width="17.85546875" bestFit="1" customWidth="1"/>
    <col min="8" max="8" width="13.7109375" bestFit="1" customWidth="1"/>
    <col min="9" max="9" width="18.28515625" bestFit="1" customWidth="1"/>
    <col min="10" max="10" width="13.7109375" bestFit="1" customWidth="1"/>
    <col min="12" max="12" width="9.85546875" bestFit="1" customWidth="1"/>
    <col min="13" max="13" width="9" customWidth="1"/>
    <col min="14" max="14" width="17.42578125" bestFit="1" customWidth="1"/>
    <col min="15" max="15" width="17.85546875" bestFit="1" customWidth="1"/>
    <col min="16" max="16" width="13.7109375" bestFit="1" customWidth="1"/>
    <col min="17" max="17" width="18.28515625" bestFit="1" customWidth="1"/>
    <col min="18" max="18" width="13.7109375" bestFit="1" customWidth="1"/>
  </cols>
  <sheetData>
    <row r="1" spans="1:18" x14ac:dyDescent="0.25">
      <c r="D1" s="256" t="s">
        <v>276</v>
      </c>
      <c r="E1" s="256"/>
      <c r="F1" s="256"/>
      <c r="G1" s="256"/>
      <c r="H1" s="256"/>
      <c r="I1" s="256"/>
      <c r="J1" s="256"/>
    </row>
    <row r="3" spans="1:18" x14ac:dyDescent="0.25">
      <c r="A3" s="258" t="s">
        <v>153</v>
      </c>
      <c r="B3" s="258"/>
      <c r="D3" s="257" t="s">
        <v>159</v>
      </c>
      <c r="E3" s="257"/>
      <c r="F3" s="257"/>
      <c r="G3" s="257"/>
      <c r="H3" s="257"/>
      <c r="I3" s="257"/>
      <c r="J3" s="257"/>
      <c r="L3" s="257" t="s">
        <v>160</v>
      </c>
      <c r="M3" s="257"/>
      <c r="N3" s="257"/>
      <c r="O3" s="257"/>
      <c r="P3" s="257"/>
      <c r="Q3" s="257"/>
      <c r="R3" s="257"/>
    </row>
    <row r="4" spans="1:18" x14ac:dyDescent="0.25">
      <c r="A4" s="12" t="s">
        <v>97</v>
      </c>
      <c r="B4" s="12" t="s">
        <v>154</v>
      </c>
      <c r="D4" s="9" t="s">
        <v>74</v>
      </c>
      <c r="E4" s="139" t="s">
        <v>79</v>
      </c>
      <c r="F4" s="139" t="s">
        <v>129</v>
      </c>
      <c r="G4" s="9" t="s">
        <v>155</v>
      </c>
      <c r="H4" s="9" t="s">
        <v>156</v>
      </c>
      <c r="I4" s="9" t="s">
        <v>225</v>
      </c>
      <c r="J4" s="9" t="s">
        <v>158</v>
      </c>
      <c r="L4" s="9" t="s">
        <v>74</v>
      </c>
      <c r="M4" s="139" t="s">
        <v>79</v>
      </c>
      <c r="N4" s="139" t="s">
        <v>129</v>
      </c>
      <c r="O4" s="9" t="s">
        <v>155</v>
      </c>
      <c r="P4" s="9" t="s">
        <v>156</v>
      </c>
      <c r="Q4" s="9" t="s">
        <v>157</v>
      </c>
      <c r="R4" s="9" t="s">
        <v>158</v>
      </c>
    </row>
    <row r="5" spans="1:18" x14ac:dyDescent="0.25">
      <c r="A5" s="12">
        <v>17</v>
      </c>
      <c r="B5" s="12">
        <v>1407.8</v>
      </c>
      <c r="D5" s="12">
        <v>1</v>
      </c>
      <c r="E5" s="167">
        <v>1.1000000000000001</v>
      </c>
      <c r="F5" s="165">
        <v>12.700000000000273</v>
      </c>
      <c r="G5" s="15">
        <f>F5*1000</f>
        <v>12700.000000000273</v>
      </c>
      <c r="H5" s="12">
        <f>B5/10000</f>
        <v>0.14077999999999999</v>
      </c>
      <c r="I5" s="15">
        <f>G5/H5</f>
        <v>90211.677795143303</v>
      </c>
      <c r="J5" s="15">
        <f>I5/2100</f>
        <v>42.9579418072111</v>
      </c>
      <c r="L5" s="12">
        <v>1</v>
      </c>
      <c r="M5" s="167">
        <v>1.1000000000000001</v>
      </c>
      <c r="N5" s="165">
        <v>7.4</v>
      </c>
      <c r="O5" s="15">
        <f>N5*1000</f>
        <v>7400</v>
      </c>
      <c r="P5" s="12">
        <f>B5/10000</f>
        <v>0.14077999999999999</v>
      </c>
      <c r="Q5" s="15">
        <f>O5/P5</f>
        <v>52564.284699531185</v>
      </c>
      <c r="R5" s="15">
        <f>Q5/2100</f>
        <v>25.030611761681516</v>
      </c>
    </row>
    <row r="6" spans="1:18" x14ac:dyDescent="0.25">
      <c r="A6" s="12">
        <v>18</v>
      </c>
      <c r="B6" s="12">
        <v>1031.82</v>
      </c>
      <c r="D6" s="12">
        <v>2</v>
      </c>
      <c r="E6" s="12">
        <v>1.6</v>
      </c>
      <c r="F6" s="15">
        <v>19.5</v>
      </c>
      <c r="G6" s="15">
        <f t="shared" ref="G6:G9" si="0">F6*1000</f>
        <v>19500</v>
      </c>
      <c r="H6" s="12">
        <v>0.14077999999999999</v>
      </c>
      <c r="I6" s="15">
        <f t="shared" ref="I6:I9" si="1">G6/H6</f>
        <v>138513.99346498083</v>
      </c>
      <c r="J6" s="15">
        <f>I6/4560</f>
        <v>30.375875759864215</v>
      </c>
      <c r="L6" s="12">
        <v>2</v>
      </c>
      <c r="M6" s="12">
        <v>1.6</v>
      </c>
      <c r="N6" s="15">
        <v>11.6</v>
      </c>
      <c r="O6" s="15">
        <f t="shared" ref="O6:O9" si="2">N6*1000</f>
        <v>11600</v>
      </c>
      <c r="P6" s="12">
        <v>0.14077999999999999</v>
      </c>
      <c r="Q6" s="15">
        <f t="shared" ref="Q6:Q9" si="3">O6/P6</f>
        <v>82398.067907373217</v>
      </c>
      <c r="R6" s="15">
        <f t="shared" ref="R6:R9" si="4">Q6/2100</f>
        <v>39.237175193987248</v>
      </c>
    </row>
    <row r="7" spans="1:18" x14ac:dyDescent="0.25">
      <c r="A7" s="12">
        <v>19</v>
      </c>
      <c r="B7" s="12">
        <v>662.24</v>
      </c>
      <c r="D7" s="12">
        <v>3</v>
      </c>
      <c r="E7" s="166">
        <v>2.1</v>
      </c>
      <c r="F7" s="15">
        <v>12.799999999999727</v>
      </c>
      <c r="G7" s="15">
        <f t="shared" si="0"/>
        <v>12799.999999999727</v>
      </c>
      <c r="H7" s="12">
        <v>0.14077999999999999</v>
      </c>
      <c r="I7" s="15">
        <f t="shared" si="1"/>
        <v>90922.005966754718</v>
      </c>
      <c r="J7" s="15">
        <f>I7/3060</f>
        <v>29.713073845344677</v>
      </c>
      <c r="L7" s="12">
        <v>3</v>
      </c>
      <c r="M7" s="166">
        <v>2.1</v>
      </c>
      <c r="N7" s="15">
        <v>12.3</v>
      </c>
      <c r="O7" s="15">
        <f t="shared" si="2"/>
        <v>12300</v>
      </c>
      <c r="P7" s="12">
        <v>0.14077999999999999</v>
      </c>
      <c r="Q7" s="15">
        <f t="shared" si="3"/>
        <v>87370.365108680213</v>
      </c>
      <c r="R7" s="15">
        <f t="shared" si="4"/>
        <v>41.604935766038196</v>
      </c>
    </row>
    <row r="8" spans="1:18" x14ac:dyDescent="0.25">
      <c r="A8" s="12">
        <v>20</v>
      </c>
      <c r="B8" s="12">
        <v>897.4</v>
      </c>
      <c r="D8" s="12">
        <v>4</v>
      </c>
      <c r="E8" s="12">
        <v>2.7</v>
      </c>
      <c r="F8" s="15">
        <v>33.300000000000182</v>
      </c>
      <c r="G8" s="15">
        <f t="shared" si="0"/>
        <v>33300.000000000182</v>
      </c>
      <c r="H8" s="12">
        <v>0.14077999999999999</v>
      </c>
      <c r="I8" s="15">
        <f t="shared" si="1"/>
        <v>236539.28114789163</v>
      </c>
      <c r="J8" s="15">
        <f>I8/6060</f>
        <v>39.032884677869909</v>
      </c>
      <c r="L8" s="12">
        <v>4</v>
      </c>
      <c r="M8" s="12">
        <v>2.7</v>
      </c>
      <c r="N8" s="15">
        <v>14.2</v>
      </c>
      <c r="O8" s="15">
        <f t="shared" si="2"/>
        <v>14200</v>
      </c>
      <c r="P8" s="12">
        <v>0.14077999999999999</v>
      </c>
      <c r="Q8" s="15">
        <f t="shared" si="3"/>
        <v>100866.60036937066</v>
      </c>
      <c r="R8" s="15">
        <f t="shared" si="4"/>
        <v>48.031714461605077</v>
      </c>
    </row>
    <row r="9" spans="1:18" x14ac:dyDescent="0.25">
      <c r="A9" s="12">
        <v>21</v>
      </c>
      <c r="B9" s="12">
        <v>1037.69</v>
      </c>
      <c r="D9" s="12">
        <v>5</v>
      </c>
      <c r="E9" s="12">
        <v>3.5</v>
      </c>
      <c r="F9" s="15">
        <v>25</v>
      </c>
      <c r="G9" s="15">
        <f t="shared" si="0"/>
        <v>25000</v>
      </c>
      <c r="H9" s="12">
        <v>0.14077999999999999</v>
      </c>
      <c r="I9" s="15">
        <f t="shared" si="1"/>
        <v>177582.04290382157</v>
      </c>
      <c r="J9" s="15">
        <f>I9/3120</f>
        <v>56.917321443532551</v>
      </c>
      <c r="L9" s="12">
        <v>5</v>
      </c>
      <c r="M9" s="12">
        <v>3.5</v>
      </c>
      <c r="N9" s="15">
        <v>15.9</v>
      </c>
      <c r="O9" s="15">
        <f t="shared" si="2"/>
        <v>15900</v>
      </c>
      <c r="P9" s="12">
        <v>0.14077999999999999</v>
      </c>
      <c r="Q9" s="15">
        <f t="shared" si="3"/>
        <v>112942.17928683052</v>
      </c>
      <c r="R9" s="15">
        <f t="shared" si="4"/>
        <v>53.781990136585961</v>
      </c>
    </row>
    <row r="10" spans="1:18" x14ac:dyDescent="0.25">
      <c r="A10" s="12">
        <v>22</v>
      </c>
      <c r="B10" s="12">
        <v>811.96</v>
      </c>
      <c r="D10" s="12"/>
      <c r="E10" s="12"/>
      <c r="F10" s="15"/>
      <c r="G10" s="15"/>
      <c r="H10" s="12"/>
      <c r="I10" s="15"/>
      <c r="J10" s="15"/>
      <c r="L10" s="12"/>
      <c r="M10" s="15"/>
      <c r="N10" s="15"/>
      <c r="O10" s="15"/>
      <c r="P10" s="12"/>
      <c r="Q10" s="15"/>
      <c r="R10" s="15"/>
    </row>
    <row r="11" spans="1:18" x14ac:dyDescent="0.25">
      <c r="A11" s="12">
        <v>23</v>
      </c>
      <c r="B11" s="12">
        <v>1396.57</v>
      </c>
      <c r="D11" s="257" t="s">
        <v>226</v>
      </c>
      <c r="E11" s="257"/>
      <c r="F11" s="257"/>
      <c r="G11" s="257"/>
      <c r="H11" s="257"/>
      <c r="I11" s="257"/>
      <c r="J11" s="257"/>
      <c r="L11" s="257" t="s">
        <v>161</v>
      </c>
      <c r="M11" s="257"/>
      <c r="N11" s="257"/>
      <c r="O11" s="257"/>
      <c r="P11" s="257"/>
      <c r="Q11" s="257"/>
      <c r="R11" s="257"/>
    </row>
    <row r="12" spans="1:18" x14ac:dyDescent="0.25">
      <c r="A12" s="12">
        <v>24</v>
      </c>
      <c r="B12" s="12">
        <v>1311.55</v>
      </c>
      <c r="D12" s="9" t="s">
        <v>74</v>
      </c>
      <c r="E12" s="139" t="s">
        <v>79</v>
      </c>
      <c r="F12" s="139" t="s">
        <v>129</v>
      </c>
      <c r="G12" s="9" t="s">
        <v>155</v>
      </c>
      <c r="H12" s="9" t="s">
        <v>156</v>
      </c>
      <c r="I12" s="9" t="s">
        <v>225</v>
      </c>
      <c r="J12" s="9" t="s">
        <v>158</v>
      </c>
      <c r="L12" s="9" t="s">
        <v>74</v>
      </c>
      <c r="M12" s="139" t="s">
        <v>79</v>
      </c>
      <c r="N12" s="139" t="s">
        <v>129</v>
      </c>
      <c r="O12" s="9" t="s">
        <v>155</v>
      </c>
      <c r="P12" s="9" t="s">
        <v>156</v>
      </c>
      <c r="Q12" s="9" t="s">
        <v>157</v>
      </c>
      <c r="R12" s="9" t="s">
        <v>158</v>
      </c>
    </row>
    <row r="13" spans="1:18" x14ac:dyDescent="0.25">
      <c r="A13" s="12">
        <v>25</v>
      </c>
      <c r="B13" s="12">
        <v>1160.77</v>
      </c>
      <c r="D13" s="12">
        <v>1</v>
      </c>
      <c r="E13" s="167">
        <v>1.1000000000000001</v>
      </c>
      <c r="F13" s="165">
        <v>10.400000000000091</v>
      </c>
      <c r="G13" s="15">
        <f>F13*1000</f>
        <v>10400.000000000091</v>
      </c>
      <c r="H13" s="12">
        <f>B6/10000</f>
        <v>0.103182</v>
      </c>
      <c r="I13" s="15">
        <f>G13/H13</f>
        <v>100792.77393343889</v>
      </c>
      <c r="J13" s="15">
        <f>I13/2100</f>
        <v>47.996559015923282</v>
      </c>
      <c r="L13" s="12">
        <v>1</v>
      </c>
      <c r="M13" s="167">
        <v>1.1000000000000001</v>
      </c>
      <c r="N13" s="165">
        <v>7.9</v>
      </c>
      <c r="O13" s="15">
        <f>N13*1000</f>
        <v>7900</v>
      </c>
      <c r="P13" s="12">
        <f>B6/10000</f>
        <v>0.103182</v>
      </c>
      <c r="Q13" s="15">
        <f>O13/P13</f>
        <v>76563.741737900025</v>
      </c>
      <c r="R13" s="15">
        <f>Q13/2100</f>
        <v>36.458924637095251</v>
      </c>
    </row>
    <row r="14" spans="1:18" x14ac:dyDescent="0.25">
      <c r="A14" s="12">
        <v>26</v>
      </c>
      <c r="B14" s="12">
        <v>1010.55</v>
      </c>
      <c r="D14" s="12">
        <v>2</v>
      </c>
      <c r="E14" s="12">
        <v>1.6</v>
      </c>
      <c r="F14" s="15">
        <v>15.900000000000091</v>
      </c>
      <c r="G14" s="15">
        <f t="shared" ref="G14:G17" si="5">F14*1000</f>
        <v>15900.000000000091</v>
      </c>
      <c r="H14" s="12">
        <v>0.103182</v>
      </c>
      <c r="I14" s="15">
        <f t="shared" ref="I14:I17" si="6">G14/H14</f>
        <v>154096.64476362246</v>
      </c>
      <c r="J14" s="15">
        <f>I14/4560</f>
        <v>33.793123851671595</v>
      </c>
      <c r="L14" s="12">
        <v>2</v>
      </c>
      <c r="M14" s="12">
        <v>1.6</v>
      </c>
      <c r="N14" s="15">
        <v>9.1</v>
      </c>
      <c r="O14" s="15">
        <f t="shared" ref="O14:O17" si="7">N14*1000</f>
        <v>9100</v>
      </c>
      <c r="P14" s="12">
        <v>0.103182</v>
      </c>
      <c r="Q14" s="15">
        <f t="shared" ref="Q14:Q17" si="8">O14/P14</f>
        <v>88193.677191758252</v>
      </c>
      <c r="R14" s="15">
        <f t="shared" ref="R14:R17" si="9">Q14/2100</f>
        <v>41.996989138932499</v>
      </c>
    </row>
    <row r="15" spans="1:18" x14ac:dyDescent="0.25">
      <c r="A15" s="12">
        <v>27</v>
      </c>
      <c r="B15" s="12"/>
      <c r="D15" s="12">
        <v>3</v>
      </c>
      <c r="E15" s="166">
        <v>2.1</v>
      </c>
      <c r="F15" s="15">
        <v>10.099999999999909</v>
      </c>
      <c r="G15" s="15">
        <f t="shared" si="5"/>
        <v>10099.999999999909</v>
      </c>
      <c r="H15" s="12">
        <v>0.103182</v>
      </c>
      <c r="I15" s="15">
        <f t="shared" si="6"/>
        <v>97885.290069972572</v>
      </c>
      <c r="J15" s="15">
        <f>I15/3060</f>
        <v>31.988656885611952</v>
      </c>
      <c r="L15" s="12">
        <v>3</v>
      </c>
      <c r="M15" s="166">
        <v>2.1</v>
      </c>
      <c r="N15" s="15">
        <v>11.2</v>
      </c>
      <c r="O15" s="15">
        <f t="shared" si="7"/>
        <v>11200</v>
      </c>
      <c r="P15" s="12">
        <v>0.103182</v>
      </c>
      <c r="Q15" s="15">
        <f t="shared" si="8"/>
        <v>108546.06423601016</v>
      </c>
      <c r="R15" s="15">
        <f t="shared" si="9"/>
        <v>51.688602017147694</v>
      </c>
    </row>
    <row r="16" spans="1:18" x14ac:dyDescent="0.25">
      <c r="A16" s="12">
        <v>28</v>
      </c>
      <c r="B16" s="12">
        <v>1322.64</v>
      </c>
      <c r="D16" s="12">
        <v>4</v>
      </c>
      <c r="E16" s="12">
        <v>2.7</v>
      </c>
      <c r="F16" s="15">
        <v>26.300000000000182</v>
      </c>
      <c r="G16" s="15">
        <f t="shared" si="5"/>
        <v>26300.000000000182</v>
      </c>
      <c r="H16" s="12">
        <v>0.103182</v>
      </c>
      <c r="I16" s="15">
        <f t="shared" si="6"/>
        <v>254889.41869706134</v>
      </c>
      <c r="J16" s="15">
        <f>I16/6060</f>
        <v>42.060960181033224</v>
      </c>
      <c r="L16" s="12">
        <v>4</v>
      </c>
      <c r="M16" s="12">
        <v>2.7</v>
      </c>
      <c r="N16" s="15">
        <v>12.3</v>
      </c>
      <c r="O16" s="15">
        <f t="shared" si="7"/>
        <v>12300</v>
      </c>
      <c r="P16" s="12">
        <v>0.103182</v>
      </c>
      <c r="Q16" s="15">
        <f t="shared" si="8"/>
        <v>119206.83840204688</v>
      </c>
      <c r="R16" s="15">
        <f t="shared" si="9"/>
        <v>56.765161143831847</v>
      </c>
    </row>
    <row r="17" spans="1:18" x14ac:dyDescent="0.25">
      <c r="A17" s="12">
        <v>29</v>
      </c>
      <c r="B17" s="12"/>
      <c r="D17" s="12">
        <v>5</v>
      </c>
      <c r="E17" s="12">
        <v>3.5</v>
      </c>
      <c r="F17" s="15">
        <v>19.900000000000091</v>
      </c>
      <c r="G17" s="15">
        <f t="shared" si="5"/>
        <v>19900.000000000091</v>
      </c>
      <c r="H17" s="12">
        <v>0.103182</v>
      </c>
      <c r="I17" s="15">
        <f t="shared" si="6"/>
        <v>192863.09627648321</v>
      </c>
      <c r="J17" s="15">
        <f>I17/3120</f>
        <v>61.815094960411287</v>
      </c>
      <c r="L17" s="12">
        <v>5</v>
      </c>
      <c r="M17" s="12">
        <v>3.5</v>
      </c>
      <c r="N17" s="15">
        <v>12.3</v>
      </c>
      <c r="O17" s="15">
        <f t="shared" si="7"/>
        <v>12300</v>
      </c>
      <c r="P17" s="12">
        <v>0.103182</v>
      </c>
      <c r="Q17" s="15">
        <f t="shared" si="8"/>
        <v>119206.83840204688</v>
      </c>
      <c r="R17" s="15">
        <f t="shared" si="9"/>
        <v>56.765161143831847</v>
      </c>
    </row>
    <row r="18" spans="1:18" x14ac:dyDescent="0.25">
      <c r="A18" s="12">
        <v>30</v>
      </c>
      <c r="B18" s="12">
        <v>1019.76</v>
      </c>
    </row>
    <row r="19" spans="1:18" x14ac:dyDescent="0.25">
      <c r="A19" s="12">
        <v>31</v>
      </c>
      <c r="B19" s="12">
        <v>475.74</v>
      </c>
      <c r="D19" s="257" t="s">
        <v>227</v>
      </c>
      <c r="E19" s="257"/>
      <c r="F19" s="257"/>
      <c r="G19" s="257"/>
      <c r="H19" s="257"/>
      <c r="I19" s="257"/>
      <c r="J19" s="257"/>
      <c r="L19" s="257" t="s">
        <v>162</v>
      </c>
      <c r="M19" s="257"/>
      <c r="N19" s="257"/>
      <c r="O19" s="257"/>
      <c r="P19" s="257"/>
      <c r="Q19" s="257"/>
      <c r="R19" s="257"/>
    </row>
    <row r="20" spans="1:18" x14ac:dyDescent="0.25">
      <c r="A20" s="12">
        <v>32</v>
      </c>
      <c r="B20" s="12">
        <v>942.08</v>
      </c>
      <c r="D20" s="9" t="s">
        <v>74</v>
      </c>
      <c r="E20" s="139" t="s">
        <v>79</v>
      </c>
      <c r="F20" s="139" t="s">
        <v>129</v>
      </c>
      <c r="G20" s="9" t="s">
        <v>155</v>
      </c>
      <c r="H20" s="9" t="s">
        <v>156</v>
      </c>
      <c r="I20" s="9" t="s">
        <v>225</v>
      </c>
      <c r="J20" s="9" t="s">
        <v>158</v>
      </c>
      <c r="L20" s="9" t="s">
        <v>74</v>
      </c>
      <c r="M20" s="139" t="s">
        <v>79</v>
      </c>
      <c r="N20" s="139" t="s">
        <v>129</v>
      </c>
      <c r="O20" s="9" t="s">
        <v>155</v>
      </c>
      <c r="P20" s="9" t="s">
        <v>156</v>
      </c>
      <c r="Q20" s="9" t="s">
        <v>157</v>
      </c>
      <c r="R20" s="9" t="s">
        <v>158</v>
      </c>
    </row>
    <row r="21" spans="1:18" x14ac:dyDescent="0.25">
      <c r="D21" s="12">
        <v>1</v>
      </c>
      <c r="E21" s="167">
        <v>1.1000000000000001</v>
      </c>
      <c r="F21" s="165">
        <v>7</v>
      </c>
      <c r="G21" s="15">
        <f>F21*1000</f>
        <v>7000</v>
      </c>
      <c r="H21" s="12">
        <f>B7/10000</f>
        <v>6.6224000000000005E-2</v>
      </c>
      <c r="I21" s="15">
        <f>G21/H21</f>
        <v>105701.86035274219</v>
      </c>
      <c r="J21" s="15">
        <f>I21/2100</f>
        <v>50.334219215591524</v>
      </c>
      <c r="L21" s="12">
        <v>1</v>
      </c>
      <c r="M21" s="167">
        <v>1.1000000000000001</v>
      </c>
      <c r="N21" s="165">
        <v>5.4</v>
      </c>
      <c r="O21" s="15">
        <f>N21*1000</f>
        <v>5400</v>
      </c>
      <c r="P21" s="12">
        <f>B7/10000</f>
        <v>6.6224000000000005E-2</v>
      </c>
      <c r="Q21" s="15">
        <f>O21/P21</f>
        <v>81541.435129258272</v>
      </c>
      <c r="R21" s="15">
        <f>Q21/2100</f>
        <v>38.829254823456317</v>
      </c>
    </row>
    <row r="22" spans="1:18" x14ac:dyDescent="0.25">
      <c r="D22" s="12">
        <v>2</v>
      </c>
      <c r="E22" s="12">
        <v>1.6</v>
      </c>
      <c r="F22" s="15">
        <v>10.899999999999636</v>
      </c>
      <c r="G22" s="15">
        <f t="shared" ref="G22:G25" si="10">F22*1000</f>
        <v>10899.999999999636</v>
      </c>
      <c r="H22" s="12">
        <v>6.6224000000000005E-2</v>
      </c>
      <c r="I22" s="15">
        <f t="shared" ref="I22:I25" si="11">G22/H22</f>
        <v>164592.89683497878</v>
      </c>
      <c r="J22" s="15">
        <f>I22/4560</f>
        <v>36.094933516442715</v>
      </c>
      <c r="L22" s="12">
        <v>2</v>
      </c>
      <c r="M22" s="12">
        <v>1.6</v>
      </c>
      <c r="N22" s="15">
        <v>6.8</v>
      </c>
      <c r="O22" s="15">
        <f t="shared" ref="O22:O25" si="12">N22*1000</f>
        <v>6800</v>
      </c>
      <c r="P22" s="12">
        <v>6.6224000000000005E-2</v>
      </c>
      <c r="Q22" s="15">
        <f t="shared" ref="Q22:Q25" si="13">O22/P22</f>
        <v>102681.8071998067</v>
      </c>
      <c r="R22" s="15">
        <f t="shared" ref="R22:R25" si="14">Q22/2100</f>
        <v>48.896098666574623</v>
      </c>
    </row>
    <row r="23" spans="1:18" x14ac:dyDescent="0.25">
      <c r="D23" s="12">
        <v>3</v>
      </c>
      <c r="E23" s="166">
        <v>2.1</v>
      </c>
      <c r="F23" s="15">
        <v>7.3000000000001819</v>
      </c>
      <c r="G23" s="15">
        <f t="shared" si="10"/>
        <v>7300.0000000001819</v>
      </c>
      <c r="H23" s="12">
        <v>6.6224000000000005E-2</v>
      </c>
      <c r="I23" s="15">
        <f t="shared" si="11"/>
        <v>110231.94008214818</v>
      </c>
      <c r="J23" s="15">
        <f>I23/3060</f>
        <v>36.023509830767381</v>
      </c>
      <c r="L23" s="12">
        <v>3</v>
      </c>
      <c r="M23" s="166">
        <v>2.1</v>
      </c>
      <c r="N23" s="15">
        <v>7.3</v>
      </c>
      <c r="O23" s="15">
        <f t="shared" si="12"/>
        <v>7300</v>
      </c>
      <c r="P23" s="12">
        <v>6.6224000000000005E-2</v>
      </c>
      <c r="Q23" s="15">
        <f t="shared" si="13"/>
        <v>110231.94008214543</v>
      </c>
      <c r="R23" s="15">
        <f t="shared" si="14"/>
        <v>52.491400039116876</v>
      </c>
    </row>
    <row r="24" spans="1:18" x14ac:dyDescent="0.25">
      <c r="D24" s="12">
        <v>4</v>
      </c>
      <c r="E24" s="12">
        <v>2.7</v>
      </c>
      <c r="F24" s="15">
        <v>19.199999999999818</v>
      </c>
      <c r="G24" s="15">
        <f t="shared" si="10"/>
        <v>19199.999999999818</v>
      </c>
      <c r="H24" s="12">
        <v>6.6224000000000005E-2</v>
      </c>
      <c r="I24" s="15">
        <f t="shared" si="11"/>
        <v>289925.10268180445</v>
      </c>
      <c r="J24" s="15">
        <f>I24/6060</f>
        <v>47.842426185116246</v>
      </c>
      <c r="L24" s="12">
        <v>4</v>
      </c>
      <c r="M24" s="12">
        <v>2.7</v>
      </c>
      <c r="N24" s="15">
        <v>8.5</v>
      </c>
      <c r="O24" s="15">
        <f t="shared" si="12"/>
        <v>8500</v>
      </c>
      <c r="P24" s="12">
        <v>6.6224000000000005E-2</v>
      </c>
      <c r="Q24" s="15">
        <f t="shared" si="13"/>
        <v>128352.25899975839</v>
      </c>
      <c r="R24" s="15">
        <f t="shared" si="14"/>
        <v>61.120123333218281</v>
      </c>
    </row>
    <row r="25" spans="1:18" x14ac:dyDescent="0.25">
      <c r="D25" s="12">
        <v>5</v>
      </c>
      <c r="E25" s="12">
        <v>3.5</v>
      </c>
      <c r="F25" s="15">
        <v>12.700000000000273</v>
      </c>
      <c r="G25" s="15">
        <f t="shared" si="10"/>
        <v>12700.000000000273</v>
      </c>
      <c r="H25" s="12">
        <v>6.6224000000000005E-2</v>
      </c>
      <c r="I25" s="15">
        <f t="shared" si="11"/>
        <v>191773.37521140784</v>
      </c>
      <c r="J25" s="15">
        <f>I25/3120</f>
        <v>61.465825388271746</v>
      </c>
      <c r="L25" s="12">
        <v>5</v>
      </c>
      <c r="M25" s="12">
        <v>3.5</v>
      </c>
      <c r="N25" s="15">
        <v>9.4</v>
      </c>
      <c r="O25" s="15">
        <f t="shared" si="12"/>
        <v>9400</v>
      </c>
      <c r="P25" s="12">
        <v>6.6224000000000005E-2</v>
      </c>
      <c r="Q25" s="15">
        <f t="shared" si="13"/>
        <v>141942.4981879681</v>
      </c>
      <c r="R25" s="15">
        <f t="shared" si="14"/>
        <v>67.591665803794328</v>
      </c>
    </row>
    <row r="27" spans="1:18" x14ac:dyDescent="0.25">
      <c r="D27" s="257" t="s">
        <v>228</v>
      </c>
      <c r="E27" s="257"/>
      <c r="F27" s="257"/>
      <c r="G27" s="257"/>
      <c r="H27" s="257"/>
      <c r="I27" s="257"/>
      <c r="J27" s="257"/>
      <c r="L27" s="257" t="s">
        <v>163</v>
      </c>
      <c r="M27" s="257"/>
      <c r="N27" s="257"/>
      <c r="O27" s="257"/>
      <c r="P27" s="257"/>
      <c r="Q27" s="257"/>
      <c r="R27" s="257"/>
    </row>
    <row r="28" spans="1:18" x14ac:dyDescent="0.25">
      <c r="D28" s="9" t="s">
        <v>74</v>
      </c>
      <c r="E28" s="139" t="s">
        <v>79</v>
      </c>
      <c r="F28" s="139" t="s">
        <v>129</v>
      </c>
      <c r="G28" s="9" t="s">
        <v>155</v>
      </c>
      <c r="H28" s="9" t="s">
        <v>156</v>
      </c>
      <c r="I28" s="9" t="s">
        <v>225</v>
      </c>
      <c r="J28" s="9" t="s">
        <v>158</v>
      </c>
      <c r="L28" s="9" t="s">
        <v>74</v>
      </c>
      <c r="M28" s="139" t="s">
        <v>79</v>
      </c>
      <c r="N28" s="139" t="s">
        <v>129</v>
      </c>
      <c r="O28" s="9" t="s">
        <v>155</v>
      </c>
      <c r="P28" s="9" t="s">
        <v>156</v>
      </c>
      <c r="Q28" s="9" t="s">
        <v>157</v>
      </c>
      <c r="R28" s="9" t="s">
        <v>158</v>
      </c>
    </row>
    <row r="29" spans="1:18" x14ac:dyDescent="0.25">
      <c r="D29" s="12">
        <v>1</v>
      </c>
      <c r="E29" s="167">
        <v>1.1000000000000001</v>
      </c>
      <c r="F29" s="165">
        <v>10.099999999999909</v>
      </c>
      <c r="G29" s="15">
        <f>F29*1000</f>
        <v>10099.999999999909</v>
      </c>
      <c r="H29" s="12">
        <v>8.974E-2</v>
      </c>
      <c r="I29" s="15">
        <f>G29/H29</f>
        <v>112547.35903721761</v>
      </c>
      <c r="J29" s="15">
        <f>I29/2100</f>
        <v>53.593980493913151</v>
      </c>
      <c r="L29" s="12">
        <v>1</v>
      </c>
      <c r="M29" s="167">
        <v>1.1000000000000001</v>
      </c>
      <c r="N29" s="165">
        <v>7.4</v>
      </c>
      <c r="O29" s="15">
        <f>N29*1000</f>
        <v>7400</v>
      </c>
      <c r="P29" s="12">
        <f>B8/10000</f>
        <v>8.974E-2</v>
      </c>
      <c r="Q29" s="15">
        <f>O29/P29</f>
        <v>82460.441274793848</v>
      </c>
      <c r="R29" s="15">
        <f>Q29/2100</f>
        <v>39.266876797520879</v>
      </c>
    </row>
    <row r="30" spans="1:18" x14ac:dyDescent="0.25">
      <c r="D30" s="12">
        <v>2</v>
      </c>
      <c r="E30" s="12">
        <v>1.6</v>
      </c>
      <c r="F30" s="15">
        <v>13.900000000000091</v>
      </c>
      <c r="G30" s="15">
        <f t="shared" ref="G30:G33" si="15">F30*1000</f>
        <v>13900.000000000091</v>
      </c>
      <c r="H30" s="12">
        <v>8.974E-2</v>
      </c>
      <c r="I30" s="15">
        <f t="shared" ref="I30:I33" si="16">G30/H30</f>
        <v>154891.90996211377</v>
      </c>
      <c r="J30" s="15">
        <f>I30/4560</f>
        <v>33.967524114498637</v>
      </c>
      <c r="L30" s="12">
        <v>2</v>
      </c>
      <c r="M30" s="12">
        <v>1.6</v>
      </c>
      <c r="N30" s="15">
        <v>8.3000000000000007</v>
      </c>
      <c r="O30" s="15">
        <f t="shared" ref="O30:O33" si="17">N30*1000</f>
        <v>8300</v>
      </c>
      <c r="P30" s="12">
        <v>8.974E-2</v>
      </c>
      <c r="Q30" s="15">
        <f t="shared" ref="Q30:Q33" si="18">O30/P30</f>
        <v>92489.413862268775</v>
      </c>
      <c r="R30" s="15">
        <f t="shared" ref="R30:R33" si="19">Q30/2100</f>
        <v>44.0425780296518</v>
      </c>
    </row>
    <row r="31" spans="1:18" x14ac:dyDescent="0.25">
      <c r="D31" s="12">
        <v>3</v>
      </c>
      <c r="E31" s="166">
        <v>2.1</v>
      </c>
      <c r="F31" s="15">
        <v>8.7000000000002728</v>
      </c>
      <c r="G31" s="15">
        <f t="shared" si="15"/>
        <v>8700.0000000002728</v>
      </c>
      <c r="H31" s="12">
        <v>8.974E-2</v>
      </c>
      <c r="I31" s="15">
        <f t="shared" si="16"/>
        <v>96946.735012260673</v>
      </c>
      <c r="J31" s="15">
        <f>I31/3060</f>
        <v>31.681939546490415</v>
      </c>
      <c r="L31" s="12">
        <v>3</v>
      </c>
      <c r="M31" s="166">
        <v>2.1</v>
      </c>
      <c r="N31" s="15">
        <v>8.4</v>
      </c>
      <c r="O31" s="15">
        <f t="shared" si="17"/>
        <v>8400</v>
      </c>
      <c r="P31" s="12">
        <v>8.974E-2</v>
      </c>
      <c r="Q31" s="15">
        <f t="shared" si="18"/>
        <v>93603.744149765989</v>
      </c>
      <c r="R31" s="15">
        <f t="shared" si="19"/>
        <v>44.573211499888565</v>
      </c>
    </row>
    <row r="32" spans="1:18" x14ac:dyDescent="0.25">
      <c r="D32" s="12">
        <v>4</v>
      </c>
      <c r="E32" s="12">
        <v>2.7</v>
      </c>
      <c r="F32" s="15">
        <v>25</v>
      </c>
      <c r="G32" s="15">
        <f t="shared" si="15"/>
        <v>25000</v>
      </c>
      <c r="H32" s="12">
        <v>8.974E-2</v>
      </c>
      <c r="I32" s="15">
        <f t="shared" si="16"/>
        <v>278582.57187430357</v>
      </c>
      <c r="J32" s="15">
        <f>I32/6060</f>
        <v>45.970721431403227</v>
      </c>
      <c r="L32" s="12">
        <v>4</v>
      </c>
      <c r="M32" s="12">
        <v>2.7</v>
      </c>
      <c r="N32" s="15">
        <v>10.8</v>
      </c>
      <c r="O32" s="15">
        <f t="shared" si="17"/>
        <v>10800</v>
      </c>
      <c r="P32" s="12">
        <v>8.974E-2</v>
      </c>
      <c r="Q32" s="15">
        <f t="shared" si="18"/>
        <v>120347.67104969913</v>
      </c>
      <c r="R32" s="15">
        <f t="shared" si="19"/>
        <v>57.308414785571017</v>
      </c>
    </row>
    <row r="33" spans="4:18" x14ac:dyDescent="0.25">
      <c r="D33" s="12">
        <v>5</v>
      </c>
      <c r="E33" s="12">
        <v>3.5</v>
      </c>
      <c r="F33" s="15">
        <v>18.899999999999636</v>
      </c>
      <c r="G33" s="15">
        <f t="shared" si="15"/>
        <v>18899.999999999636</v>
      </c>
      <c r="H33" s="12">
        <v>8.974E-2</v>
      </c>
      <c r="I33" s="15">
        <f t="shared" si="16"/>
        <v>210608.42433696942</v>
      </c>
      <c r="J33" s="15">
        <f>I33/3120</f>
        <v>67.502700108003012</v>
      </c>
      <c r="L33" s="12">
        <v>5</v>
      </c>
      <c r="M33" s="12">
        <v>3.5</v>
      </c>
      <c r="N33" s="15">
        <v>11.6</v>
      </c>
      <c r="O33" s="15">
        <f t="shared" si="17"/>
        <v>11600</v>
      </c>
      <c r="P33" s="12">
        <v>8.974E-2</v>
      </c>
      <c r="Q33" s="15">
        <f t="shared" si="18"/>
        <v>129262.31334967684</v>
      </c>
      <c r="R33" s="15">
        <f t="shared" si="19"/>
        <v>61.553482547465165</v>
      </c>
    </row>
    <row r="35" spans="4:18" x14ac:dyDescent="0.25">
      <c r="D35" s="257" t="s">
        <v>229</v>
      </c>
      <c r="E35" s="257"/>
      <c r="F35" s="257"/>
      <c r="G35" s="257"/>
      <c r="H35" s="257"/>
      <c r="I35" s="257"/>
      <c r="J35" s="257"/>
      <c r="L35" s="257" t="s">
        <v>164</v>
      </c>
      <c r="M35" s="257"/>
      <c r="N35" s="257"/>
      <c r="O35" s="257"/>
      <c r="P35" s="257"/>
      <c r="Q35" s="257"/>
      <c r="R35" s="257"/>
    </row>
    <row r="36" spans="4:18" x14ac:dyDescent="0.25">
      <c r="D36" s="9" t="s">
        <v>74</v>
      </c>
      <c r="E36" s="139" t="s">
        <v>79</v>
      </c>
      <c r="F36" s="139" t="s">
        <v>129</v>
      </c>
      <c r="G36" s="9" t="s">
        <v>155</v>
      </c>
      <c r="H36" s="9" t="s">
        <v>156</v>
      </c>
      <c r="I36" s="9" t="s">
        <v>225</v>
      </c>
      <c r="J36" s="9" t="s">
        <v>158</v>
      </c>
      <c r="L36" s="9" t="s">
        <v>74</v>
      </c>
      <c r="M36" s="139" t="s">
        <v>79</v>
      </c>
      <c r="N36" s="139" t="s">
        <v>129</v>
      </c>
      <c r="O36" s="9" t="s">
        <v>155</v>
      </c>
      <c r="P36" s="9" t="s">
        <v>156</v>
      </c>
      <c r="Q36" s="9" t="s">
        <v>157</v>
      </c>
      <c r="R36" s="9" t="s">
        <v>158</v>
      </c>
    </row>
    <row r="37" spans="4:18" x14ac:dyDescent="0.25">
      <c r="D37" s="12">
        <v>1</v>
      </c>
      <c r="E37" s="167">
        <v>1.1000000000000001</v>
      </c>
      <c r="F37" s="165">
        <v>10.199999999999818</v>
      </c>
      <c r="G37" s="15">
        <f>F37*1000</f>
        <v>10199.999999999818</v>
      </c>
      <c r="H37" s="12">
        <v>0.103769</v>
      </c>
      <c r="I37" s="15">
        <f>G37/H37</f>
        <v>98295.251953857296</v>
      </c>
      <c r="J37" s="15">
        <f>I37/2100</f>
        <v>46.807262835170143</v>
      </c>
      <c r="L37" s="12">
        <v>1</v>
      </c>
      <c r="M37" s="167">
        <v>1.1000000000000001</v>
      </c>
      <c r="N37" s="165">
        <v>8.8000000000000007</v>
      </c>
      <c r="O37" s="15">
        <f>N37*1000</f>
        <v>8800</v>
      </c>
      <c r="P37" s="12">
        <f>B9/10000</f>
        <v>0.103769</v>
      </c>
      <c r="Q37" s="15">
        <f>O37/P37</f>
        <v>84803.746783721537</v>
      </c>
      <c r="R37" s="15">
        <f>Q37/2100</f>
        <v>40.382736563676922</v>
      </c>
    </row>
    <row r="38" spans="4:18" x14ac:dyDescent="0.25">
      <c r="D38" s="12">
        <v>2</v>
      </c>
      <c r="E38" s="12">
        <v>1.6</v>
      </c>
      <c r="F38" s="15">
        <v>15.300000000000182</v>
      </c>
      <c r="G38" s="15">
        <f t="shared" ref="G38:G41" si="20">F38*1000</f>
        <v>15300.000000000182</v>
      </c>
      <c r="H38" s="12">
        <v>0.103769</v>
      </c>
      <c r="I38" s="15">
        <f t="shared" ref="I38:I41" si="21">G38/H38</f>
        <v>147442.87793079033</v>
      </c>
      <c r="J38" s="15">
        <f>I38/4560</f>
        <v>32.333964458506649</v>
      </c>
      <c r="L38" s="12">
        <v>2</v>
      </c>
      <c r="M38" s="12">
        <v>1.6</v>
      </c>
      <c r="N38" s="15">
        <v>9.4</v>
      </c>
      <c r="O38" s="15">
        <f t="shared" ref="O38:O41" si="22">N38*1000</f>
        <v>9400</v>
      </c>
      <c r="P38" s="12">
        <v>0.103769</v>
      </c>
      <c r="Q38" s="15">
        <f t="shared" ref="Q38:Q41" si="23">O38/P38</f>
        <v>90585.820428066188</v>
      </c>
      <c r="R38" s="15">
        <f t="shared" ref="R38:R41" si="24">Q38/2100</f>
        <v>43.136104965745801</v>
      </c>
    </row>
    <row r="39" spans="4:18" x14ac:dyDescent="0.25">
      <c r="D39" s="12">
        <v>3</v>
      </c>
      <c r="E39" s="166">
        <v>2.1</v>
      </c>
      <c r="F39" s="15">
        <v>10.5</v>
      </c>
      <c r="G39" s="15">
        <f t="shared" si="20"/>
        <v>10500</v>
      </c>
      <c r="H39" s="12">
        <v>0.103769</v>
      </c>
      <c r="I39" s="15">
        <f t="shared" si="21"/>
        <v>101186.28877603138</v>
      </c>
      <c r="J39" s="15">
        <f>I39/3060</f>
        <v>33.067414632689989</v>
      </c>
      <c r="L39" s="12">
        <v>3</v>
      </c>
      <c r="M39" s="166">
        <v>2.1</v>
      </c>
      <c r="N39" s="15">
        <v>10.6</v>
      </c>
      <c r="O39" s="15">
        <f t="shared" si="22"/>
        <v>10600</v>
      </c>
      <c r="P39" s="12">
        <v>0.103769</v>
      </c>
      <c r="Q39" s="15">
        <f t="shared" si="23"/>
        <v>102149.96771675549</v>
      </c>
      <c r="R39" s="15">
        <f t="shared" si="24"/>
        <v>48.642841769883567</v>
      </c>
    </row>
    <row r="40" spans="4:18" x14ac:dyDescent="0.25">
      <c r="D40" s="12">
        <v>4</v>
      </c>
      <c r="E40" s="12">
        <v>2.7</v>
      </c>
      <c r="F40" s="15">
        <v>28.599999999999909</v>
      </c>
      <c r="G40" s="15">
        <f t="shared" si="20"/>
        <v>28599.999999999909</v>
      </c>
      <c r="H40" s="12">
        <v>0.103769</v>
      </c>
      <c r="I40" s="15">
        <f t="shared" si="21"/>
        <v>275612.1770470941</v>
      </c>
      <c r="J40" s="15">
        <f>I40/6060</f>
        <v>45.480557268497378</v>
      </c>
      <c r="L40" s="12">
        <v>4</v>
      </c>
      <c r="M40" s="12">
        <v>2.7</v>
      </c>
      <c r="N40" s="15">
        <v>11.1</v>
      </c>
      <c r="O40" s="15">
        <f t="shared" si="22"/>
        <v>11100</v>
      </c>
      <c r="P40" s="12">
        <v>0.103769</v>
      </c>
      <c r="Q40" s="15">
        <f t="shared" si="23"/>
        <v>106968.36242037603</v>
      </c>
      <c r="R40" s="15">
        <f t="shared" si="24"/>
        <v>50.937315438274297</v>
      </c>
    </row>
    <row r="41" spans="4:18" x14ac:dyDescent="0.25">
      <c r="D41" s="12">
        <v>5</v>
      </c>
      <c r="E41" s="12">
        <v>3.5</v>
      </c>
      <c r="F41" s="15">
        <v>21.599999999999909</v>
      </c>
      <c r="G41" s="15">
        <f t="shared" si="20"/>
        <v>21599.999999999909</v>
      </c>
      <c r="H41" s="12">
        <v>0.103769</v>
      </c>
      <c r="I41" s="15">
        <f t="shared" si="21"/>
        <v>208154.65119640651</v>
      </c>
      <c r="J41" s="15">
        <f>I41/3120</f>
        <v>66.7162343578226</v>
      </c>
      <c r="L41" s="12">
        <v>5</v>
      </c>
      <c r="M41" s="12">
        <v>3.5</v>
      </c>
      <c r="N41" s="15">
        <v>12.3</v>
      </c>
      <c r="O41" s="15">
        <f t="shared" si="22"/>
        <v>12300</v>
      </c>
      <c r="P41" s="12">
        <v>0.103769</v>
      </c>
      <c r="Q41" s="15">
        <f t="shared" si="23"/>
        <v>118532.50970906533</v>
      </c>
      <c r="R41" s="15">
        <f t="shared" si="24"/>
        <v>56.444052242412063</v>
      </c>
    </row>
    <row r="43" spans="4:18" x14ac:dyDescent="0.25">
      <c r="D43" s="257" t="s">
        <v>230</v>
      </c>
      <c r="E43" s="257"/>
      <c r="F43" s="257"/>
      <c r="G43" s="257"/>
      <c r="H43" s="257"/>
      <c r="I43" s="257"/>
      <c r="J43" s="257"/>
      <c r="L43" s="257" t="s">
        <v>165</v>
      </c>
      <c r="M43" s="257"/>
      <c r="N43" s="257"/>
      <c r="O43" s="257"/>
      <c r="P43" s="257"/>
      <c r="Q43" s="257"/>
      <c r="R43" s="257"/>
    </row>
    <row r="44" spans="4:18" x14ac:dyDescent="0.25">
      <c r="D44" s="9" t="s">
        <v>74</v>
      </c>
      <c r="E44" s="139" t="s">
        <v>79</v>
      </c>
      <c r="F44" s="139" t="s">
        <v>129</v>
      </c>
      <c r="G44" s="9" t="s">
        <v>155</v>
      </c>
      <c r="H44" s="9" t="s">
        <v>156</v>
      </c>
      <c r="I44" s="9" t="s">
        <v>225</v>
      </c>
      <c r="J44" s="9" t="s">
        <v>158</v>
      </c>
      <c r="L44" s="9" t="s">
        <v>74</v>
      </c>
      <c r="M44" s="139" t="s">
        <v>79</v>
      </c>
      <c r="N44" s="139" t="s">
        <v>129</v>
      </c>
      <c r="O44" s="9" t="s">
        <v>155</v>
      </c>
      <c r="P44" s="9" t="s">
        <v>156</v>
      </c>
      <c r="Q44" s="9" t="s">
        <v>157</v>
      </c>
      <c r="R44" s="9" t="s">
        <v>158</v>
      </c>
    </row>
    <row r="45" spans="4:18" x14ac:dyDescent="0.25">
      <c r="D45" s="12">
        <v>1</v>
      </c>
      <c r="E45" s="167">
        <v>1.1000000000000001</v>
      </c>
      <c r="F45" s="165">
        <v>9.3000000000001819</v>
      </c>
      <c r="G45" s="15">
        <f>F45*1000</f>
        <v>9300.0000000001819</v>
      </c>
      <c r="H45" s="12">
        <v>8.1196000000000004E-2</v>
      </c>
      <c r="I45" s="15">
        <f>G45/H45</f>
        <v>114537.66195379307</v>
      </c>
      <c r="J45" s="15">
        <f>I45/2100</f>
        <v>54.54174378752051</v>
      </c>
      <c r="L45" s="12">
        <v>1</v>
      </c>
      <c r="M45" s="167">
        <v>1.1000000000000001</v>
      </c>
      <c r="N45" s="165">
        <v>8.3000000000000007</v>
      </c>
      <c r="O45" s="15">
        <f>N45*1000</f>
        <v>8300</v>
      </c>
      <c r="P45" s="12">
        <f>B10/10000</f>
        <v>8.1196000000000004E-2</v>
      </c>
      <c r="Q45" s="15">
        <f>O45/P45</f>
        <v>102221.78432435094</v>
      </c>
      <c r="R45" s="15">
        <f>Q45/2100</f>
        <v>48.677040154452833</v>
      </c>
    </row>
    <row r="46" spans="4:18" x14ac:dyDescent="0.25">
      <c r="D46" s="12">
        <v>2</v>
      </c>
      <c r="E46" s="12">
        <v>1.6</v>
      </c>
      <c r="F46" s="15">
        <v>12.099999999999909</v>
      </c>
      <c r="G46" s="15">
        <f t="shared" ref="G46:G49" si="25">F46*1000</f>
        <v>12099.999999999909</v>
      </c>
      <c r="H46" s="12">
        <v>8.1196000000000004E-2</v>
      </c>
      <c r="I46" s="15">
        <f t="shared" ref="I46:I49" si="26">G46/H46</f>
        <v>149022.11931622136</v>
      </c>
      <c r="J46" s="15">
        <f>I46/4560</f>
        <v>32.680289323732751</v>
      </c>
      <c r="L46" s="12">
        <v>2</v>
      </c>
      <c r="M46" s="12">
        <v>1.6</v>
      </c>
      <c r="N46" s="15">
        <v>8.1</v>
      </c>
      <c r="O46" s="15">
        <f t="shared" ref="O46:O49" si="27">N46*1000</f>
        <v>8100</v>
      </c>
      <c r="P46" s="12">
        <v>8.1196000000000004E-2</v>
      </c>
      <c r="Q46" s="15">
        <f t="shared" ref="Q46:Q49" si="28">O46/P46</f>
        <v>99758.60879846297</v>
      </c>
      <c r="R46" s="15">
        <f t="shared" ref="R46:R49" si="29">Q46/2100</f>
        <v>47.504099427839506</v>
      </c>
    </row>
    <row r="47" spans="4:18" x14ac:dyDescent="0.25">
      <c r="D47" s="12">
        <v>3</v>
      </c>
      <c r="E47" s="166">
        <v>2.1</v>
      </c>
      <c r="F47" s="15">
        <v>9.1999999999998181</v>
      </c>
      <c r="G47" s="15">
        <f t="shared" si="25"/>
        <v>9199.9999999998181</v>
      </c>
      <c r="H47" s="12">
        <v>8.1196000000000004E-2</v>
      </c>
      <c r="I47" s="15">
        <f t="shared" si="26"/>
        <v>113306.07419084459</v>
      </c>
      <c r="J47" s="15">
        <f>I47/3060</f>
        <v>37.028128820537447</v>
      </c>
      <c r="L47" s="12">
        <v>3</v>
      </c>
      <c r="M47" s="166">
        <v>2.1</v>
      </c>
      <c r="N47" s="15">
        <v>8.1</v>
      </c>
      <c r="O47" s="15">
        <f t="shared" si="27"/>
        <v>8100</v>
      </c>
      <c r="P47" s="12">
        <v>8.1196000000000004E-2</v>
      </c>
      <c r="Q47" s="15">
        <f t="shared" si="28"/>
        <v>99758.60879846297</v>
      </c>
      <c r="R47" s="15">
        <f t="shared" si="29"/>
        <v>47.504099427839506</v>
      </c>
    </row>
    <row r="48" spans="4:18" x14ac:dyDescent="0.25">
      <c r="D48" s="12">
        <v>4</v>
      </c>
      <c r="E48" s="12">
        <v>2.7</v>
      </c>
      <c r="F48" s="15">
        <v>24.100000000000364</v>
      </c>
      <c r="G48" s="15">
        <f t="shared" si="25"/>
        <v>24100.000000000364</v>
      </c>
      <c r="H48" s="12">
        <v>8.1196000000000004E-2</v>
      </c>
      <c r="I48" s="15">
        <f t="shared" si="26"/>
        <v>296812.65086950542</v>
      </c>
      <c r="J48" s="15">
        <f>I48/6060</f>
        <v>48.978985291997596</v>
      </c>
      <c r="L48" s="12">
        <v>4</v>
      </c>
      <c r="M48" s="12">
        <v>2.7</v>
      </c>
      <c r="N48" s="15">
        <v>10.1</v>
      </c>
      <c r="O48" s="15">
        <f t="shared" si="27"/>
        <v>10100</v>
      </c>
      <c r="P48" s="12">
        <v>8.1196000000000004E-2</v>
      </c>
      <c r="Q48" s="15">
        <f t="shared" si="28"/>
        <v>124390.36405734273</v>
      </c>
      <c r="R48" s="15">
        <f t="shared" si="29"/>
        <v>59.233506693972728</v>
      </c>
    </row>
    <row r="49" spans="4:18" x14ac:dyDescent="0.25">
      <c r="D49" s="12">
        <v>5</v>
      </c>
      <c r="E49" s="12">
        <v>3.5</v>
      </c>
      <c r="F49" s="15">
        <v>18.299999999999727</v>
      </c>
      <c r="G49" s="15">
        <f t="shared" si="25"/>
        <v>18299.999999999727</v>
      </c>
      <c r="H49" s="12">
        <v>8.1196000000000004E-2</v>
      </c>
      <c r="I49" s="15">
        <f t="shared" si="26"/>
        <v>225380.56061874633</v>
      </c>
      <c r="J49" s="15">
        <f>I49/3120</f>
        <v>72.237359172675099</v>
      </c>
      <c r="L49" s="12">
        <v>5</v>
      </c>
      <c r="M49" s="12">
        <v>3.5</v>
      </c>
      <c r="N49" s="15">
        <v>10.1</v>
      </c>
      <c r="O49" s="15">
        <f t="shared" si="27"/>
        <v>10100</v>
      </c>
      <c r="P49" s="12">
        <v>8.1196000000000004E-2</v>
      </c>
      <c r="Q49" s="15">
        <f t="shared" si="28"/>
        <v>124390.36405734273</v>
      </c>
      <c r="R49" s="15">
        <f t="shared" si="29"/>
        <v>59.233506693972728</v>
      </c>
    </row>
    <row r="51" spans="4:18" x14ac:dyDescent="0.25">
      <c r="D51" s="257" t="s">
        <v>231</v>
      </c>
      <c r="E51" s="257"/>
      <c r="F51" s="257"/>
      <c r="G51" s="257"/>
      <c r="H51" s="257"/>
      <c r="I51" s="257"/>
      <c r="J51" s="257"/>
      <c r="L51" s="257" t="s">
        <v>166</v>
      </c>
      <c r="M51" s="257"/>
      <c r="N51" s="257"/>
      <c r="O51" s="257"/>
      <c r="P51" s="257"/>
      <c r="Q51" s="257"/>
      <c r="R51" s="257"/>
    </row>
    <row r="52" spans="4:18" x14ac:dyDescent="0.25">
      <c r="D52" s="9" t="s">
        <v>74</v>
      </c>
      <c r="E52" s="139" t="s">
        <v>79</v>
      </c>
      <c r="F52" s="139" t="s">
        <v>129</v>
      </c>
      <c r="G52" s="9" t="s">
        <v>155</v>
      </c>
      <c r="H52" s="9" t="s">
        <v>156</v>
      </c>
      <c r="I52" s="9" t="s">
        <v>225</v>
      </c>
      <c r="J52" s="9" t="s">
        <v>158</v>
      </c>
      <c r="L52" s="9" t="s">
        <v>74</v>
      </c>
      <c r="M52" s="139" t="s">
        <v>79</v>
      </c>
      <c r="N52" s="139" t="s">
        <v>129</v>
      </c>
      <c r="O52" s="9" t="s">
        <v>155</v>
      </c>
      <c r="P52" s="9" t="s">
        <v>156</v>
      </c>
      <c r="Q52" s="9" t="s">
        <v>157</v>
      </c>
      <c r="R52" s="9" t="s">
        <v>158</v>
      </c>
    </row>
    <row r="53" spans="4:18" x14ac:dyDescent="0.25">
      <c r="D53" s="12">
        <v>1</v>
      </c>
      <c r="E53" s="167">
        <v>1.1000000000000001</v>
      </c>
      <c r="F53" s="165">
        <v>13.199999999999818</v>
      </c>
      <c r="G53" s="15">
        <f>F53*1000</f>
        <v>13199.999999999818</v>
      </c>
      <c r="H53" s="12">
        <v>0.139657</v>
      </c>
      <c r="I53" s="15">
        <f>G53/H53</f>
        <v>94517.281625695934</v>
      </c>
      <c r="J53" s="15">
        <f>I53/2100</f>
        <v>45.00822934556949</v>
      </c>
      <c r="L53" s="12">
        <v>1</v>
      </c>
      <c r="M53" s="167">
        <v>1.1000000000000001</v>
      </c>
      <c r="N53" s="165">
        <v>11.3</v>
      </c>
      <c r="O53" s="15">
        <f>N53*1000</f>
        <v>11300</v>
      </c>
      <c r="P53" s="12">
        <f>B11/10000</f>
        <v>0.139657</v>
      </c>
      <c r="Q53" s="15">
        <f>O53/P53</f>
        <v>80912.521391695365</v>
      </c>
      <c r="R53" s="15">
        <f>Q53/2100</f>
        <v>38.529772091283505</v>
      </c>
    </row>
    <row r="54" spans="4:18" x14ac:dyDescent="0.25">
      <c r="D54" s="12">
        <v>2</v>
      </c>
      <c r="E54" s="12">
        <v>1.6</v>
      </c>
      <c r="F54" s="15">
        <v>19</v>
      </c>
      <c r="G54" s="15">
        <f t="shared" ref="G54:G57" si="30">F54*1000</f>
        <v>19000</v>
      </c>
      <c r="H54" s="12">
        <v>0.139657</v>
      </c>
      <c r="I54" s="15">
        <f t="shared" ref="I54:I57" si="31">G54/H54</f>
        <v>136047.60234001876</v>
      </c>
      <c r="J54" s="15">
        <f>I54/4560</f>
        <v>29.835000513162008</v>
      </c>
      <c r="L54" s="12">
        <v>2</v>
      </c>
      <c r="M54" s="12">
        <v>1.6</v>
      </c>
      <c r="N54" s="15">
        <v>12</v>
      </c>
      <c r="O54" s="15">
        <f t="shared" ref="O54:O57" si="32">N54*1000</f>
        <v>12000</v>
      </c>
      <c r="P54" s="12">
        <v>0.139657</v>
      </c>
      <c r="Q54" s="15">
        <f t="shared" ref="Q54:Q57" si="33">O54/P54</f>
        <v>85924.801477906585</v>
      </c>
      <c r="R54" s="15">
        <f t="shared" ref="R54:R57" si="34">Q54/2100</f>
        <v>40.916572132336469</v>
      </c>
    </row>
    <row r="55" spans="4:18" x14ac:dyDescent="0.25">
      <c r="D55" s="12">
        <v>3</v>
      </c>
      <c r="E55" s="166">
        <v>2.1</v>
      </c>
      <c r="F55" s="15">
        <v>13.099999999999909</v>
      </c>
      <c r="G55" s="15">
        <f t="shared" si="30"/>
        <v>13099.999999999909</v>
      </c>
      <c r="H55" s="12">
        <v>0.139657</v>
      </c>
      <c r="I55" s="15">
        <f t="shared" si="31"/>
        <v>93801.241613380698</v>
      </c>
      <c r="J55" s="15">
        <f>I55/3060</f>
        <v>30.654000527248595</v>
      </c>
      <c r="L55" s="12">
        <v>3</v>
      </c>
      <c r="M55" s="166">
        <v>2.1</v>
      </c>
      <c r="N55" s="15">
        <v>13.5</v>
      </c>
      <c r="O55" s="15">
        <f t="shared" si="32"/>
        <v>13500</v>
      </c>
      <c r="P55" s="12">
        <v>0.139657</v>
      </c>
      <c r="Q55" s="15">
        <f t="shared" si="33"/>
        <v>96665.401662644901</v>
      </c>
      <c r="R55" s="15">
        <f t="shared" si="34"/>
        <v>46.031143648878526</v>
      </c>
    </row>
    <row r="56" spans="4:18" x14ac:dyDescent="0.25">
      <c r="D56" s="12">
        <v>4</v>
      </c>
      <c r="E56" s="12">
        <v>2.7</v>
      </c>
      <c r="F56" s="15">
        <v>37</v>
      </c>
      <c r="G56" s="15">
        <f t="shared" si="30"/>
        <v>37000</v>
      </c>
      <c r="H56" s="12">
        <v>0.139657</v>
      </c>
      <c r="I56" s="15">
        <f t="shared" si="31"/>
        <v>264934.80455687863</v>
      </c>
      <c r="J56" s="15">
        <f>I56/6060</f>
        <v>43.718614613346311</v>
      </c>
      <c r="L56" s="12">
        <v>4</v>
      </c>
      <c r="M56" s="12">
        <v>2.7</v>
      </c>
      <c r="N56" s="15">
        <v>16.899999999999999</v>
      </c>
      <c r="O56" s="15">
        <f t="shared" si="32"/>
        <v>16900</v>
      </c>
      <c r="P56" s="12">
        <v>0.139657</v>
      </c>
      <c r="Q56" s="15">
        <f t="shared" si="33"/>
        <v>121010.76208138511</v>
      </c>
      <c r="R56" s="15">
        <f t="shared" si="34"/>
        <v>57.624172419707193</v>
      </c>
    </row>
    <row r="57" spans="4:18" x14ac:dyDescent="0.25">
      <c r="D57" s="12">
        <v>5</v>
      </c>
      <c r="E57" s="12">
        <v>3.5</v>
      </c>
      <c r="F57" s="15">
        <v>26</v>
      </c>
      <c r="G57" s="15">
        <f t="shared" si="30"/>
        <v>26000</v>
      </c>
      <c r="H57" s="12">
        <v>0.139657</v>
      </c>
      <c r="I57" s="15">
        <f t="shared" si="31"/>
        <v>186170.40320213092</v>
      </c>
      <c r="J57" s="15">
        <f>I57/3120</f>
        <v>59.670001026324016</v>
      </c>
      <c r="L57" s="12">
        <v>5</v>
      </c>
      <c r="M57" s="12">
        <v>3.5</v>
      </c>
      <c r="N57" s="15">
        <v>18.5</v>
      </c>
      <c r="O57" s="15">
        <f t="shared" si="32"/>
        <v>18500</v>
      </c>
      <c r="P57" s="12">
        <v>0.139657</v>
      </c>
      <c r="Q57" s="15">
        <f t="shared" si="33"/>
        <v>132467.40227843932</v>
      </c>
      <c r="R57" s="15">
        <f t="shared" si="34"/>
        <v>63.079715370685392</v>
      </c>
    </row>
    <row r="59" spans="4:18" x14ac:dyDescent="0.25">
      <c r="D59" s="257" t="s">
        <v>232</v>
      </c>
      <c r="E59" s="257"/>
      <c r="F59" s="257"/>
      <c r="G59" s="257"/>
      <c r="H59" s="257"/>
      <c r="I59" s="257"/>
      <c r="J59" s="257"/>
      <c r="L59" s="257" t="s">
        <v>167</v>
      </c>
      <c r="M59" s="257"/>
      <c r="N59" s="257"/>
      <c r="O59" s="257"/>
      <c r="P59" s="257"/>
      <c r="Q59" s="257"/>
      <c r="R59" s="257"/>
    </row>
    <row r="60" spans="4:18" x14ac:dyDescent="0.25">
      <c r="D60" s="9" t="s">
        <v>74</v>
      </c>
      <c r="E60" s="139" t="s">
        <v>79</v>
      </c>
      <c r="F60" s="139" t="s">
        <v>129</v>
      </c>
      <c r="G60" s="9" t="s">
        <v>155</v>
      </c>
      <c r="H60" s="9" t="s">
        <v>156</v>
      </c>
      <c r="I60" s="9" t="s">
        <v>225</v>
      </c>
      <c r="J60" s="9" t="s">
        <v>158</v>
      </c>
      <c r="L60" s="9" t="s">
        <v>74</v>
      </c>
      <c r="M60" s="139" t="s">
        <v>79</v>
      </c>
      <c r="N60" s="139" t="s">
        <v>129</v>
      </c>
      <c r="O60" s="9" t="s">
        <v>155</v>
      </c>
      <c r="P60" s="9" t="s">
        <v>156</v>
      </c>
      <c r="Q60" s="9" t="s">
        <v>157</v>
      </c>
      <c r="R60" s="9" t="s">
        <v>158</v>
      </c>
    </row>
    <row r="61" spans="4:18" x14ac:dyDescent="0.25">
      <c r="D61" s="12">
        <v>1</v>
      </c>
      <c r="E61" s="167">
        <v>1.1000000000000001</v>
      </c>
      <c r="F61" s="165">
        <v>11.099999999999909</v>
      </c>
      <c r="G61" s="15">
        <f>F61*1000</f>
        <v>11099.999999999909</v>
      </c>
      <c r="H61" s="12">
        <v>0.13115499999999999</v>
      </c>
      <c r="I61" s="15">
        <f>G61/H61</f>
        <v>84632.686515953712</v>
      </c>
      <c r="J61" s="15">
        <f>I61/2100</f>
        <v>40.301279293311289</v>
      </c>
      <c r="L61" s="12">
        <v>1</v>
      </c>
      <c r="M61" s="167">
        <v>1.1000000000000001</v>
      </c>
      <c r="N61" s="165">
        <v>8.4</v>
      </c>
      <c r="O61" s="15">
        <f>N61*1000</f>
        <v>8400</v>
      </c>
      <c r="P61" s="12">
        <f>B12/10000</f>
        <v>0.13115499999999999</v>
      </c>
      <c r="Q61" s="15">
        <f>O61/P61</f>
        <v>64046.357363424955</v>
      </c>
      <c r="R61" s="15">
        <f>Q61/2100</f>
        <v>30.49826541115474</v>
      </c>
    </row>
    <row r="62" spans="4:18" x14ac:dyDescent="0.25">
      <c r="D62" s="12">
        <v>2</v>
      </c>
      <c r="E62" s="12">
        <v>1.6</v>
      </c>
      <c r="F62" s="15">
        <v>16.099999999999909</v>
      </c>
      <c r="G62" s="15">
        <f t="shared" ref="G62:G65" si="35">F62*1000</f>
        <v>16099.999999999909</v>
      </c>
      <c r="H62" s="12">
        <v>0.13115499999999999</v>
      </c>
      <c r="I62" s="15">
        <f t="shared" ref="I62:I65" si="36">G62/H62</f>
        <v>122755.51827989714</v>
      </c>
      <c r="J62" s="15">
        <f>I62/4560</f>
        <v>26.920069798223057</v>
      </c>
      <c r="L62" s="12">
        <v>2</v>
      </c>
      <c r="M62" s="12">
        <v>1.6</v>
      </c>
      <c r="N62" s="15">
        <v>9.6</v>
      </c>
      <c r="O62" s="15">
        <f t="shared" ref="O62:O65" si="37">N62*1000</f>
        <v>9600</v>
      </c>
      <c r="P62" s="12">
        <v>0.13115499999999999</v>
      </c>
      <c r="Q62" s="15">
        <f t="shared" ref="Q62:Q65" si="38">O62/P62</f>
        <v>73195.836986771377</v>
      </c>
      <c r="R62" s="15">
        <f t="shared" ref="R62:R65" si="39">Q62/2100</f>
        <v>34.855160469891132</v>
      </c>
    </row>
    <row r="63" spans="4:18" x14ac:dyDescent="0.25">
      <c r="D63" s="12">
        <v>3</v>
      </c>
      <c r="E63" s="166">
        <v>2.1</v>
      </c>
      <c r="F63" s="15">
        <v>11.900000000000091</v>
      </c>
      <c r="G63" s="15">
        <f t="shared" si="35"/>
        <v>11900.000000000091</v>
      </c>
      <c r="H63" s="12">
        <v>0.13115499999999999</v>
      </c>
      <c r="I63" s="15">
        <f t="shared" si="36"/>
        <v>90732.339598186052</v>
      </c>
      <c r="J63" s="15">
        <f>I63/3060</f>
        <v>29.651091371956227</v>
      </c>
      <c r="L63" s="12">
        <v>3</v>
      </c>
      <c r="M63" s="166">
        <v>2.1</v>
      </c>
      <c r="N63" s="15">
        <v>11.8</v>
      </c>
      <c r="O63" s="15">
        <f t="shared" si="37"/>
        <v>11800</v>
      </c>
      <c r="P63" s="12">
        <v>0.13115499999999999</v>
      </c>
      <c r="Q63" s="15">
        <f t="shared" si="38"/>
        <v>89969.882962906486</v>
      </c>
      <c r="R63" s="15">
        <f t="shared" si="39"/>
        <v>42.842801410907853</v>
      </c>
    </row>
    <row r="64" spans="4:18" x14ac:dyDescent="0.25">
      <c r="D64" s="12">
        <v>4</v>
      </c>
      <c r="E64" s="12">
        <v>2.7</v>
      </c>
      <c r="F64" s="15">
        <v>31.300000000000182</v>
      </c>
      <c r="G64" s="15">
        <f t="shared" si="35"/>
        <v>31300.000000000182</v>
      </c>
      <c r="H64" s="12">
        <v>0.13115499999999999</v>
      </c>
      <c r="I64" s="15">
        <f t="shared" si="36"/>
        <v>238648.92684228724</v>
      </c>
      <c r="J64" s="15">
        <f>I64/6060</f>
        <v>39.381011030080401</v>
      </c>
      <c r="L64" s="12">
        <v>4</v>
      </c>
      <c r="M64" s="12">
        <v>2.7</v>
      </c>
      <c r="N64" s="15">
        <v>13.2</v>
      </c>
      <c r="O64" s="15">
        <f t="shared" si="37"/>
        <v>13200</v>
      </c>
      <c r="P64" s="12">
        <v>0.13115499999999999</v>
      </c>
      <c r="Q64" s="15">
        <f t="shared" si="38"/>
        <v>100644.27585681065</v>
      </c>
      <c r="R64" s="15">
        <f t="shared" si="39"/>
        <v>47.925845646100314</v>
      </c>
    </row>
    <row r="65" spans="4:18" x14ac:dyDescent="0.25">
      <c r="D65" s="12">
        <v>5</v>
      </c>
      <c r="E65" s="12">
        <v>3.5</v>
      </c>
      <c r="F65" s="15">
        <v>25</v>
      </c>
      <c r="G65" s="15">
        <f t="shared" si="35"/>
        <v>25000</v>
      </c>
      <c r="H65" s="12">
        <v>0.13115499999999999</v>
      </c>
      <c r="I65" s="15">
        <f t="shared" si="36"/>
        <v>190614.15881971715</v>
      </c>
      <c r="J65" s="15">
        <f>I65/3120</f>
        <v>61.09428167298627</v>
      </c>
      <c r="L65" s="12">
        <v>5</v>
      </c>
      <c r="M65" s="12">
        <v>3.5</v>
      </c>
      <c r="N65" s="15">
        <v>15.9</v>
      </c>
      <c r="O65" s="15">
        <f t="shared" si="37"/>
        <v>15900</v>
      </c>
      <c r="P65" s="12">
        <v>0.13115499999999999</v>
      </c>
      <c r="Q65" s="15">
        <f t="shared" si="38"/>
        <v>121230.6050093401</v>
      </c>
      <c r="R65" s="15">
        <f t="shared" si="39"/>
        <v>57.728859528257189</v>
      </c>
    </row>
    <row r="67" spans="4:18" x14ac:dyDescent="0.25">
      <c r="D67" s="257" t="s">
        <v>233</v>
      </c>
      <c r="E67" s="257"/>
      <c r="F67" s="257"/>
      <c r="G67" s="257"/>
      <c r="H67" s="257"/>
      <c r="I67" s="257"/>
      <c r="J67" s="257"/>
      <c r="L67" s="257" t="s">
        <v>168</v>
      </c>
      <c r="M67" s="257"/>
      <c r="N67" s="257"/>
      <c r="O67" s="257"/>
      <c r="P67" s="257"/>
      <c r="Q67" s="257"/>
      <c r="R67" s="257"/>
    </row>
    <row r="68" spans="4:18" x14ac:dyDescent="0.25">
      <c r="D68" s="9" t="s">
        <v>74</v>
      </c>
      <c r="E68" s="139" t="s">
        <v>79</v>
      </c>
      <c r="F68" s="139" t="s">
        <v>129</v>
      </c>
      <c r="G68" s="9" t="s">
        <v>155</v>
      </c>
      <c r="H68" s="9" t="s">
        <v>156</v>
      </c>
      <c r="I68" s="9" t="s">
        <v>225</v>
      </c>
      <c r="J68" s="9" t="s">
        <v>158</v>
      </c>
      <c r="L68" s="9" t="s">
        <v>74</v>
      </c>
      <c r="M68" s="139" t="s">
        <v>79</v>
      </c>
      <c r="N68" s="139" t="s">
        <v>129</v>
      </c>
      <c r="O68" s="9" t="s">
        <v>155</v>
      </c>
      <c r="P68" s="9" t="s">
        <v>156</v>
      </c>
      <c r="Q68" s="9" t="s">
        <v>157</v>
      </c>
      <c r="R68" s="9" t="s">
        <v>158</v>
      </c>
    </row>
    <row r="69" spans="4:18" x14ac:dyDescent="0.25">
      <c r="D69" s="12">
        <v>1</v>
      </c>
      <c r="E69" s="167">
        <v>1.1000000000000001</v>
      </c>
      <c r="F69" s="165">
        <v>11.400000000000091</v>
      </c>
      <c r="G69" s="15">
        <f>F69*1000</f>
        <v>11400.000000000091</v>
      </c>
      <c r="H69" s="12">
        <v>0.116077</v>
      </c>
      <c r="I69" s="15">
        <f>G69/H69</f>
        <v>98210.67050320124</v>
      </c>
      <c r="J69" s="15">
        <f>I69/2100</f>
        <v>46.766985953905355</v>
      </c>
      <c r="L69" s="12">
        <v>1</v>
      </c>
      <c r="M69" s="167">
        <v>1.1000000000000001</v>
      </c>
      <c r="N69" s="165">
        <v>9.1999999999999993</v>
      </c>
      <c r="O69" s="15">
        <f>N69*1000</f>
        <v>9200</v>
      </c>
      <c r="P69" s="12">
        <f>B13/10000</f>
        <v>0.116077</v>
      </c>
      <c r="Q69" s="15">
        <f>O69/P69</f>
        <v>79257.734090302125</v>
      </c>
      <c r="R69" s="15">
        <f>Q69/2100</f>
        <v>37.741778138239106</v>
      </c>
    </row>
    <row r="70" spans="4:18" x14ac:dyDescent="0.25">
      <c r="D70" s="12">
        <v>2</v>
      </c>
      <c r="E70" s="12">
        <v>1.6</v>
      </c>
      <c r="F70" s="15">
        <v>15.800000000000182</v>
      </c>
      <c r="G70" s="15">
        <f t="shared" ref="G70:G73" si="40">F70*1000</f>
        <v>15800.000000000182</v>
      </c>
      <c r="H70" s="12">
        <v>0.116077</v>
      </c>
      <c r="I70" s="15">
        <f t="shared" ref="I70:I73" si="41">G70/H70</f>
        <v>136116.5433289987</v>
      </c>
      <c r="J70" s="15">
        <f>I70/4560</f>
        <v>29.850119151096205</v>
      </c>
      <c r="L70" s="12">
        <v>2</v>
      </c>
      <c r="M70" s="12">
        <v>1.6</v>
      </c>
      <c r="N70" s="15">
        <v>8.5</v>
      </c>
      <c r="O70" s="15">
        <f t="shared" ref="O70:O73" si="42">N70*1000</f>
        <v>8500</v>
      </c>
      <c r="P70" s="12">
        <v>0.116077</v>
      </c>
      <c r="Q70" s="15">
        <f t="shared" ref="Q70:Q73" si="43">O70/P70</f>
        <v>73227.254322561741</v>
      </c>
      <c r="R70" s="15">
        <f t="shared" ref="R70:R73" si="44">Q70/2100</f>
        <v>34.870121105981781</v>
      </c>
    </row>
    <row r="71" spans="4:18" x14ac:dyDescent="0.25">
      <c r="D71" s="12">
        <v>3</v>
      </c>
      <c r="E71" s="166">
        <v>2.1</v>
      </c>
      <c r="F71" s="15">
        <v>10.699999999999818</v>
      </c>
      <c r="G71" s="15">
        <f t="shared" si="40"/>
        <v>10699.999999999818</v>
      </c>
      <c r="H71" s="12">
        <v>0.116077</v>
      </c>
      <c r="I71" s="15">
        <f t="shared" si="41"/>
        <v>92180.190735458513</v>
      </c>
      <c r="J71" s="15">
        <f>I71/3060</f>
        <v>30.124245338385133</v>
      </c>
      <c r="L71" s="12">
        <v>3</v>
      </c>
      <c r="M71" s="166">
        <v>2.1</v>
      </c>
      <c r="N71" s="15">
        <v>9.1</v>
      </c>
      <c r="O71" s="15">
        <f t="shared" si="42"/>
        <v>9100</v>
      </c>
      <c r="P71" s="12">
        <v>0.116077</v>
      </c>
      <c r="Q71" s="15">
        <f t="shared" si="43"/>
        <v>78396.236980624933</v>
      </c>
      <c r="R71" s="15">
        <f t="shared" si="44"/>
        <v>37.331541419345207</v>
      </c>
    </row>
    <row r="72" spans="4:18" x14ac:dyDescent="0.25">
      <c r="D72" s="12">
        <v>4</v>
      </c>
      <c r="E72" s="12">
        <v>2.7</v>
      </c>
      <c r="F72" s="15">
        <v>28.800000000000182</v>
      </c>
      <c r="G72" s="15">
        <f t="shared" si="40"/>
        <v>28800.000000000182</v>
      </c>
      <c r="H72" s="12">
        <v>0.116077</v>
      </c>
      <c r="I72" s="15">
        <f t="shared" si="41"/>
        <v>248111.16758703432</v>
      </c>
      <c r="J72" s="15">
        <f>I72/6060</f>
        <v>40.942436895550216</v>
      </c>
      <c r="L72" s="12">
        <v>4</v>
      </c>
      <c r="M72" s="12">
        <v>2.7</v>
      </c>
      <c r="N72" s="15">
        <v>10.7</v>
      </c>
      <c r="O72" s="15">
        <f t="shared" si="42"/>
        <v>10700</v>
      </c>
      <c r="P72" s="12">
        <v>0.116077</v>
      </c>
      <c r="Q72" s="15">
        <f t="shared" si="43"/>
        <v>92180.190735460084</v>
      </c>
      <c r="R72" s="15">
        <f t="shared" si="44"/>
        <v>43.895328921647661</v>
      </c>
    </row>
    <row r="73" spans="4:18" x14ac:dyDescent="0.25">
      <c r="D73" s="12">
        <v>5</v>
      </c>
      <c r="E73" s="12">
        <v>3.5</v>
      </c>
      <c r="F73" s="15">
        <v>22</v>
      </c>
      <c r="G73" s="15">
        <f t="shared" si="40"/>
        <v>22000</v>
      </c>
      <c r="H73" s="12">
        <v>0.116077</v>
      </c>
      <c r="I73" s="15">
        <f t="shared" si="41"/>
        <v>189529.36412898335</v>
      </c>
      <c r="J73" s="15">
        <f>I73/3120</f>
        <v>60.746591066981843</v>
      </c>
      <c r="L73" s="12">
        <v>5</v>
      </c>
      <c r="M73" s="12">
        <v>3.5</v>
      </c>
      <c r="N73" s="15">
        <v>13.2</v>
      </c>
      <c r="O73" s="15">
        <f t="shared" si="42"/>
        <v>13200</v>
      </c>
      <c r="P73" s="12">
        <v>0.116077</v>
      </c>
      <c r="Q73" s="15">
        <f t="shared" si="43"/>
        <v>113717.61847739</v>
      </c>
      <c r="R73" s="15">
        <f t="shared" si="44"/>
        <v>54.151246893995236</v>
      </c>
    </row>
    <row r="75" spans="4:18" x14ac:dyDescent="0.25">
      <c r="D75" s="257" t="s">
        <v>234</v>
      </c>
      <c r="E75" s="257"/>
      <c r="F75" s="257"/>
      <c r="G75" s="257"/>
      <c r="H75" s="257"/>
      <c r="I75" s="257"/>
      <c r="J75" s="257"/>
      <c r="L75" s="257" t="s">
        <v>169</v>
      </c>
      <c r="M75" s="257"/>
      <c r="N75" s="257"/>
      <c r="O75" s="257"/>
      <c r="P75" s="257"/>
      <c r="Q75" s="257"/>
      <c r="R75" s="257"/>
    </row>
    <row r="76" spans="4:18" x14ac:dyDescent="0.25">
      <c r="D76" s="9" t="s">
        <v>74</v>
      </c>
      <c r="E76" s="139" t="s">
        <v>79</v>
      </c>
      <c r="F76" s="139" t="s">
        <v>129</v>
      </c>
      <c r="G76" s="9" t="s">
        <v>155</v>
      </c>
      <c r="H76" s="9" t="s">
        <v>156</v>
      </c>
      <c r="I76" s="9" t="s">
        <v>225</v>
      </c>
      <c r="J76" s="9" t="s">
        <v>158</v>
      </c>
      <c r="L76" s="9" t="s">
        <v>74</v>
      </c>
      <c r="M76" s="139" t="s">
        <v>79</v>
      </c>
      <c r="N76" s="139" t="s">
        <v>129</v>
      </c>
      <c r="O76" s="9" t="s">
        <v>155</v>
      </c>
      <c r="P76" s="9" t="s">
        <v>156</v>
      </c>
      <c r="Q76" s="9" t="s">
        <v>157</v>
      </c>
      <c r="R76" s="9" t="s">
        <v>158</v>
      </c>
    </row>
    <row r="77" spans="4:18" x14ac:dyDescent="0.25">
      <c r="D77" s="12">
        <v>1</v>
      </c>
      <c r="E77" s="167">
        <v>1.1000000000000001</v>
      </c>
      <c r="F77" s="165">
        <v>11.400000000000091</v>
      </c>
      <c r="G77" s="15">
        <f>F77*1000</f>
        <v>11400.000000000091</v>
      </c>
      <c r="H77" s="12">
        <v>0.10105499999999999</v>
      </c>
      <c r="I77" s="15">
        <f>G77/H77</f>
        <v>112809.85601900046</v>
      </c>
      <c r="J77" s="15">
        <f>I77/2100</f>
        <v>53.718979056666889</v>
      </c>
      <c r="L77" s="12">
        <v>1</v>
      </c>
      <c r="M77" s="167">
        <v>1.1000000000000001</v>
      </c>
      <c r="N77" s="165">
        <v>7.71</v>
      </c>
      <c r="O77" s="15">
        <f>N77*1000</f>
        <v>7710</v>
      </c>
      <c r="P77" s="12">
        <f>B14/10000</f>
        <v>0.10105499999999999</v>
      </c>
      <c r="Q77" s="15">
        <f>O77/P77</f>
        <v>76295.086833902344</v>
      </c>
      <c r="R77" s="15">
        <f>Q77/2100</f>
        <v>36.330993730429689</v>
      </c>
    </row>
    <row r="78" spans="4:18" x14ac:dyDescent="0.25">
      <c r="D78" s="12">
        <v>2</v>
      </c>
      <c r="E78" s="12">
        <v>1.6</v>
      </c>
      <c r="F78" s="15">
        <v>16.400000000000091</v>
      </c>
      <c r="G78" s="15">
        <f t="shared" ref="G78:G81" si="45">F78*1000</f>
        <v>16400.000000000091</v>
      </c>
      <c r="H78" s="12">
        <v>0.10105499999999999</v>
      </c>
      <c r="I78" s="15">
        <f t="shared" ref="I78:I81" si="46">G78/H78</f>
        <v>162287.86304487748</v>
      </c>
      <c r="J78" s="15">
        <f>I78/4560</f>
        <v>35.589443650192429</v>
      </c>
      <c r="L78" s="12">
        <v>2</v>
      </c>
      <c r="M78" s="12">
        <v>1.6</v>
      </c>
      <c r="N78" s="15">
        <v>8.4</v>
      </c>
      <c r="O78" s="15">
        <f t="shared" ref="O78:O81" si="47">N78*1000</f>
        <v>8400</v>
      </c>
      <c r="P78" s="12">
        <v>0.10105499999999999</v>
      </c>
      <c r="Q78" s="15">
        <f t="shared" ref="Q78:Q81" si="48">O78/P78</f>
        <v>83123.051803473369</v>
      </c>
      <c r="R78" s="15">
        <f t="shared" ref="R78:R81" si="49">Q78/2100</f>
        <v>39.582405620701607</v>
      </c>
    </row>
    <row r="79" spans="4:18" x14ac:dyDescent="0.25">
      <c r="D79" s="12">
        <v>3</v>
      </c>
      <c r="E79" s="166">
        <v>2.1</v>
      </c>
      <c r="F79" s="15">
        <v>11.199999999999818</v>
      </c>
      <c r="G79" s="15">
        <f t="shared" si="45"/>
        <v>11199.999999999818</v>
      </c>
      <c r="H79" s="12">
        <v>0.10105499999999999</v>
      </c>
      <c r="I79" s="15">
        <f t="shared" si="46"/>
        <v>110830.73573796268</v>
      </c>
      <c r="J79" s="15">
        <f>I79/3060</f>
        <v>36.21919468560872</v>
      </c>
      <c r="L79" s="12">
        <v>3</v>
      </c>
      <c r="M79" s="166">
        <v>2.1</v>
      </c>
      <c r="N79" s="15">
        <v>10.3</v>
      </c>
      <c r="O79" s="15">
        <f t="shared" si="47"/>
        <v>10300</v>
      </c>
      <c r="P79" s="12">
        <v>0.10105499999999999</v>
      </c>
      <c r="Q79" s="15">
        <f t="shared" si="48"/>
        <v>101924.69447330662</v>
      </c>
      <c r="R79" s="15">
        <f t="shared" si="49"/>
        <v>48.535568796812676</v>
      </c>
    </row>
    <row r="80" spans="4:18" x14ac:dyDescent="0.25">
      <c r="D80" s="12">
        <v>4</v>
      </c>
      <c r="E80" s="12">
        <v>2.7</v>
      </c>
      <c r="F80" s="15">
        <v>29</v>
      </c>
      <c r="G80" s="15">
        <f t="shared" si="45"/>
        <v>29000</v>
      </c>
      <c r="H80" s="12">
        <v>0.10105499999999999</v>
      </c>
      <c r="I80" s="15">
        <f t="shared" si="46"/>
        <v>286972.44075008662</v>
      </c>
      <c r="J80" s="15">
        <f>I80/6060</f>
        <v>47.355188242588554</v>
      </c>
      <c r="L80" s="12">
        <v>4</v>
      </c>
      <c r="M80" s="12">
        <v>2.7</v>
      </c>
      <c r="N80" s="15">
        <v>11.3</v>
      </c>
      <c r="O80" s="15">
        <f t="shared" si="47"/>
        <v>11300</v>
      </c>
      <c r="P80" s="12">
        <v>0.10105499999999999</v>
      </c>
      <c r="Q80" s="15">
        <f t="shared" si="48"/>
        <v>111820.29587848202</v>
      </c>
      <c r="R80" s="15">
        <f t="shared" si="49"/>
        <v>53.247759942134294</v>
      </c>
    </row>
    <row r="81" spans="4:18" x14ac:dyDescent="0.25">
      <c r="D81" s="12">
        <v>5</v>
      </c>
      <c r="E81" s="12">
        <v>3.5</v>
      </c>
      <c r="F81" s="15">
        <v>19.800000000000182</v>
      </c>
      <c r="G81" s="15">
        <f t="shared" si="45"/>
        <v>19800.000000000182</v>
      </c>
      <c r="H81" s="12">
        <v>0.10105499999999999</v>
      </c>
      <c r="I81" s="15">
        <f t="shared" si="46"/>
        <v>195932.90782247472</v>
      </c>
      <c r="J81" s="15">
        <f>I81/3120</f>
        <v>62.799008917459844</v>
      </c>
      <c r="L81" s="12">
        <v>5</v>
      </c>
      <c r="M81" s="12">
        <v>3.5</v>
      </c>
      <c r="N81" s="15">
        <v>12.3</v>
      </c>
      <c r="O81" s="15">
        <f t="shared" si="47"/>
        <v>12300</v>
      </c>
      <c r="P81" s="12">
        <v>0.10105499999999999</v>
      </c>
      <c r="Q81" s="15">
        <f t="shared" si="48"/>
        <v>121715.89728365742</v>
      </c>
      <c r="R81" s="15">
        <f t="shared" si="49"/>
        <v>57.95995108745592</v>
      </c>
    </row>
    <row r="83" spans="4:18" x14ac:dyDescent="0.25">
      <c r="D83" s="257" t="s">
        <v>235</v>
      </c>
      <c r="E83" s="257"/>
      <c r="F83" s="257"/>
      <c r="G83" s="257"/>
      <c r="H83" s="257"/>
      <c r="I83" s="257"/>
      <c r="J83" s="257"/>
      <c r="L83" s="257" t="s">
        <v>170</v>
      </c>
      <c r="M83" s="257"/>
      <c r="N83" s="257"/>
      <c r="O83" s="257"/>
      <c r="P83" s="257"/>
      <c r="Q83" s="257"/>
      <c r="R83" s="257"/>
    </row>
    <row r="84" spans="4:18" x14ac:dyDescent="0.25">
      <c r="D84" s="9" t="s">
        <v>74</v>
      </c>
      <c r="E84" s="139" t="s">
        <v>79</v>
      </c>
      <c r="F84" s="139" t="s">
        <v>129</v>
      </c>
      <c r="G84" s="9" t="s">
        <v>155</v>
      </c>
      <c r="H84" s="9" t="s">
        <v>156</v>
      </c>
      <c r="I84" s="9" t="s">
        <v>225</v>
      </c>
      <c r="J84" s="9" t="s">
        <v>158</v>
      </c>
      <c r="L84" s="9" t="s">
        <v>74</v>
      </c>
      <c r="M84" s="139" t="s">
        <v>79</v>
      </c>
      <c r="N84" s="139" t="s">
        <v>129</v>
      </c>
      <c r="O84" s="9" t="s">
        <v>155</v>
      </c>
      <c r="P84" s="9" t="s">
        <v>156</v>
      </c>
      <c r="Q84" s="9" t="s">
        <v>157</v>
      </c>
      <c r="R84" s="9" t="s">
        <v>158</v>
      </c>
    </row>
    <row r="85" spans="4:18" x14ac:dyDescent="0.25">
      <c r="D85" s="12">
        <v>1</v>
      </c>
      <c r="E85" s="167">
        <v>1.1000000000000001</v>
      </c>
      <c r="F85" s="165">
        <v>12.800000000000182</v>
      </c>
      <c r="G85" s="15">
        <f>F85*1000</f>
        <v>12800.000000000182</v>
      </c>
      <c r="H85" s="12">
        <v>0.13226400000000002</v>
      </c>
      <c r="I85" s="15">
        <f>G85/H85</f>
        <v>96776.14468033766</v>
      </c>
      <c r="J85" s="15">
        <f>I85/2100</f>
        <v>46.083878419208411</v>
      </c>
      <c r="L85" s="12">
        <v>1</v>
      </c>
      <c r="M85" s="167">
        <v>1.1000000000000001</v>
      </c>
      <c r="N85" s="165">
        <v>9.1999999999999993</v>
      </c>
      <c r="O85" s="15">
        <f>N85*1000</f>
        <v>9200</v>
      </c>
      <c r="P85" s="12">
        <f>B16/10000</f>
        <v>0.13226400000000002</v>
      </c>
      <c r="Q85" s="15">
        <f>O85/P85</f>
        <v>69557.853988991701</v>
      </c>
      <c r="R85" s="15">
        <f>Q85/2100</f>
        <v>33.122787613805571</v>
      </c>
    </row>
    <row r="86" spans="4:18" x14ac:dyDescent="0.25">
      <c r="D86" s="12">
        <v>2</v>
      </c>
      <c r="E86" s="12">
        <v>1.6</v>
      </c>
      <c r="F86" s="15">
        <v>19.299999999999727</v>
      </c>
      <c r="G86" s="15">
        <f t="shared" ref="G86:G89" si="50">F86*1000</f>
        <v>19299.999999999727</v>
      </c>
      <c r="H86" s="12">
        <v>0.13226400000000002</v>
      </c>
      <c r="I86" s="15">
        <f t="shared" ref="I86:I89" si="51">G86/H86</f>
        <v>145920.2806508175</v>
      </c>
      <c r="J86" s="15">
        <f>I86/4560</f>
        <v>32.000061546231905</v>
      </c>
      <c r="L86" s="12">
        <v>2</v>
      </c>
      <c r="M86" s="12">
        <v>1.6</v>
      </c>
      <c r="N86" s="15">
        <v>11.3</v>
      </c>
      <c r="O86" s="15">
        <f t="shared" ref="O86:O89" si="52">N86*1000</f>
        <v>11300</v>
      </c>
      <c r="P86" s="12">
        <v>0.13226400000000002</v>
      </c>
      <c r="Q86" s="15">
        <f t="shared" ref="Q86:Q89" si="53">O86/P86</f>
        <v>85435.190225609374</v>
      </c>
      <c r="R86" s="15">
        <f t="shared" ref="R86:R89" si="54">Q86/2100</f>
        <v>40.683423916956848</v>
      </c>
    </row>
    <row r="87" spans="4:18" x14ac:dyDescent="0.25">
      <c r="D87" s="12">
        <v>3</v>
      </c>
      <c r="E87" s="166">
        <v>2.1</v>
      </c>
      <c r="F87" s="15">
        <v>13.600000000000364</v>
      </c>
      <c r="G87" s="15">
        <f t="shared" si="50"/>
        <v>13600.000000000364</v>
      </c>
      <c r="H87" s="12">
        <v>0.13226400000000002</v>
      </c>
      <c r="I87" s="15">
        <f t="shared" si="51"/>
        <v>102824.65372286005</v>
      </c>
      <c r="J87" s="15">
        <f>I87/3060</f>
        <v>33.602828014006555</v>
      </c>
      <c r="L87" s="12">
        <v>3</v>
      </c>
      <c r="M87" s="166">
        <v>2.1</v>
      </c>
      <c r="N87" s="15">
        <v>13.9</v>
      </c>
      <c r="O87" s="15">
        <f t="shared" si="52"/>
        <v>13900</v>
      </c>
      <c r="P87" s="12">
        <v>0.13226400000000002</v>
      </c>
      <c r="Q87" s="15">
        <f t="shared" si="53"/>
        <v>105092.84461380268</v>
      </c>
      <c r="R87" s="15">
        <f t="shared" si="54"/>
        <v>50.044211720858421</v>
      </c>
    </row>
    <row r="88" spans="4:18" x14ac:dyDescent="0.25">
      <c r="D88" s="12">
        <v>4</v>
      </c>
      <c r="E88" s="12">
        <v>2.7</v>
      </c>
      <c r="F88" s="15">
        <v>31.199999999999818</v>
      </c>
      <c r="G88" s="15">
        <f t="shared" si="50"/>
        <v>31199.999999999818</v>
      </c>
      <c r="H88" s="12">
        <v>0.13226400000000002</v>
      </c>
      <c r="I88" s="15">
        <f t="shared" si="51"/>
        <v>235891.85265831833</v>
      </c>
      <c r="J88" s="15">
        <f>I88/6060</f>
        <v>38.926048293451871</v>
      </c>
      <c r="L88" s="12">
        <v>4</v>
      </c>
      <c r="M88" s="12">
        <v>2.7</v>
      </c>
      <c r="N88" s="15">
        <v>16.7</v>
      </c>
      <c r="O88" s="15">
        <f t="shared" si="52"/>
        <v>16700</v>
      </c>
      <c r="P88" s="12">
        <v>0.13226400000000002</v>
      </c>
      <c r="Q88" s="15">
        <f t="shared" si="53"/>
        <v>126262.62626262625</v>
      </c>
      <c r="R88" s="15">
        <f t="shared" si="54"/>
        <v>60.125060125060116</v>
      </c>
    </row>
    <row r="89" spans="4:18" x14ac:dyDescent="0.25">
      <c r="D89" s="12">
        <v>5</v>
      </c>
      <c r="E89" s="12">
        <v>3.5</v>
      </c>
      <c r="F89" s="15">
        <v>23.5</v>
      </c>
      <c r="G89" s="15">
        <f t="shared" si="50"/>
        <v>23500</v>
      </c>
      <c r="H89" s="12">
        <v>0.13226400000000002</v>
      </c>
      <c r="I89" s="15">
        <f t="shared" si="51"/>
        <v>177674.95312405488</v>
      </c>
      <c r="J89" s="15">
        <f>I89/3120</f>
        <v>56.947100360274</v>
      </c>
      <c r="L89" s="12">
        <v>5</v>
      </c>
      <c r="M89" s="12">
        <v>3.5</v>
      </c>
      <c r="N89" s="15">
        <v>17.3</v>
      </c>
      <c r="O89" s="15">
        <f t="shared" si="52"/>
        <v>17300</v>
      </c>
      <c r="P89" s="12">
        <v>0.13226400000000002</v>
      </c>
      <c r="Q89" s="15">
        <f t="shared" si="53"/>
        <v>130799.008044517</v>
      </c>
      <c r="R89" s="15">
        <f t="shared" si="54"/>
        <v>62.285241925960477</v>
      </c>
    </row>
    <row r="91" spans="4:18" x14ac:dyDescent="0.25">
      <c r="D91" s="257" t="s">
        <v>236</v>
      </c>
      <c r="E91" s="257"/>
      <c r="F91" s="257"/>
      <c r="G91" s="257"/>
      <c r="H91" s="257"/>
      <c r="I91" s="257"/>
      <c r="J91" s="257"/>
      <c r="L91" s="257" t="s">
        <v>171</v>
      </c>
      <c r="M91" s="257"/>
      <c r="N91" s="257"/>
      <c r="O91" s="257"/>
      <c r="P91" s="257"/>
      <c r="Q91" s="257"/>
      <c r="R91" s="257"/>
    </row>
    <row r="92" spans="4:18" x14ac:dyDescent="0.25">
      <c r="D92" s="9" t="s">
        <v>74</v>
      </c>
      <c r="E92" s="139" t="s">
        <v>79</v>
      </c>
      <c r="F92" s="139" t="s">
        <v>129</v>
      </c>
      <c r="G92" s="9" t="s">
        <v>155</v>
      </c>
      <c r="H92" s="9" t="s">
        <v>156</v>
      </c>
      <c r="I92" s="9" t="s">
        <v>225</v>
      </c>
      <c r="J92" s="9" t="s">
        <v>158</v>
      </c>
      <c r="L92" s="9" t="s">
        <v>74</v>
      </c>
      <c r="M92" s="139" t="s">
        <v>79</v>
      </c>
      <c r="N92" s="139" t="s">
        <v>129</v>
      </c>
      <c r="O92" s="9" t="s">
        <v>155</v>
      </c>
      <c r="P92" s="9" t="s">
        <v>156</v>
      </c>
      <c r="Q92" s="9" t="s">
        <v>157</v>
      </c>
      <c r="R92" s="9" t="s">
        <v>158</v>
      </c>
    </row>
    <row r="93" spans="4:18" x14ac:dyDescent="0.25">
      <c r="D93" s="12">
        <v>1</v>
      </c>
      <c r="E93" s="167">
        <v>1.1000000000000001</v>
      </c>
      <c r="F93" s="165">
        <v>10.199999999999818</v>
      </c>
      <c r="G93" s="15">
        <f>F93*1000</f>
        <v>10199.999999999818</v>
      </c>
      <c r="H93" s="12">
        <v>0.101976</v>
      </c>
      <c r="I93" s="15">
        <f>G93/H93</f>
        <v>100023.53494939808</v>
      </c>
      <c r="J93" s="15">
        <f>I93/2100</f>
        <v>47.630254737808606</v>
      </c>
      <c r="L93" s="12">
        <v>1</v>
      </c>
      <c r="M93" s="167">
        <v>1.1000000000000001</v>
      </c>
      <c r="N93" s="165">
        <v>6.6</v>
      </c>
      <c r="O93" s="15">
        <f>N93*1000</f>
        <v>6600</v>
      </c>
      <c r="P93" s="12">
        <f>B18/10000</f>
        <v>0.101976</v>
      </c>
      <c r="Q93" s="15">
        <f>O93/P93</f>
        <v>64721.110849611672</v>
      </c>
      <c r="R93" s="15">
        <f>Q93/2100</f>
        <v>30.819576595053178</v>
      </c>
    </row>
    <row r="94" spans="4:18" x14ac:dyDescent="0.25">
      <c r="D94" s="12">
        <v>2</v>
      </c>
      <c r="E94" s="12">
        <v>1.6</v>
      </c>
      <c r="F94" s="15">
        <v>16.400000000000091</v>
      </c>
      <c r="G94" s="15">
        <f t="shared" ref="G94:G97" si="55">F94*1000</f>
        <v>16400.000000000091</v>
      </c>
      <c r="H94" s="12">
        <v>0.101976</v>
      </c>
      <c r="I94" s="15">
        <f t="shared" ref="I94:I97" si="56">G94/H94</f>
        <v>160822.1542323693</v>
      </c>
      <c r="J94" s="15">
        <f>I94/4560</f>
        <v>35.268016279028352</v>
      </c>
      <c r="L94" s="12">
        <v>2</v>
      </c>
      <c r="M94" s="12">
        <v>1.6</v>
      </c>
      <c r="N94" s="15">
        <v>8.3000000000000007</v>
      </c>
      <c r="O94" s="15">
        <f t="shared" ref="O94:O97" si="57">N94*1000</f>
        <v>8300</v>
      </c>
      <c r="P94" s="12">
        <v>0.101976</v>
      </c>
      <c r="Q94" s="15">
        <f t="shared" ref="Q94:Q97" si="58">O94/P94</f>
        <v>81391.700007844978</v>
      </c>
      <c r="R94" s="15">
        <f t="shared" ref="R94:R97" si="59">Q94/2100</f>
        <v>38.757952384688082</v>
      </c>
    </row>
    <row r="95" spans="4:18" x14ac:dyDescent="0.25">
      <c r="D95" s="12">
        <v>3</v>
      </c>
      <c r="E95" s="166">
        <v>2.1</v>
      </c>
      <c r="F95" s="15">
        <v>10.5</v>
      </c>
      <c r="G95" s="15">
        <f t="shared" si="55"/>
        <v>10500</v>
      </c>
      <c r="H95" s="12">
        <v>0.101976</v>
      </c>
      <c r="I95" s="15">
        <f t="shared" si="56"/>
        <v>102965.4036243822</v>
      </c>
      <c r="J95" s="15">
        <f>I95/3060</f>
        <v>33.648824713850395</v>
      </c>
      <c r="L95" s="12">
        <v>3</v>
      </c>
      <c r="M95" s="166">
        <v>2.1</v>
      </c>
      <c r="N95" s="15">
        <v>12.4</v>
      </c>
      <c r="O95" s="15">
        <f t="shared" si="57"/>
        <v>12400</v>
      </c>
      <c r="P95" s="12">
        <v>0.101976</v>
      </c>
      <c r="Q95" s="15">
        <f t="shared" si="58"/>
        <v>121597.23856593709</v>
      </c>
      <c r="R95" s="15">
        <f t="shared" si="59"/>
        <v>57.90344693616052</v>
      </c>
    </row>
    <row r="96" spans="4:18" x14ac:dyDescent="0.25">
      <c r="D96" s="12">
        <v>4</v>
      </c>
      <c r="E96" s="12">
        <v>2.7</v>
      </c>
      <c r="F96" s="15">
        <v>26.200000000000273</v>
      </c>
      <c r="G96" s="15">
        <f t="shared" si="55"/>
        <v>26200.000000000273</v>
      </c>
      <c r="H96" s="12">
        <v>0.101976</v>
      </c>
      <c r="I96" s="15">
        <f t="shared" si="56"/>
        <v>256923.19761512781</v>
      </c>
      <c r="J96" s="15">
        <f>I96/6060</f>
        <v>42.396567263222408</v>
      </c>
      <c r="L96" s="12">
        <v>4</v>
      </c>
      <c r="M96" s="12">
        <v>2.7</v>
      </c>
      <c r="N96" s="15">
        <v>11.6</v>
      </c>
      <c r="O96" s="15">
        <f t="shared" si="57"/>
        <v>11600</v>
      </c>
      <c r="P96" s="12">
        <v>0.101976</v>
      </c>
      <c r="Q96" s="15">
        <f t="shared" si="58"/>
        <v>113752.25543265083</v>
      </c>
      <c r="R96" s="15">
        <f t="shared" si="59"/>
        <v>54.167740682214678</v>
      </c>
    </row>
    <row r="97" spans="4:18" x14ac:dyDescent="0.25">
      <c r="D97" s="12">
        <v>5</v>
      </c>
      <c r="E97" s="12">
        <v>3.5</v>
      </c>
      <c r="F97" s="15">
        <v>19.899999999999636</v>
      </c>
      <c r="G97" s="15">
        <f t="shared" si="55"/>
        <v>19899.999999999636</v>
      </c>
      <c r="H97" s="12">
        <v>0.101976</v>
      </c>
      <c r="I97" s="15">
        <f t="shared" si="56"/>
        <v>195143.95544049225</v>
      </c>
      <c r="J97" s="15">
        <f>I97/3120</f>
        <v>62.546139564260336</v>
      </c>
      <c r="L97" s="12">
        <v>5</v>
      </c>
      <c r="M97" s="12">
        <v>3.5</v>
      </c>
      <c r="N97" s="15">
        <v>12</v>
      </c>
      <c r="O97" s="15">
        <f t="shared" si="57"/>
        <v>12000</v>
      </c>
      <c r="P97" s="12">
        <v>0.101976</v>
      </c>
      <c r="Q97" s="15">
        <f t="shared" si="58"/>
        <v>117674.74699929396</v>
      </c>
      <c r="R97" s="15">
        <f t="shared" si="59"/>
        <v>56.035593809187603</v>
      </c>
    </row>
    <row r="99" spans="4:18" x14ac:dyDescent="0.25">
      <c r="D99" s="257" t="s">
        <v>237</v>
      </c>
      <c r="E99" s="257"/>
      <c r="F99" s="257"/>
      <c r="G99" s="257"/>
      <c r="H99" s="257"/>
      <c r="I99" s="257"/>
      <c r="J99" s="257"/>
      <c r="L99" s="257" t="s">
        <v>172</v>
      </c>
      <c r="M99" s="257"/>
      <c r="N99" s="257"/>
      <c r="O99" s="257"/>
      <c r="P99" s="257"/>
      <c r="Q99" s="257"/>
      <c r="R99" s="257"/>
    </row>
    <row r="100" spans="4:18" x14ac:dyDescent="0.25">
      <c r="D100" s="9" t="s">
        <v>74</v>
      </c>
      <c r="E100" s="139" t="s">
        <v>79</v>
      </c>
      <c r="F100" s="139" t="s">
        <v>129</v>
      </c>
      <c r="G100" s="9" t="s">
        <v>155</v>
      </c>
      <c r="H100" s="9" t="s">
        <v>156</v>
      </c>
      <c r="I100" s="9" t="s">
        <v>225</v>
      </c>
      <c r="J100" s="9" t="s">
        <v>158</v>
      </c>
      <c r="L100" s="9" t="s">
        <v>74</v>
      </c>
      <c r="M100" s="139" t="s">
        <v>79</v>
      </c>
      <c r="N100" s="139" t="s">
        <v>129</v>
      </c>
      <c r="O100" s="9" t="s">
        <v>155</v>
      </c>
      <c r="P100" s="9" t="s">
        <v>156</v>
      </c>
      <c r="Q100" s="9" t="s">
        <v>157</v>
      </c>
      <c r="R100" s="9" t="s">
        <v>158</v>
      </c>
    </row>
    <row r="101" spans="4:18" x14ac:dyDescent="0.25">
      <c r="D101" s="12">
        <v>1</v>
      </c>
      <c r="E101" s="167">
        <v>1.1000000000000001</v>
      </c>
      <c r="F101" s="165">
        <v>4.6000000000003638</v>
      </c>
      <c r="G101" s="15">
        <f>F101*1000</f>
        <v>4600.0000000003638</v>
      </c>
      <c r="H101" s="12">
        <v>4.7573999999999998E-2</v>
      </c>
      <c r="I101" s="15">
        <f>G101/H101</f>
        <v>96691.470130751331</v>
      </c>
      <c r="J101" s="15">
        <f>I101/2100</f>
        <v>46.043557205119683</v>
      </c>
      <c r="L101" s="12">
        <v>1</v>
      </c>
      <c r="M101" s="167">
        <v>1.1000000000000001</v>
      </c>
      <c r="N101" s="165">
        <v>3.5</v>
      </c>
      <c r="O101" s="15">
        <f>N101*1000</f>
        <v>3500</v>
      </c>
      <c r="P101" s="12">
        <f>B19/10000</f>
        <v>4.7573999999999998E-2</v>
      </c>
      <c r="Q101" s="15">
        <f>O101/P101</f>
        <v>73569.59683860933</v>
      </c>
      <c r="R101" s="15">
        <f>Q101/2100</f>
        <v>35.033141351718726</v>
      </c>
    </row>
    <row r="102" spans="4:18" x14ac:dyDescent="0.25">
      <c r="D102" s="12">
        <v>2</v>
      </c>
      <c r="E102" s="12">
        <v>1.6</v>
      </c>
      <c r="F102" s="15">
        <v>7.5</v>
      </c>
      <c r="G102" s="15">
        <f t="shared" ref="G102:G105" si="60">F102*1000</f>
        <v>7500</v>
      </c>
      <c r="H102" s="12">
        <v>4.7573999999999998E-2</v>
      </c>
      <c r="I102" s="15">
        <f t="shared" ref="I102:I105" si="61">G102/H102</f>
        <v>157649.13608273427</v>
      </c>
      <c r="J102" s="15">
        <f>I102/4560</f>
        <v>34.572178965511903</v>
      </c>
      <c r="L102" s="12">
        <v>2</v>
      </c>
      <c r="M102" s="12">
        <v>1.6</v>
      </c>
      <c r="N102" s="15">
        <v>4.3</v>
      </c>
      <c r="O102" s="15">
        <f t="shared" ref="O102:O105" si="62">N102*1000</f>
        <v>4300</v>
      </c>
      <c r="P102" s="12">
        <v>4.7573999999999998E-2</v>
      </c>
      <c r="Q102" s="15">
        <f t="shared" ref="Q102:Q105" si="63">O102/P102</f>
        <v>90385.50468743431</v>
      </c>
      <c r="R102" s="15">
        <f t="shared" ref="R102:R105" si="64">Q102/2100</f>
        <v>43.040716517825864</v>
      </c>
    </row>
    <row r="103" spans="4:18" x14ac:dyDescent="0.25">
      <c r="D103" s="12">
        <v>3</v>
      </c>
      <c r="E103" s="166">
        <v>2.1</v>
      </c>
      <c r="F103" s="15">
        <v>4.8999999999996362</v>
      </c>
      <c r="G103" s="15">
        <f t="shared" si="60"/>
        <v>4899.9999999996362</v>
      </c>
      <c r="H103" s="12">
        <v>4.7573999999999998E-2</v>
      </c>
      <c r="I103" s="15">
        <f t="shared" si="61"/>
        <v>102997.4355740454</v>
      </c>
      <c r="J103" s="15">
        <f>I103/3060</f>
        <v>33.659292671256665</v>
      </c>
      <c r="L103" s="12">
        <v>3</v>
      </c>
      <c r="M103" s="166">
        <v>2.1</v>
      </c>
      <c r="N103" s="15">
        <v>5</v>
      </c>
      <c r="O103" s="15">
        <f t="shared" si="62"/>
        <v>5000</v>
      </c>
      <c r="P103" s="12">
        <v>4.7573999999999998E-2</v>
      </c>
      <c r="Q103" s="15">
        <f t="shared" si="63"/>
        <v>105099.42405515618</v>
      </c>
      <c r="R103" s="15">
        <f t="shared" si="64"/>
        <v>50.04734478816961</v>
      </c>
    </row>
    <row r="104" spans="4:18" x14ac:dyDescent="0.25">
      <c r="D104" s="12">
        <v>4</v>
      </c>
      <c r="E104" s="12">
        <v>2.7</v>
      </c>
      <c r="F104" s="15">
        <v>11.300000000000182</v>
      </c>
      <c r="G104" s="15">
        <f t="shared" si="60"/>
        <v>11300.000000000182</v>
      </c>
      <c r="H104" s="12">
        <v>4.7573999999999998E-2</v>
      </c>
      <c r="I104" s="15">
        <f t="shared" si="61"/>
        <v>237524.6983646568</v>
      </c>
      <c r="J104" s="15">
        <f>I104/6060</f>
        <v>39.195494779646339</v>
      </c>
      <c r="L104" s="12">
        <v>4</v>
      </c>
      <c r="M104" s="12">
        <v>2.7</v>
      </c>
      <c r="N104" s="15">
        <v>5.7</v>
      </c>
      <c r="O104" s="15">
        <f t="shared" si="62"/>
        <v>5700</v>
      </c>
      <c r="P104" s="12">
        <v>4.7573999999999998E-2</v>
      </c>
      <c r="Q104" s="15">
        <f t="shared" si="63"/>
        <v>119813.34342287805</v>
      </c>
      <c r="R104" s="15">
        <f t="shared" si="64"/>
        <v>57.053973058513357</v>
      </c>
    </row>
    <row r="105" spans="4:18" x14ac:dyDescent="0.25">
      <c r="D105" s="12">
        <v>5</v>
      </c>
      <c r="E105" s="12">
        <v>3.5</v>
      </c>
      <c r="F105" s="15">
        <v>10.400000000000091</v>
      </c>
      <c r="G105" s="15">
        <f t="shared" si="60"/>
        <v>10400.000000000091</v>
      </c>
      <c r="H105" s="12">
        <v>4.7573999999999998E-2</v>
      </c>
      <c r="I105" s="15">
        <f t="shared" si="61"/>
        <v>218606.80203472677</v>
      </c>
      <c r="J105" s="15">
        <f>I105/3120</f>
        <v>70.066282703438063</v>
      </c>
      <c r="L105" s="12">
        <v>5</v>
      </c>
      <c r="M105" s="12">
        <v>3.5</v>
      </c>
      <c r="N105" s="15">
        <v>6.5</v>
      </c>
      <c r="O105" s="15">
        <f t="shared" si="62"/>
        <v>6500</v>
      </c>
      <c r="P105" s="12">
        <v>4.7573999999999998E-2</v>
      </c>
      <c r="Q105" s="15">
        <f t="shared" si="63"/>
        <v>136629.25127170305</v>
      </c>
      <c r="R105" s="15">
        <f t="shared" si="64"/>
        <v>65.061548224620495</v>
      </c>
    </row>
    <row r="107" spans="4:18" x14ac:dyDescent="0.25">
      <c r="D107" s="257" t="s">
        <v>238</v>
      </c>
      <c r="E107" s="257"/>
      <c r="F107" s="257"/>
      <c r="G107" s="257"/>
      <c r="H107" s="257"/>
      <c r="I107" s="257"/>
      <c r="J107" s="257"/>
      <c r="L107" s="257" t="s">
        <v>173</v>
      </c>
      <c r="M107" s="257"/>
      <c r="N107" s="257"/>
      <c r="O107" s="257"/>
      <c r="P107" s="257"/>
      <c r="Q107" s="257"/>
      <c r="R107" s="257"/>
    </row>
    <row r="108" spans="4:18" x14ac:dyDescent="0.25">
      <c r="D108" s="9" t="s">
        <v>74</v>
      </c>
      <c r="E108" s="139" t="s">
        <v>79</v>
      </c>
      <c r="F108" s="139" t="s">
        <v>129</v>
      </c>
      <c r="G108" s="9" t="s">
        <v>155</v>
      </c>
      <c r="H108" s="9" t="s">
        <v>156</v>
      </c>
      <c r="I108" s="9" t="s">
        <v>225</v>
      </c>
      <c r="J108" s="9" t="s">
        <v>158</v>
      </c>
      <c r="L108" s="9" t="s">
        <v>74</v>
      </c>
      <c r="M108" s="139" t="s">
        <v>79</v>
      </c>
      <c r="N108" s="139" t="s">
        <v>129</v>
      </c>
      <c r="O108" s="9" t="s">
        <v>155</v>
      </c>
      <c r="P108" s="9" t="s">
        <v>156</v>
      </c>
      <c r="Q108" s="9" t="s">
        <v>157</v>
      </c>
      <c r="R108" s="9" t="s">
        <v>158</v>
      </c>
    </row>
    <row r="109" spans="4:18" x14ac:dyDescent="0.25">
      <c r="D109" s="12">
        <v>1</v>
      </c>
      <c r="E109" s="167">
        <v>1.1000000000000001</v>
      </c>
      <c r="F109" s="165">
        <v>9.0999999999999091</v>
      </c>
      <c r="G109" s="15">
        <f>F109*1000</f>
        <v>9099.9999999999091</v>
      </c>
      <c r="H109" s="12">
        <v>9.4208E-2</v>
      </c>
      <c r="I109" s="15">
        <f>G109/H109</f>
        <v>96594.769021738161</v>
      </c>
      <c r="J109" s="15">
        <f>I109/2100</f>
        <v>45.997509057970554</v>
      </c>
      <c r="L109" s="12">
        <v>1</v>
      </c>
      <c r="M109" s="167">
        <v>1.1000000000000001</v>
      </c>
      <c r="N109" s="165">
        <v>6.3</v>
      </c>
      <c r="O109" s="15">
        <f>N109*1000</f>
        <v>6300</v>
      </c>
      <c r="P109" s="12">
        <f>B20/10000</f>
        <v>9.4208E-2</v>
      </c>
      <c r="Q109" s="15">
        <f>O109/P109</f>
        <v>66873.301630434784</v>
      </c>
      <c r="R109" s="15">
        <f>Q109/2100</f>
        <v>31.844429347826086</v>
      </c>
    </row>
    <row r="110" spans="4:18" x14ac:dyDescent="0.25">
      <c r="D110" s="12">
        <v>2</v>
      </c>
      <c r="E110" s="12">
        <v>1.6</v>
      </c>
      <c r="F110" s="15">
        <v>14.300000000000182</v>
      </c>
      <c r="G110" s="15">
        <f t="shared" ref="G110:G113" si="65">F110*1000</f>
        <v>14300.000000000182</v>
      </c>
      <c r="H110" s="12">
        <v>9.4208E-2</v>
      </c>
      <c r="I110" s="15">
        <f t="shared" ref="I110:I113" si="66">G110/H110</f>
        <v>151791.77989130627</v>
      </c>
      <c r="J110" s="15">
        <f>I110/4560</f>
        <v>33.287671028795238</v>
      </c>
      <c r="L110" s="12">
        <v>2</v>
      </c>
      <c r="M110" s="12">
        <v>1.6</v>
      </c>
      <c r="N110" s="15">
        <v>8.3000000000000007</v>
      </c>
      <c r="O110" s="15">
        <f t="shared" ref="O110:O113" si="67">N110*1000</f>
        <v>8300</v>
      </c>
      <c r="P110" s="12">
        <v>9.4208E-2</v>
      </c>
      <c r="Q110" s="15">
        <f t="shared" ref="Q110:Q113" si="68">O110/P110</f>
        <v>88102.921195652176</v>
      </c>
      <c r="R110" s="15">
        <f t="shared" ref="R110:R113" si="69">Q110/2100</f>
        <v>41.953771997929607</v>
      </c>
    </row>
    <row r="111" spans="4:18" x14ac:dyDescent="0.25">
      <c r="D111" s="12">
        <v>3</v>
      </c>
      <c r="E111" s="166">
        <v>2.1</v>
      </c>
      <c r="F111" s="15">
        <v>10.400000000000091</v>
      </c>
      <c r="G111" s="15">
        <f t="shared" si="65"/>
        <v>10400.000000000091</v>
      </c>
      <c r="H111" s="12">
        <v>9.4208E-2</v>
      </c>
      <c r="I111" s="15">
        <f t="shared" si="66"/>
        <v>110394.02173913141</v>
      </c>
      <c r="J111" s="15">
        <f>I111/3060</f>
        <v>36.076477692526602</v>
      </c>
      <c r="L111" s="12">
        <v>3</v>
      </c>
      <c r="M111" s="166">
        <v>2.1</v>
      </c>
      <c r="N111" s="15">
        <v>9</v>
      </c>
      <c r="O111" s="15">
        <f t="shared" si="67"/>
        <v>9000</v>
      </c>
      <c r="P111" s="12">
        <v>9.4208E-2</v>
      </c>
      <c r="Q111" s="15">
        <f t="shared" si="68"/>
        <v>95533.288043478256</v>
      </c>
      <c r="R111" s="15">
        <f t="shared" si="69"/>
        <v>45.492041925465834</v>
      </c>
    </row>
    <row r="112" spans="4:18" x14ac:dyDescent="0.25">
      <c r="D112" s="12">
        <v>4</v>
      </c>
      <c r="E112" s="12">
        <v>2.7</v>
      </c>
      <c r="F112" s="15">
        <v>26.400000000000091</v>
      </c>
      <c r="G112" s="15">
        <f t="shared" si="65"/>
        <v>26400.000000000091</v>
      </c>
      <c r="H112" s="12">
        <v>9.4208E-2</v>
      </c>
      <c r="I112" s="15">
        <f t="shared" si="66"/>
        <v>280230.97826087056</v>
      </c>
      <c r="J112" s="15">
        <f>I112/6060</f>
        <v>46.242735686612306</v>
      </c>
      <c r="L112" s="12">
        <v>4</v>
      </c>
      <c r="M112" s="12">
        <v>2.7</v>
      </c>
      <c r="N112" s="15">
        <v>11.8</v>
      </c>
      <c r="O112" s="15">
        <f t="shared" si="67"/>
        <v>11800</v>
      </c>
      <c r="P112" s="12">
        <v>9.4208E-2</v>
      </c>
      <c r="Q112" s="15">
        <f t="shared" si="68"/>
        <v>125254.75543478261</v>
      </c>
      <c r="R112" s="15">
        <f t="shared" si="69"/>
        <v>59.645121635610764</v>
      </c>
    </row>
    <row r="113" spans="4:18" x14ac:dyDescent="0.25">
      <c r="D113" s="12">
        <v>5</v>
      </c>
      <c r="E113" s="12">
        <v>3.5</v>
      </c>
      <c r="F113" s="15">
        <v>19.5</v>
      </c>
      <c r="G113" s="15">
        <f t="shared" si="65"/>
        <v>19500</v>
      </c>
      <c r="H113" s="12">
        <v>9.4208E-2</v>
      </c>
      <c r="I113" s="15">
        <f t="shared" si="66"/>
        <v>206988.79076086957</v>
      </c>
      <c r="J113" s="15">
        <f>I113/3120</f>
        <v>66.342561141304344</v>
      </c>
      <c r="L113" s="12">
        <v>5</v>
      </c>
      <c r="M113" s="12">
        <v>3.5</v>
      </c>
      <c r="N113" s="15">
        <v>12.4</v>
      </c>
      <c r="O113" s="15">
        <f t="shared" si="67"/>
        <v>12400</v>
      </c>
      <c r="P113" s="12">
        <v>9.4208E-2</v>
      </c>
      <c r="Q113" s="15">
        <f t="shared" si="68"/>
        <v>131623.64130434784</v>
      </c>
      <c r="R113" s="15">
        <f t="shared" si="69"/>
        <v>62.677924430641831</v>
      </c>
    </row>
  </sheetData>
  <mergeCells count="30">
    <mergeCell ref="L27:R27"/>
    <mergeCell ref="A3:B3"/>
    <mergeCell ref="D3:J3"/>
    <mergeCell ref="L3:R3"/>
    <mergeCell ref="L11:R11"/>
    <mergeCell ref="L19:R19"/>
    <mergeCell ref="D11:J11"/>
    <mergeCell ref="D19:J19"/>
    <mergeCell ref="D27:J27"/>
    <mergeCell ref="L83:R83"/>
    <mergeCell ref="L91:R91"/>
    <mergeCell ref="L99:R99"/>
    <mergeCell ref="L107:R107"/>
    <mergeCell ref="L35:R35"/>
    <mergeCell ref="L43:R43"/>
    <mergeCell ref="L51:R51"/>
    <mergeCell ref="L59:R59"/>
    <mergeCell ref="L67:R67"/>
    <mergeCell ref="L75:R75"/>
    <mergeCell ref="D107:J107"/>
    <mergeCell ref="D35:J35"/>
    <mergeCell ref="D43:J43"/>
    <mergeCell ref="D51:J51"/>
    <mergeCell ref="D59:J59"/>
    <mergeCell ref="D67:J67"/>
    <mergeCell ref="D1:J1"/>
    <mergeCell ref="D75:J75"/>
    <mergeCell ref="D83:J83"/>
    <mergeCell ref="D91:J91"/>
    <mergeCell ref="D99:J9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AE725-DCD6-4139-B869-9286EADA68CF}">
  <dimension ref="A1:R141"/>
  <sheetViews>
    <sheetView workbookViewId="0">
      <pane xSplit="2" ySplit="1" topLeftCell="C2" activePane="bottomRight" state="frozen"/>
      <selection pane="topRight" activeCell="C1" sqref="C1"/>
      <selection pane="bottomLeft" activeCell="A2" sqref="A2"/>
      <selection pane="bottomRight" activeCell="T5" sqref="T5"/>
    </sheetView>
  </sheetViews>
  <sheetFormatPr defaultRowHeight="15" x14ac:dyDescent="0.25"/>
  <cols>
    <col min="2" max="2" width="9.42578125" bestFit="1" customWidth="1"/>
    <col min="3" max="3" width="19.85546875" bestFit="1" customWidth="1"/>
    <col min="4" max="4" width="11" bestFit="1" customWidth="1"/>
    <col min="7" max="7" width="9.85546875" bestFit="1" customWidth="1"/>
    <col min="8" max="8" width="12.140625" bestFit="1" customWidth="1"/>
    <col min="11" max="11" width="15.85546875" bestFit="1" customWidth="1"/>
    <col min="12" max="12" width="16.28515625" bestFit="1" customWidth="1"/>
    <col min="13" max="13" width="14.85546875" bestFit="1" customWidth="1"/>
    <col min="14" max="14" width="13.7109375" bestFit="1" customWidth="1"/>
    <col min="15" max="15" width="14.7109375" bestFit="1" customWidth="1"/>
    <col min="16" max="16" width="13.28515625" bestFit="1" customWidth="1"/>
    <col min="17" max="17" width="14.42578125" bestFit="1" customWidth="1"/>
    <col min="18" max="18" width="19.7109375" bestFit="1" customWidth="1"/>
    <col min="20" max="20" width="9.140625" customWidth="1"/>
  </cols>
  <sheetData>
    <row r="1" spans="1:18" x14ac:dyDescent="0.25">
      <c r="A1" s="139" t="s">
        <v>9</v>
      </c>
      <c r="B1" s="9" t="s">
        <v>202</v>
      </c>
      <c r="C1" s="9" t="s">
        <v>203</v>
      </c>
      <c r="D1" s="9" t="s">
        <v>204</v>
      </c>
      <c r="E1" s="9" t="s">
        <v>121</v>
      </c>
      <c r="F1" s="9" t="s">
        <v>205</v>
      </c>
      <c r="G1" s="9" t="s">
        <v>74</v>
      </c>
      <c r="H1" s="9" t="s">
        <v>76</v>
      </c>
      <c r="I1" s="9" t="s">
        <v>75</v>
      </c>
      <c r="J1" s="9" t="s">
        <v>79</v>
      </c>
      <c r="K1" s="9" t="s">
        <v>206</v>
      </c>
      <c r="L1" s="9" t="s">
        <v>207</v>
      </c>
      <c r="M1" s="9" t="s">
        <v>208</v>
      </c>
      <c r="N1" s="9" t="s">
        <v>209</v>
      </c>
      <c r="O1" s="9" t="s">
        <v>210</v>
      </c>
      <c r="P1" s="9" t="s">
        <v>213</v>
      </c>
      <c r="Q1" s="9" t="s">
        <v>211</v>
      </c>
      <c r="R1" s="9" t="s">
        <v>212</v>
      </c>
    </row>
    <row r="2" spans="1:18" x14ac:dyDescent="0.25">
      <c r="A2" s="152" t="s">
        <v>14</v>
      </c>
      <c r="B2" s="12" t="s">
        <v>4</v>
      </c>
      <c r="C2" s="12" t="s">
        <v>214</v>
      </c>
      <c r="D2" s="12">
        <v>1</v>
      </c>
      <c r="E2" s="12">
        <v>17</v>
      </c>
      <c r="F2" s="12">
        <v>1</v>
      </c>
      <c r="G2" s="12">
        <v>1</v>
      </c>
      <c r="H2" s="15">
        <v>31.88</v>
      </c>
      <c r="I2" s="15">
        <v>78.010000000000005</v>
      </c>
      <c r="J2" s="166">
        <v>1</v>
      </c>
      <c r="K2" s="15">
        <v>0.3813813813813875</v>
      </c>
      <c r="L2" s="15">
        <v>12.700000000000273</v>
      </c>
      <c r="M2" s="15">
        <v>42.9579418072111</v>
      </c>
      <c r="N2" s="15">
        <v>5.0999999999999996</v>
      </c>
      <c r="O2" s="15">
        <v>2.9</v>
      </c>
      <c r="P2" s="15">
        <v>0</v>
      </c>
      <c r="Q2" s="15">
        <v>8</v>
      </c>
      <c r="R2" s="15">
        <v>1407.8</v>
      </c>
    </row>
    <row r="3" spans="1:18" x14ac:dyDescent="0.25">
      <c r="A3" s="12" t="s">
        <v>14</v>
      </c>
      <c r="B3" s="12" t="s">
        <v>4</v>
      </c>
      <c r="C3" s="12" t="s">
        <v>214</v>
      </c>
      <c r="D3" s="12">
        <v>1</v>
      </c>
      <c r="E3" s="12">
        <v>17</v>
      </c>
      <c r="F3" s="12">
        <v>1</v>
      </c>
      <c r="G3" s="12">
        <v>2</v>
      </c>
      <c r="H3" s="15">
        <v>31.95</v>
      </c>
      <c r="I3" s="15">
        <v>68.73</v>
      </c>
      <c r="J3" s="12">
        <v>1.5</v>
      </c>
      <c r="K3" s="15">
        <v>0.58558558558558238</v>
      </c>
      <c r="L3" s="15">
        <v>19.5</v>
      </c>
      <c r="M3" s="15">
        <v>30.375875759864215</v>
      </c>
      <c r="N3" s="15">
        <v>5.0999999999999996</v>
      </c>
      <c r="O3" s="15">
        <v>2.9</v>
      </c>
      <c r="P3" s="15">
        <v>0</v>
      </c>
      <c r="Q3" s="15">
        <v>8</v>
      </c>
      <c r="R3" s="15">
        <v>1407.8</v>
      </c>
    </row>
    <row r="4" spans="1:18" x14ac:dyDescent="0.25">
      <c r="A4" s="12" t="s">
        <v>14</v>
      </c>
      <c r="B4" s="12" t="s">
        <v>4</v>
      </c>
      <c r="C4" s="12" t="s">
        <v>214</v>
      </c>
      <c r="D4" s="12">
        <v>1</v>
      </c>
      <c r="E4" s="12">
        <v>17</v>
      </c>
      <c r="F4" s="12">
        <v>1</v>
      </c>
      <c r="G4" s="12">
        <v>3</v>
      </c>
      <c r="H4" s="15">
        <v>31.86</v>
      </c>
      <c r="I4" s="15">
        <v>56.77</v>
      </c>
      <c r="J4" s="166">
        <v>2</v>
      </c>
      <c r="K4" s="15">
        <v>0.38438438438437411</v>
      </c>
      <c r="L4" s="15">
        <v>12.799999999999727</v>
      </c>
      <c r="M4" s="15">
        <v>29.713073845344677</v>
      </c>
      <c r="N4" s="15">
        <v>5.0999999999999996</v>
      </c>
      <c r="O4" s="15">
        <v>2.9</v>
      </c>
      <c r="P4" s="15">
        <v>0</v>
      </c>
      <c r="Q4" s="15">
        <v>8</v>
      </c>
      <c r="R4" s="15">
        <v>1407.8</v>
      </c>
    </row>
    <row r="5" spans="1:18" x14ac:dyDescent="0.25">
      <c r="A5" s="12" t="s">
        <v>14</v>
      </c>
      <c r="B5" s="12" t="s">
        <v>4</v>
      </c>
      <c r="C5" s="12" t="s">
        <v>214</v>
      </c>
      <c r="D5" s="12">
        <v>1</v>
      </c>
      <c r="E5" s="12">
        <v>17</v>
      </c>
      <c r="F5" s="12">
        <v>1</v>
      </c>
      <c r="G5" s="12">
        <v>4</v>
      </c>
      <c r="H5" s="15">
        <v>31.99</v>
      </c>
      <c r="I5" s="15">
        <v>43.94</v>
      </c>
      <c r="J5" s="12">
        <v>2.7</v>
      </c>
      <c r="K5" s="15">
        <v>1</v>
      </c>
      <c r="L5" s="15">
        <v>33.300000000000182</v>
      </c>
      <c r="M5" s="15">
        <v>39.032884677869909</v>
      </c>
      <c r="N5" s="15">
        <v>5.0999999999999996</v>
      </c>
      <c r="O5" s="15">
        <v>2.9</v>
      </c>
      <c r="P5" s="15">
        <v>0</v>
      </c>
      <c r="Q5" s="15">
        <v>8</v>
      </c>
      <c r="R5" s="15">
        <v>1407.8</v>
      </c>
    </row>
    <row r="6" spans="1:18" x14ac:dyDescent="0.25">
      <c r="A6" s="12" t="s">
        <v>14</v>
      </c>
      <c r="B6" s="12" t="s">
        <v>4</v>
      </c>
      <c r="C6" s="12" t="s">
        <v>214</v>
      </c>
      <c r="D6" s="12">
        <v>1</v>
      </c>
      <c r="E6" s="12">
        <v>17</v>
      </c>
      <c r="F6" s="12">
        <v>1</v>
      </c>
      <c r="G6" s="12">
        <v>5</v>
      </c>
      <c r="H6" s="15">
        <v>32.04</v>
      </c>
      <c r="I6" s="15">
        <v>29.82</v>
      </c>
      <c r="J6" s="12">
        <v>3.3</v>
      </c>
      <c r="K6" s="15">
        <v>0.7507507507507466</v>
      </c>
      <c r="L6" s="15">
        <v>25</v>
      </c>
      <c r="M6" s="15">
        <v>56.917321443532551</v>
      </c>
      <c r="N6" s="15">
        <v>5.0999999999999996</v>
      </c>
      <c r="O6" s="15">
        <v>2.9</v>
      </c>
      <c r="P6" s="15">
        <v>0</v>
      </c>
      <c r="Q6" s="15">
        <v>8</v>
      </c>
      <c r="R6" s="15">
        <v>1407.8</v>
      </c>
    </row>
    <row r="7" spans="1:18" x14ac:dyDescent="0.25">
      <c r="A7" s="12" t="s">
        <v>14</v>
      </c>
      <c r="B7" s="12" t="s">
        <v>4</v>
      </c>
      <c r="C7" s="12" t="s">
        <v>214</v>
      </c>
      <c r="D7" s="12">
        <v>2</v>
      </c>
      <c r="E7" s="12">
        <v>23</v>
      </c>
      <c r="F7" s="12">
        <v>1</v>
      </c>
      <c r="G7" s="12">
        <v>1</v>
      </c>
      <c r="H7" s="15">
        <v>31.88</v>
      </c>
      <c r="I7" s="15">
        <v>78.010000000000005</v>
      </c>
      <c r="J7" s="166">
        <v>1</v>
      </c>
      <c r="K7" s="15">
        <v>0.35675675675675184</v>
      </c>
      <c r="L7" s="15">
        <v>13.199999999999818</v>
      </c>
      <c r="M7" s="15">
        <v>45.00822934556949</v>
      </c>
      <c r="N7" s="15">
        <v>5</v>
      </c>
      <c r="O7" s="15">
        <v>3</v>
      </c>
      <c r="P7" s="15">
        <v>0</v>
      </c>
      <c r="Q7" s="15">
        <v>8</v>
      </c>
      <c r="R7" s="15">
        <v>1396.57</v>
      </c>
    </row>
    <row r="8" spans="1:18" x14ac:dyDescent="0.25">
      <c r="A8" s="12" t="s">
        <v>14</v>
      </c>
      <c r="B8" s="12" t="s">
        <v>4</v>
      </c>
      <c r="C8" s="12" t="s">
        <v>214</v>
      </c>
      <c r="D8" s="12">
        <v>2</v>
      </c>
      <c r="E8" s="12">
        <v>23</v>
      </c>
      <c r="F8" s="12">
        <v>1</v>
      </c>
      <c r="G8" s="12">
        <v>2</v>
      </c>
      <c r="H8" s="15">
        <v>31.95</v>
      </c>
      <c r="I8" s="15">
        <v>68.73</v>
      </c>
      <c r="J8" s="12">
        <v>1.5</v>
      </c>
      <c r="K8" s="15">
        <v>0.51351351351351349</v>
      </c>
      <c r="L8" s="15">
        <v>19</v>
      </c>
      <c r="M8" s="15">
        <v>29.835000513162008</v>
      </c>
      <c r="N8" s="15">
        <v>5</v>
      </c>
      <c r="O8" s="15">
        <v>3</v>
      </c>
      <c r="P8" s="15">
        <v>0</v>
      </c>
      <c r="Q8" s="15">
        <v>8</v>
      </c>
      <c r="R8" s="15">
        <v>1396.57</v>
      </c>
    </row>
    <row r="9" spans="1:18" x14ac:dyDescent="0.25">
      <c r="A9" s="12" t="s">
        <v>14</v>
      </c>
      <c r="B9" s="12" t="s">
        <v>4</v>
      </c>
      <c r="C9" s="12" t="s">
        <v>214</v>
      </c>
      <c r="D9" s="12">
        <v>2</v>
      </c>
      <c r="E9" s="12">
        <v>23</v>
      </c>
      <c r="F9" s="12">
        <v>1</v>
      </c>
      <c r="G9" s="12">
        <v>3</v>
      </c>
      <c r="H9" s="15">
        <v>31.86</v>
      </c>
      <c r="I9" s="15">
        <v>56.77</v>
      </c>
      <c r="J9" s="166">
        <v>2</v>
      </c>
      <c r="K9" s="15">
        <v>0.3540540540540516</v>
      </c>
      <c r="L9" s="15">
        <v>13.099999999999909</v>
      </c>
      <c r="M9" s="15">
        <v>30.654000527248595</v>
      </c>
      <c r="N9" s="15">
        <v>5</v>
      </c>
      <c r="O9" s="15">
        <v>3</v>
      </c>
      <c r="P9" s="15">
        <v>0</v>
      </c>
      <c r="Q9" s="15">
        <v>8</v>
      </c>
      <c r="R9" s="15">
        <v>1396.57</v>
      </c>
    </row>
    <row r="10" spans="1:18" x14ac:dyDescent="0.25">
      <c r="A10" s="12" t="s">
        <v>14</v>
      </c>
      <c r="B10" s="12" t="s">
        <v>4</v>
      </c>
      <c r="C10" s="12" t="s">
        <v>214</v>
      </c>
      <c r="D10" s="12">
        <v>2</v>
      </c>
      <c r="E10" s="12">
        <v>23</v>
      </c>
      <c r="F10" s="12">
        <v>1</v>
      </c>
      <c r="G10" s="12">
        <v>4</v>
      </c>
      <c r="H10" s="15">
        <v>31.99</v>
      </c>
      <c r="I10" s="15">
        <v>43.94</v>
      </c>
      <c r="J10" s="12">
        <v>2.7</v>
      </c>
      <c r="K10" s="15">
        <v>1</v>
      </c>
      <c r="L10" s="15">
        <v>37</v>
      </c>
      <c r="M10" s="15">
        <v>43.718614613346311</v>
      </c>
      <c r="N10" s="15">
        <v>5</v>
      </c>
      <c r="O10" s="15">
        <v>3</v>
      </c>
      <c r="P10" s="15">
        <v>0</v>
      </c>
      <c r="Q10" s="15">
        <v>8</v>
      </c>
      <c r="R10" s="15">
        <v>1396.57</v>
      </c>
    </row>
    <row r="11" spans="1:18" x14ac:dyDescent="0.25">
      <c r="A11" s="12" t="s">
        <v>14</v>
      </c>
      <c r="B11" s="12" t="s">
        <v>4</v>
      </c>
      <c r="C11" s="12" t="s">
        <v>214</v>
      </c>
      <c r="D11" s="12">
        <v>2</v>
      </c>
      <c r="E11" s="12">
        <v>23</v>
      </c>
      <c r="F11" s="12">
        <v>1</v>
      </c>
      <c r="G11" s="12">
        <v>5</v>
      </c>
      <c r="H11" s="15">
        <v>32.04</v>
      </c>
      <c r="I11" s="15">
        <v>29.82</v>
      </c>
      <c r="J11" s="12">
        <v>3.3</v>
      </c>
      <c r="K11" s="15">
        <v>0.70270270270270274</v>
      </c>
      <c r="L11" s="15">
        <v>26</v>
      </c>
      <c r="M11" s="15">
        <v>59.670001026324016</v>
      </c>
      <c r="N11" s="15">
        <v>5</v>
      </c>
      <c r="O11" s="15">
        <v>3</v>
      </c>
      <c r="P11" s="15">
        <v>0</v>
      </c>
      <c r="Q11" s="15">
        <v>8</v>
      </c>
      <c r="R11" s="15">
        <v>1396.57</v>
      </c>
    </row>
    <row r="12" spans="1:18" x14ac:dyDescent="0.25">
      <c r="A12" s="12" t="s">
        <v>14</v>
      </c>
      <c r="B12" s="12" t="s">
        <v>4</v>
      </c>
      <c r="C12" s="12" t="s">
        <v>214</v>
      </c>
      <c r="D12" s="12">
        <v>3</v>
      </c>
      <c r="E12" s="12">
        <v>28</v>
      </c>
      <c r="F12" s="12">
        <v>1</v>
      </c>
      <c r="G12" s="12">
        <v>1</v>
      </c>
      <c r="H12" s="15">
        <v>31.88</v>
      </c>
      <c r="I12" s="15">
        <v>78.010000000000005</v>
      </c>
      <c r="J12" s="166">
        <v>1</v>
      </c>
      <c r="K12" s="15">
        <v>0.41025641025641846</v>
      </c>
      <c r="L12" s="15">
        <v>12.800000000000182</v>
      </c>
      <c r="M12" s="15">
        <v>46.083878419208411</v>
      </c>
      <c r="N12" s="15">
        <v>5.4</v>
      </c>
      <c r="O12" s="15">
        <v>2.8</v>
      </c>
      <c r="P12" s="15">
        <v>0</v>
      </c>
      <c r="Q12" s="15">
        <v>8.1999999999999993</v>
      </c>
      <c r="R12" s="15">
        <v>1322.64</v>
      </c>
    </row>
    <row r="13" spans="1:18" x14ac:dyDescent="0.25">
      <c r="A13" s="12" t="s">
        <v>14</v>
      </c>
      <c r="B13" s="12" t="s">
        <v>4</v>
      </c>
      <c r="C13" s="12" t="s">
        <v>214</v>
      </c>
      <c r="D13" s="12">
        <v>3</v>
      </c>
      <c r="E13" s="12">
        <v>28</v>
      </c>
      <c r="F13" s="12">
        <v>1</v>
      </c>
      <c r="G13" s="12">
        <v>2</v>
      </c>
      <c r="H13" s="15">
        <v>31.95</v>
      </c>
      <c r="I13" s="15">
        <v>68.73</v>
      </c>
      <c r="J13" s="12">
        <v>1.5</v>
      </c>
      <c r="K13" s="15">
        <v>0.61858974358973851</v>
      </c>
      <c r="L13" s="15">
        <v>19.299999999999727</v>
      </c>
      <c r="M13" s="15">
        <v>32.000061546231905</v>
      </c>
      <c r="N13" s="15">
        <v>5.4</v>
      </c>
      <c r="O13" s="15">
        <v>2.8</v>
      </c>
      <c r="P13" s="15">
        <v>0</v>
      </c>
      <c r="Q13" s="15">
        <v>8.1999999999999993</v>
      </c>
      <c r="R13" s="15">
        <v>1322.64</v>
      </c>
    </row>
    <row r="14" spans="1:18" x14ac:dyDescent="0.25">
      <c r="A14" s="12" t="s">
        <v>14</v>
      </c>
      <c r="B14" s="12" t="s">
        <v>4</v>
      </c>
      <c r="C14" s="12" t="s">
        <v>214</v>
      </c>
      <c r="D14" s="12">
        <v>3</v>
      </c>
      <c r="E14" s="12">
        <v>28</v>
      </c>
      <c r="F14" s="12">
        <v>1</v>
      </c>
      <c r="G14" s="12">
        <v>3</v>
      </c>
      <c r="H14" s="15">
        <v>31.86</v>
      </c>
      <c r="I14" s="15">
        <v>56.77</v>
      </c>
      <c r="J14" s="166">
        <v>2</v>
      </c>
      <c r="K14" s="15">
        <v>0.43589743589745011</v>
      </c>
      <c r="L14" s="15">
        <v>13.600000000000364</v>
      </c>
      <c r="M14" s="15">
        <v>33.602828014006555</v>
      </c>
      <c r="N14" s="15">
        <v>5.4</v>
      </c>
      <c r="O14" s="15">
        <v>2.8</v>
      </c>
      <c r="P14" s="15">
        <v>0</v>
      </c>
      <c r="Q14" s="15">
        <v>8.1999999999999993</v>
      </c>
      <c r="R14" s="15">
        <v>1322.64</v>
      </c>
    </row>
    <row r="15" spans="1:18" x14ac:dyDescent="0.25">
      <c r="A15" s="12" t="s">
        <v>14</v>
      </c>
      <c r="B15" s="12" t="s">
        <v>4</v>
      </c>
      <c r="C15" s="12" t="s">
        <v>214</v>
      </c>
      <c r="D15" s="12">
        <v>3</v>
      </c>
      <c r="E15" s="12">
        <v>28</v>
      </c>
      <c r="F15" s="12">
        <v>1</v>
      </c>
      <c r="G15" s="12">
        <v>4</v>
      </c>
      <c r="H15" s="15">
        <v>31.99</v>
      </c>
      <c r="I15" s="15">
        <v>43.94</v>
      </c>
      <c r="J15" s="12">
        <v>2.7</v>
      </c>
      <c r="K15" s="15">
        <v>1</v>
      </c>
      <c r="L15" s="15">
        <v>31.199999999999818</v>
      </c>
      <c r="M15" s="15">
        <v>38.926048293451871</v>
      </c>
      <c r="N15" s="15">
        <v>5.4</v>
      </c>
      <c r="O15" s="15">
        <v>2.8</v>
      </c>
      <c r="P15" s="15">
        <v>0</v>
      </c>
      <c r="Q15" s="15">
        <v>8.1999999999999993</v>
      </c>
      <c r="R15" s="15">
        <v>1322.64</v>
      </c>
    </row>
    <row r="16" spans="1:18" x14ac:dyDescent="0.25">
      <c r="A16" s="12" t="s">
        <v>14</v>
      </c>
      <c r="B16" s="12" t="s">
        <v>4</v>
      </c>
      <c r="C16" s="12" t="s">
        <v>214</v>
      </c>
      <c r="D16" s="12">
        <v>3</v>
      </c>
      <c r="E16" s="12">
        <v>28</v>
      </c>
      <c r="F16" s="12">
        <v>1</v>
      </c>
      <c r="G16" s="12">
        <v>5</v>
      </c>
      <c r="H16" s="15">
        <v>32.04</v>
      </c>
      <c r="I16" s="15">
        <v>29.82</v>
      </c>
      <c r="J16" s="12">
        <v>3.3</v>
      </c>
      <c r="K16" s="15">
        <v>0.75320512820513263</v>
      </c>
      <c r="L16" s="15">
        <v>23.5</v>
      </c>
      <c r="M16" s="15">
        <v>56.947100360274</v>
      </c>
      <c r="N16" s="15">
        <v>5.4</v>
      </c>
      <c r="O16" s="15">
        <v>2.8</v>
      </c>
      <c r="P16" s="15">
        <v>0</v>
      </c>
      <c r="Q16" s="15">
        <v>8.1999999999999993</v>
      </c>
      <c r="R16" s="15">
        <v>1322.64</v>
      </c>
    </row>
    <row r="17" spans="1:18" x14ac:dyDescent="0.25">
      <c r="A17" s="12" t="s">
        <v>14</v>
      </c>
      <c r="B17" s="12" t="s">
        <v>4</v>
      </c>
      <c r="C17" s="12" t="s">
        <v>214</v>
      </c>
      <c r="D17" s="12">
        <v>4</v>
      </c>
      <c r="E17" s="12">
        <v>30</v>
      </c>
      <c r="F17" s="12">
        <v>1</v>
      </c>
      <c r="G17" s="12">
        <v>1</v>
      </c>
      <c r="H17" s="15">
        <v>31.88</v>
      </c>
      <c r="I17" s="15">
        <v>78.010000000000005</v>
      </c>
      <c r="J17" s="166">
        <v>1</v>
      </c>
      <c r="K17" s="15">
        <v>0.38931297709922563</v>
      </c>
      <c r="L17" s="15">
        <v>10.199999999999818</v>
      </c>
      <c r="M17" s="15">
        <v>47.630254737808606</v>
      </c>
      <c r="N17" s="15">
        <v>3.1</v>
      </c>
      <c r="O17" s="15">
        <v>1.7</v>
      </c>
      <c r="P17" s="15">
        <v>0</v>
      </c>
      <c r="Q17" s="15">
        <v>4.8</v>
      </c>
      <c r="R17" s="15">
        <v>1019.76</v>
      </c>
    </row>
    <row r="18" spans="1:18" x14ac:dyDescent="0.25">
      <c r="A18" s="12" t="s">
        <v>14</v>
      </c>
      <c r="B18" s="12" t="s">
        <v>4</v>
      </c>
      <c r="C18" s="12" t="s">
        <v>214</v>
      </c>
      <c r="D18" s="12">
        <v>4</v>
      </c>
      <c r="E18" s="12">
        <v>30</v>
      </c>
      <c r="F18" s="12">
        <v>1</v>
      </c>
      <c r="G18" s="12">
        <v>2</v>
      </c>
      <c r="H18" s="15">
        <v>31.95</v>
      </c>
      <c r="I18" s="15">
        <v>68.73</v>
      </c>
      <c r="J18" s="12">
        <v>1.5</v>
      </c>
      <c r="K18" s="15">
        <v>0.62595419847327938</v>
      </c>
      <c r="L18" s="15">
        <v>16.400000000000091</v>
      </c>
      <c r="M18" s="15">
        <v>35.268016279028352</v>
      </c>
      <c r="N18" s="15">
        <v>3.1</v>
      </c>
      <c r="O18" s="15">
        <v>1.7</v>
      </c>
      <c r="P18" s="15">
        <v>0</v>
      </c>
      <c r="Q18" s="15">
        <v>4.8</v>
      </c>
      <c r="R18" s="15">
        <v>1019.76</v>
      </c>
    </row>
    <row r="19" spans="1:18" x14ac:dyDescent="0.25">
      <c r="A19" s="12" t="s">
        <v>14</v>
      </c>
      <c r="B19" s="12" t="s">
        <v>4</v>
      </c>
      <c r="C19" s="12" t="s">
        <v>214</v>
      </c>
      <c r="D19" s="12">
        <v>4</v>
      </c>
      <c r="E19" s="12">
        <v>30</v>
      </c>
      <c r="F19" s="12">
        <v>1</v>
      </c>
      <c r="G19" s="12">
        <v>3</v>
      </c>
      <c r="H19" s="15">
        <v>31.86</v>
      </c>
      <c r="I19" s="15">
        <v>56.77</v>
      </c>
      <c r="J19" s="166">
        <v>2</v>
      </c>
      <c r="K19" s="15">
        <v>0.40076335877862179</v>
      </c>
      <c r="L19" s="15">
        <v>10.5</v>
      </c>
      <c r="M19" s="15">
        <v>33.648824713850395</v>
      </c>
      <c r="N19" s="15">
        <v>3.1</v>
      </c>
      <c r="O19" s="15">
        <v>1.7</v>
      </c>
      <c r="P19" s="15">
        <v>0</v>
      </c>
      <c r="Q19" s="15">
        <v>4.8</v>
      </c>
      <c r="R19" s="15">
        <v>1019.76</v>
      </c>
    </row>
    <row r="20" spans="1:18" x14ac:dyDescent="0.25">
      <c r="A20" s="12" t="s">
        <v>14</v>
      </c>
      <c r="B20" s="12" t="s">
        <v>4</v>
      </c>
      <c r="C20" s="12" t="s">
        <v>214</v>
      </c>
      <c r="D20" s="12">
        <v>4</v>
      </c>
      <c r="E20" s="12">
        <v>30</v>
      </c>
      <c r="F20" s="12">
        <v>1</v>
      </c>
      <c r="G20" s="12">
        <v>4</v>
      </c>
      <c r="H20" s="15">
        <v>31.99</v>
      </c>
      <c r="I20" s="15">
        <v>43.94</v>
      </c>
      <c r="J20" s="12">
        <v>2.7</v>
      </c>
      <c r="K20" s="15">
        <v>1</v>
      </c>
      <c r="L20" s="15">
        <v>26.200000000000273</v>
      </c>
      <c r="M20" s="15">
        <v>42.396567263222408</v>
      </c>
      <c r="N20" s="15">
        <v>3.1</v>
      </c>
      <c r="O20" s="15">
        <v>1.7</v>
      </c>
      <c r="P20" s="15">
        <v>0</v>
      </c>
      <c r="Q20" s="15">
        <v>4.8</v>
      </c>
      <c r="R20" s="15">
        <v>1019.76</v>
      </c>
    </row>
    <row r="21" spans="1:18" x14ac:dyDescent="0.25">
      <c r="A21" s="12" t="s">
        <v>14</v>
      </c>
      <c r="B21" s="12" t="s">
        <v>4</v>
      </c>
      <c r="C21" s="12" t="s">
        <v>214</v>
      </c>
      <c r="D21" s="12">
        <v>4</v>
      </c>
      <c r="E21" s="12">
        <v>30</v>
      </c>
      <c r="F21" s="12">
        <v>1</v>
      </c>
      <c r="G21" s="12">
        <v>5</v>
      </c>
      <c r="H21" s="15">
        <v>32.04</v>
      </c>
      <c r="I21" s="15">
        <v>29.82</v>
      </c>
      <c r="J21" s="12">
        <v>3.3</v>
      </c>
      <c r="K21" s="15">
        <v>0.75954198473280266</v>
      </c>
      <c r="L21" s="15">
        <v>19.899999999999636</v>
      </c>
      <c r="M21" s="15">
        <v>62.546139564260336</v>
      </c>
      <c r="N21" s="15">
        <v>3.1</v>
      </c>
      <c r="O21" s="15">
        <v>1.7</v>
      </c>
      <c r="P21" s="15">
        <v>0</v>
      </c>
      <c r="Q21" s="15">
        <v>4.8</v>
      </c>
      <c r="R21" s="15">
        <v>1019.76</v>
      </c>
    </row>
    <row r="22" spans="1:18" x14ac:dyDescent="0.25">
      <c r="A22" s="12" t="s">
        <v>12</v>
      </c>
      <c r="B22" s="12" t="s">
        <v>6</v>
      </c>
      <c r="C22" s="12" t="s">
        <v>215</v>
      </c>
      <c r="D22" s="12">
        <v>1</v>
      </c>
      <c r="E22" s="12">
        <v>19</v>
      </c>
      <c r="F22" s="12">
        <v>1</v>
      </c>
      <c r="G22" s="12">
        <v>1</v>
      </c>
      <c r="H22" s="15">
        <v>31.88</v>
      </c>
      <c r="I22" s="15">
        <v>78.010000000000005</v>
      </c>
      <c r="J22" s="166">
        <v>1</v>
      </c>
      <c r="K22" s="15">
        <v>0.36458333333333681</v>
      </c>
      <c r="L22" s="15">
        <v>7</v>
      </c>
      <c r="M22" s="15">
        <v>50.334219215591524</v>
      </c>
      <c r="N22" s="15">
        <v>1.9</v>
      </c>
      <c r="O22" s="15">
        <v>1.2</v>
      </c>
      <c r="P22" s="15">
        <v>0</v>
      </c>
      <c r="Q22" s="15">
        <v>3.1</v>
      </c>
      <c r="R22" s="15">
        <v>662.24</v>
      </c>
    </row>
    <row r="23" spans="1:18" x14ac:dyDescent="0.25">
      <c r="A23" s="12" t="s">
        <v>12</v>
      </c>
      <c r="B23" s="12" t="s">
        <v>6</v>
      </c>
      <c r="C23" s="12" t="s">
        <v>215</v>
      </c>
      <c r="D23" s="12">
        <v>1</v>
      </c>
      <c r="E23" s="12">
        <v>19</v>
      </c>
      <c r="F23" s="12">
        <v>1</v>
      </c>
      <c r="G23" s="12">
        <v>2</v>
      </c>
      <c r="H23" s="15">
        <v>31.95</v>
      </c>
      <c r="I23" s="15">
        <v>68.73</v>
      </c>
      <c r="J23" s="12">
        <v>1.5</v>
      </c>
      <c r="K23" s="15">
        <v>0.56770833333331971</v>
      </c>
      <c r="L23" s="15">
        <v>10.899999999999636</v>
      </c>
      <c r="M23" s="15">
        <v>36.094933516442715</v>
      </c>
      <c r="N23" s="15">
        <v>1.9</v>
      </c>
      <c r="O23" s="15">
        <v>1.2</v>
      </c>
      <c r="P23" s="15">
        <v>0</v>
      </c>
      <c r="Q23" s="15">
        <v>3.1</v>
      </c>
      <c r="R23" s="15">
        <v>662.24</v>
      </c>
    </row>
    <row r="24" spans="1:18" x14ac:dyDescent="0.25">
      <c r="A24" s="12" t="s">
        <v>12</v>
      </c>
      <c r="B24" s="12" t="s">
        <v>6</v>
      </c>
      <c r="C24" s="12" t="s">
        <v>215</v>
      </c>
      <c r="D24" s="12">
        <v>1</v>
      </c>
      <c r="E24" s="12">
        <v>19</v>
      </c>
      <c r="F24" s="12">
        <v>1</v>
      </c>
      <c r="G24" s="12">
        <v>3</v>
      </c>
      <c r="H24" s="15">
        <v>31.86</v>
      </c>
      <c r="I24" s="15">
        <v>56.77</v>
      </c>
      <c r="J24" s="166">
        <v>2</v>
      </c>
      <c r="K24" s="15">
        <v>0.38020833333334642</v>
      </c>
      <c r="L24" s="15">
        <v>7.3000000000001819</v>
      </c>
      <c r="M24" s="15">
        <v>36.023509830767381</v>
      </c>
      <c r="N24" s="15">
        <v>1.9</v>
      </c>
      <c r="O24" s="15">
        <v>1.2</v>
      </c>
      <c r="P24" s="15">
        <v>0</v>
      </c>
      <c r="Q24" s="15">
        <v>3.1</v>
      </c>
      <c r="R24" s="15">
        <v>662.24</v>
      </c>
    </row>
    <row r="25" spans="1:18" x14ac:dyDescent="0.25">
      <c r="A25" s="12" t="s">
        <v>12</v>
      </c>
      <c r="B25" s="12" t="s">
        <v>6</v>
      </c>
      <c r="C25" s="12" t="s">
        <v>215</v>
      </c>
      <c r="D25" s="12">
        <v>1</v>
      </c>
      <c r="E25" s="12">
        <v>19</v>
      </c>
      <c r="F25" s="12">
        <v>1</v>
      </c>
      <c r="G25" s="12">
        <v>4</v>
      </c>
      <c r="H25" s="15">
        <v>31.99</v>
      </c>
      <c r="I25" s="15">
        <v>43.94</v>
      </c>
      <c r="J25" s="12">
        <v>2.7</v>
      </c>
      <c r="K25" s="15">
        <v>1</v>
      </c>
      <c r="L25" s="15">
        <v>19.199999999999818</v>
      </c>
      <c r="M25" s="15">
        <v>47.842426185116246</v>
      </c>
      <c r="N25" s="15">
        <v>1.9</v>
      </c>
      <c r="O25" s="15">
        <v>1.2</v>
      </c>
      <c r="P25" s="15">
        <v>0</v>
      </c>
      <c r="Q25" s="15">
        <v>3.1</v>
      </c>
      <c r="R25" s="15">
        <v>662.24</v>
      </c>
    </row>
    <row r="26" spans="1:18" x14ac:dyDescent="0.25">
      <c r="A26" s="12" t="s">
        <v>12</v>
      </c>
      <c r="B26" s="12" t="s">
        <v>6</v>
      </c>
      <c r="C26" s="12" t="s">
        <v>215</v>
      </c>
      <c r="D26" s="12">
        <v>1</v>
      </c>
      <c r="E26" s="12">
        <v>19</v>
      </c>
      <c r="F26" s="12">
        <v>1</v>
      </c>
      <c r="G26" s="12">
        <v>5</v>
      </c>
      <c r="H26" s="15">
        <v>32.04</v>
      </c>
      <c r="I26" s="15">
        <v>29.82</v>
      </c>
      <c r="J26" s="12">
        <v>3.3</v>
      </c>
      <c r="K26" s="15">
        <v>0.6614583333333538</v>
      </c>
      <c r="L26" s="15">
        <v>12.700000000000273</v>
      </c>
      <c r="M26" s="15">
        <v>61.465825388271746</v>
      </c>
      <c r="N26" s="15">
        <v>1.9</v>
      </c>
      <c r="O26" s="15">
        <v>1.2</v>
      </c>
      <c r="P26" s="15">
        <v>0</v>
      </c>
      <c r="Q26" s="15">
        <v>3.1</v>
      </c>
      <c r="R26" s="15">
        <v>662.24</v>
      </c>
    </row>
    <row r="27" spans="1:18" x14ac:dyDescent="0.25">
      <c r="A27" s="12" t="s">
        <v>12</v>
      </c>
      <c r="B27" s="12" t="s">
        <v>6</v>
      </c>
      <c r="C27" s="12" t="s">
        <v>215</v>
      </c>
      <c r="D27" s="12">
        <v>2</v>
      </c>
      <c r="E27" s="12">
        <v>22</v>
      </c>
      <c r="F27" s="12">
        <v>1</v>
      </c>
      <c r="G27" s="12">
        <v>1</v>
      </c>
      <c r="H27" s="15">
        <v>31.88</v>
      </c>
      <c r="I27" s="15">
        <v>78.010000000000005</v>
      </c>
      <c r="J27" s="166">
        <v>1</v>
      </c>
      <c r="K27" s="15">
        <v>0.38589211618257435</v>
      </c>
      <c r="L27" s="15">
        <v>9.3000000000001819</v>
      </c>
      <c r="M27" s="15">
        <v>54.54174378752051</v>
      </c>
      <c r="N27" s="15">
        <v>2.8</v>
      </c>
      <c r="O27" s="15">
        <v>1.5</v>
      </c>
      <c r="P27" s="15">
        <v>0</v>
      </c>
      <c r="Q27" s="15">
        <v>4.3</v>
      </c>
      <c r="R27" s="15">
        <v>811.96</v>
      </c>
    </row>
    <row r="28" spans="1:18" x14ac:dyDescent="0.25">
      <c r="A28" s="12" t="s">
        <v>12</v>
      </c>
      <c r="B28" s="12" t="s">
        <v>6</v>
      </c>
      <c r="C28" s="12" t="s">
        <v>215</v>
      </c>
      <c r="D28" s="12">
        <v>2</v>
      </c>
      <c r="E28" s="12">
        <v>22</v>
      </c>
      <c r="F28" s="12">
        <v>1</v>
      </c>
      <c r="G28" s="12">
        <v>2</v>
      </c>
      <c r="H28" s="15">
        <v>31.95</v>
      </c>
      <c r="I28" s="15">
        <v>68.73</v>
      </c>
      <c r="J28" s="12">
        <v>1.5</v>
      </c>
      <c r="K28" s="15">
        <v>0.50207468879666917</v>
      </c>
      <c r="L28" s="15">
        <v>12.099999999999909</v>
      </c>
      <c r="M28" s="15">
        <v>32.680289323732751</v>
      </c>
      <c r="N28" s="15">
        <v>2.8</v>
      </c>
      <c r="O28" s="15">
        <v>1.5</v>
      </c>
      <c r="P28" s="15">
        <v>0</v>
      </c>
      <c r="Q28" s="15">
        <v>4.3</v>
      </c>
      <c r="R28" s="15">
        <v>811.96</v>
      </c>
    </row>
    <row r="29" spans="1:18" x14ac:dyDescent="0.25">
      <c r="A29" s="12" t="s">
        <v>12</v>
      </c>
      <c r="B29" s="12" t="s">
        <v>6</v>
      </c>
      <c r="C29" s="12" t="s">
        <v>215</v>
      </c>
      <c r="D29" s="12">
        <v>2</v>
      </c>
      <c r="E29" s="12">
        <v>22</v>
      </c>
      <c r="F29" s="12">
        <v>1</v>
      </c>
      <c r="G29" s="12">
        <v>3</v>
      </c>
      <c r="H29" s="15">
        <v>31.86</v>
      </c>
      <c r="I29" s="15">
        <v>56.77</v>
      </c>
      <c r="J29" s="166">
        <v>2</v>
      </c>
      <c r="K29" s="15">
        <v>0.38174273858919833</v>
      </c>
      <c r="L29" s="15">
        <v>9.1999999999998181</v>
      </c>
      <c r="M29" s="15">
        <v>37.028128820537447</v>
      </c>
      <c r="N29" s="15">
        <v>2.8</v>
      </c>
      <c r="O29" s="15">
        <v>1.5</v>
      </c>
      <c r="P29" s="15">
        <v>0</v>
      </c>
      <c r="Q29" s="15">
        <v>4.3</v>
      </c>
      <c r="R29" s="15">
        <v>811.96</v>
      </c>
    </row>
    <row r="30" spans="1:18" x14ac:dyDescent="0.25">
      <c r="A30" s="12" t="s">
        <v>12</v>
      </c>
      <c r="B30" s="12" t="s">
        <v>6</v>
      </c>
      <c r="C30" s="12" t="s">
        <v>215</v>
      </c>
      <c r="D30" s="12">
        <v>2</v>
      </c>
      <c r="E30" s="12">
        <v>22</v>
      </c>
      <c r="F30" s="12">
        <v>1</v>
      </c>
      <c r="G30" s="12">
        <v>4</v>
      </c>
      <c r="H30" s="15">
        <v>31.99</v>
      </c>
      <c r="I30" s="15">
        <v>43.94</v>
      </c>
      <c r="J30" s="12">
        <v>2.7</v>
      </c>
      <c r="K30" s="15">
        <v>1</v>
      </c>
      <c r="L30" s="15">
        <v>24.100000000000364</v>
      </c>
      <c r="M30" s="15">
        <v>48.978985291997596</v>
      </c>
      <c r="N30" s="15">
        <v>2.8</v>
      </c>
      <c r="O30" s="15">
        <v>1.5</v>
      </c>
      <c r="P30" s="15">
        <v>0</v>
      </c>
      <c r="Q30" s="15">
        <v>4.3</v>
      </c>
      <c r="R30" s="15">
        <v>811.96</v>
      </c>
    </row>
    <row r="31" spans="1:18" x14ac:dyDescent="0.25">
      <c r="A31" s="12" t="s">
        <v>12</v>
      </c>
      <c r="B31" s="12" t="s">
        <v>6</v>
      </c>
      <c r="C31" s="12" t="s">
        <v>215</v>
      </c>
      <c r="D31" s="12">
        <v>2</v>
      </c>
      <c r="E31" s="12">
        <v>22</v>
      </c>
      <c r="F31" s="12">
        <v>1</v>
      </c>
      <c r="G31" s="12">
        <v>5</v>
      </c>
      <c r="H31" s="15">
        <v>32.04</v>
      </c>
      <c r="I31" s="15">
        <v>29.82</v>
      </c>
      <c r="J31" s="12">
        <v>3.3</v>
      </c>
      <c r="K31" s="15">
        <v>0.75933609958503945</v>
      </c>
      <c r="L31" s="15">
        <v>18.299999999999727</v>
      </c>
      <c r="M31" s="15">
        <v>72.237359172675099</v>
      </c>
      <c r="N31" s="15">
        <v>2.8</v>
      </c>
      <c r="O31" s="15">
        <v>1.5</v>
      </c>
      <c r="P31" s="15">
        <v>0</v>
      </c>
      <c r="Q31" s="15">
        <v>4.3</v>
      </c>
      <c r="R31" s="15">
        <v>811.96</v>
      </c>
    </row>
    <row r="32" spans="1:18" x14ac:dyDescent="0.25">
      <c r="A32" s="12" t="s">
        <v>13</v>
      </c>
      <c r="B32" s="12" t="s">
        <v>7</v>
      </c>
      <c r="C32" s="12" t="s">
        <v>216</v>
      </c>
      <c r="D32" s="12">
        <v>1</v>
      </c>
      <c r="E32" s="12">
        <v>20</v>
      </c>
      <c r="F32" s="12">
        <v>1</v>
      </c>
      <c r="G32" s="12">
        <v>1</v>
      </c>
      <c r="H32" s="15">
        <v>31.88</v>
      </c>
      <c r="I32" s="15">
        <v>78.010000000000005</v>
      </c>
      <c r="J32" s="166">
        <v>1</v>
      </c>
      <c r="K32" s="15">
        <v>0.40399999999999636</v>
      </c>
      <c r="L32" s="15">
        <v>10.099999999999909</v>
      </c>
      <c r="M32" s="15">
        <v>53.593980493913151</v>
      </c>
      <c r="N32" s="15">
        <v>4.0999999999999996</v>
      </c>
      <c r="O32" s="15">
        <v>2.2000000000000002</v>
      </c>
      <c r="P32" s="15">
        <v>0.1</v>
      </c>
      <c r="Q32" s="15">
        <v>6.4</v>
      </c>
      <c r="R32" s="15">
        <v>897.4</v>
      </c>
    </row>
    <row r="33" spans="1:18" x14ac:dyDescent="0.25">
      <c r="A33" s="12" t="s">
        <v>13</v>
      </c>
      <c r="B33" s="12" t="s">
        <v>7</v>
      </c>
      <c r="C33" s="12" t="s">
        <v>216</v>
      </c>
      <c r="D33" s="12">
        <v>1</v>
      </c>
      <c r="E33" s="12">
        <v>20</v>
      </c>
      <c r="F33" s="12">
        <v>1</v>
      </c>
      <c r="G33" s="12">
        <v>2</v>
      </c>
      <c r="H33" s="15">
        <v>31.95</v>
      </c>
      <c r="I33" s="15">
        <v>68.73</v>
      </c>
      <c r="J33" s="12">
        <v>1.5</v>
      </c>
      <c r="K33" s="15">
        <v>0.5560000000000036</v>
      </c>
      <c r="L33" s="15">
        <v>13.900000000000091</v>
      </c>
      <c r="M33" s="15">
        <v>33.967524114498637</v>
      </c>
      <c r="N33" s="15">
        <v>4.0999999999999996</v>
      </c>
      <c r="O33" s="15">
        <v>2.2000000000000002</v>
      </c>
      <c r="P33" s="15">
        <v>0.1</v>
      </c>
      <c r="Q33" s="15">
        <v>6.4</v>
      </c>
      <c r="R33" s="15">
        <v>897.4</v>
      </c>
    </row>
    <row r="34" spans="1:18" x14ac:dyDescent="0.25">
      <c r="A34" s="12" t="s">
        <v>13</v>
      </c>
      <c r="B34" s="12" t="s">
        <v>7</v>
      </c>
      <c r="C34" s="12" t="s">
        <v>216</v>
      </c>
      <c r="D34" s="12">
        <v>1</v>
      </c>
      <c r="E34" s="12">
        <v>20</v>
      </c>
      <c r="F34" s="12">
        <v>1</v>
      </c>
      <c r="G34" s="12">
        <v>3</v>
      </c>
      <c r="H34" s="15">
        <v>31.86</v>
      </c>
      <c r="I34" s="15">
        <v>56.77</v>
      </c>
      <c r="J34" s="166">
        <v>2</v>
      </c>
      <c r="K34" s="15">
        <v>0.34800000000001091</v>
      </c>
      <c r="L34" s="15">
        <v>8.7000000000002728</v>
      </c>
      <c r="M34" s="15">
        <v>31.681939546490415</v>
      </c>
      <c r="N34" s="15">
        <v>4.0999999999999996</v>
      </c>
      <c r="O34" s="15">
        <v>2.2000000000000002</v>
      </c>
      <c r="P34" s="15">
        <v>0.1</v>
      </c>
      <c r="Q34" s="15">
        <v>6.4</v>
      </c>
      <c r="R34" s="15">
        <v>897.4</v>
      </c>
    </row>
    <row r="35" spans="1:18" x14ac:dyDescent="0.25">
      <c r="A35" s="12" t="s">
        <v>13</v>
      </c>
      <c r="B35" s="12" t="s">
        <v>7</v>
      </c>
      <c r="C35" s="12" t="s">
        <v>216</v>
      </c>
      <c r="D35" s="12">
        <v>1</v>
      </c>
      <c r="E35" s="12">
        <v>20</v>
      </c>
      <c r="F35" s="12">
        <v>1</v>
      </c>
      <c r="G35" s="12">
        <v>4</v>
      </c>
      <c r="H35" s="15">
        <v>31.99</v>
      </c>
      <c r="I35" s="15">
        <v>43.94</v>
      </c>
      <c r="J35" s="12">
        <v>2.7</v>
      </c>
      <c r="K35" s="15">
        <v>1</v>
      </c>
      <c r="L35" s="15">
        <v>25</v>
      </c>
      <c r="M35" s="15">
        <v>45.970721431403227</v>
      </c>
      <c r="N35" s="15">
        <v>4.0999999999999996</v>
      </c>
      <c r="O35" s="15">
        <v>2.2000000000000002</v>
      </c>
      <c r="P35" s="15">
        <v>0.1</v>
      </c>
      <c r="Q35" s="15">
        <v>6.4</v>
      </c>
      <c r="R35" s="15">
        <v>897.4</v>
      </c>
    </row>
    <row r="36" spans="1:18" x14ac:dyDescent="0.25">
      <c r="A36" s="12" t="s">
        <v>13</v>
      </c>
      <c r="B36" s="12" t="s">
        <v>7</v>
      </c>
      <c r="C36" s="12" t="s">
        <v>216</v>
      </c>
      <c r="D36" s="12">
        <v>1</v>
      </c>
      <c r="E36" s="12">
        <v>20</v>
      </c>
      <c r="F36" s="12">
        <v>1</v>
      </c>
      <c r="G36" s="12">
        <v>5</v>
      </c>
      <c r="H36" s="15">
        <v>32.04</v>
      </c>
      <c r="I36" s="15">
        <v>29.82</v>
      </c>
      <c r="J36" s="12">
        <v>3.3</v>
      </c>
      <c r="K36" s="15">
        <v>0.75599999999998546</v>
      </c>
      <c r="L36" s="15">
        <v>18.899999999999636</v>
      </c>
      <c r="M36" s="15">
        <v>67.502700108003012</v>
      </c>
      <c r="N36" s="15">
        <v>4.0999999999999996</v>
      </c>
      <c r="O36" s="15">
        <v>2.2000000000000002</v>
      </c>
      <c r="P36" s="15">
        <v>0.1</v>
      </c>
      <c r="Q36" s="15">
        <v>6.4</v>
      </c>
      <c r="R36" s="15">
        <v>897.4</v>
      </c>
    </row>
    <row r="37" spans="1:18" x14ac:dyDescent="0.25">
      <c r="A37" s="12" t="s">
        <v>13</v>
      </c>
      <c r="B37" s="12" t="s">
        <v>7</v>
      </c>
      <c r="C37" s="12" t="s">
        <v>216</v>
      </c>
      <c r="D37" s="12">
        <v>2</v>
      </c>
      <c r="E37" s="12">
        <v>24</v>
      </c>
      <c r="F37" s="12">
        <v>1</v>
      </c>
      <c r="G37" s="12">
        <v>1</v>
      </c>
      <c r="H37" s="15">
        <v>31.88</v>
      </c>
      <c r="I37" s="15">
        <v>78.010000000000005</v>
      </c>
      <c r="J37" s="166">
        <v>1</v>
      </c>
      <c r="K37" s="15">
        <v>0.35463258785941998</v>
      </c>
      <c r="L37" s="15">
        <v>11.099999999999909</v>
      </c>
      <c r="M37" s="15">
        <v>40.301279293311289</v>
      </c>
      <c r="N37" s="15">
        <v>5.4</v>
      </c>
      <c r="O37" s="15">
        <v>2.6</v>
      </c>
      <c r="P37" s="15">
        <v>0.2</v>
      </c>
      <c r="Q37" s="15">
        <v>8.1999999999999993</v>
      </c>
      <c r="R37" s="15">
        <v>1311.55</v>
      </c>
    </row>
    <row r="38" spans="1:18" x14ac:dyDescent="0.25">
      <c r="A38" s="12" t="s">
        <v>13</v>
      </c>
      <c r="B38" s="12" t="s">
        <v>7</v>
      </c>
      <c r="C38" s="12" t="s">
        <v>216</v>
      </c>
      <c r="D38" s="12">
        <v>2</v>
      </c>
      <c r="E38" s="12">
        <v>24</v>
      </c>
      <c r="F38" s="12">
        <v>1</v>
      </c>
      <c r="G38" s="12">
        <v>2</v>
      </c>
      <c r="H38" s="15">
        <v>31.95</v>
      </c>
      <c r="I38" s="15">
        <v>68.73</v>
      </c>
      <c r="J38" s="12">
        <v>1.5</v>
      </c>
      <c r="K38" s="15">
        <v>0.51437699680510596</v>
      </c>
      <c r="L38" s="15">
        <v>16.099999999999909</v>
      </c>
      <c r="M38" s="15">
        <v>26.920069798223057</v>
      </c>
      <c r="N38" s="15">
        <v>5.4</v>
      </c>
      <c r="O38" s="15">
        <v>2.6</v>
      </c>
      <c r="P38" s="15">
        <v>0.2</v>
      </c>
      <c r="Q38" s="15">
        <v>8.1999999999999993</v>
      </c>
      <c r="R38" s="15">
        <v>1311.55</v>
      </c>
    </row>
    <row r="39" spans="1:18" x14ac:dyDescent="0.25">
      <c r="A39" s="12" t="s">
        <v>13</v>
      </c>
      <c r="B39" s="12" t="s">
        <v>7</v>
      </c>
      <c r="C39" s="12" t="s">
        <v>216</v>
      </c>
      <c r="D39" s="12">
        <v>2</v>
      </c>
      <c r="E39" s="12">
        <v>24</v>
      </c>
      <c r="F39" s="12">
        <v>1</v>
      </c>
      <c r="G39" s="12">
        <v>3</v>
      </c>
      <c r="H39" s="15">
        <v>31.86</v>
      </c>
      <c r="I39" s="15">
        <v>56.77</v>
      </c>
      <c r="J39" s="166">
        <v>2</v>
      </c>
      <c r="K39" s="15">
        <v>0.38019169329073554</v>
      </c>
      <c r="L39" s="15">
        <v>11.900000000000091</v>
      </c>
      <c r="M39" s="15">
        <v>29.651091371956227</v>
      </c>
      <c r="N39" s="15">
        <v>5.4</v>
      </c>
      <c r="O39" s="15">
        <v>2.6</v>
      </c>
      <c r="P39" s="15">
        <v>0.2</v>
      </c>
      <c r="Q39" s="15">
        <v>8.1999999999999993</v>
      </c>
      <c r="R39" s="15">
        <v>1311.55</v>
      </c>
    </row>
    <row r="40" spans="1:18" x14ac:dyDescent="0.25">
      <c r="A40" s="12" t="s">
        <v>13</v>
      </c>
      <c r="B40" s="12" t="s">
        <v>7</v>
      </c>
      <c r="C40" s="12" t="s">
        <v>216</v>
      </c>
      <c r="D40" s="12">
        <v>2</v>
      </c>
      <c r="E40" s="12">
        <v>24</v>
      </c>
      <c r="F40" s="12">
        <v>1</v>
      </c>
      <c r="G40" s="12">
        <v>4</v>
      </c>
      <c r="H40" s="15">
        <v>31.99</v>
      </c>
      <c r="I40" s="15">
        <v>43.94</v>
      </c>
      <c r="J40" s="12">
        <v>2.7</v>
      </c>
      <c r="K40" s="15">
        <v>1</v>
      </c>
      <c r="L40" s="15">
        <v>31.300000000000182</v>
      </c>
      <c r="M40" s="15">
        <v>39.381011030080401</v>
      </c>
      <c r="N40" s="15">
        <v>5.4</v>
      </c>
      <c r="O40" s="15">
        <v>2.6</v>
      </c>
      <c r="P40" s="15">
        <v>0.2</v>
      </c>
      <c r="Q40" s="15">
        <v>8.1999999999999993</v>
      </c>
      <c r="R40" s="15">
        <v>1311.55</v>
      </c>
    </row>
    <row r="41" spans="1:18" x14ac:dyDescent="0.25">
      <c r="A41" s="12" t="s">
        <v>13</v>
      </c>
      <c r="B41" s="12" t="s">
        <v>7</v>
      </c>
      <c r="C41" s="12" t="s">
        <v>216</v>
      </c>
      <c r="D41" s="12">
        <v>2</v>
      </c>
      <c r="E41" s="12">
        <v>24</v>
      </c>
      <c r="F41" s="12">
        <v>1</v>
      </c>
      <c r="G41" s="12">
        <v>5</v>
      </c>
      <c r="H41" s="15">
        <v>32.04</v>
      </c>
      <c r="I41" s="15">
        <v>29.82</v>
      </c>
      <c r="J41" s="12">
        <v>3.3</v>
      </c>
      <c r="K41" s="15">
        <v>0.79872204472842989</v>
      </c>
      <c r="L41" s="15">
        <v>25</v>
      </c>
      <c r="M41" s="15">
        <v>61.09428167298627</v>
      </c>
      <c r="N41" s="15">
        <v>5.4</v>
      </c>
      <c r="O41" s="15">
        <v>2.6</v>
      </c>
      <c r="P41" s="15">
        <v>0.2</v>
      </c>
      <c r="Q41" s="15">
        <v>8.1999999999999993</v>
      </c>
      <c r="R41" s="15">
        <v>1311.55</v>
      </c>
    </row>
    <row r="42" spans="1:18" x14ac:dyDescent="0.25">
      <c r="A42" s="12" t="s">
        <v>13</v>
      </c>
      <c r="B42" s="12" t="s">
        <v>7</v>
      </c>
      <c r="C42" s="12" t="s">
        <v>216</v>
      </c>
      <c r="D42" s="12">
        <v>3</v>
      </c>
      <c r="E42" s="12">
        <v>25</v>
      </c>
      <c r="F42" s="12">
        <v>1</v>
      </c>
      <c r="G42" s="12">
        <v>1</v>
      </c>
      <c r="H42" s="15">
        <v>31.88</v>
      </c>
      <c r="I42" s="15">
        <v>78.010000000000005</v>
      </c>
      <c r="J42" s="166">
        <v>1</v>
      </c>
      <c r="K42" s="15">
        <v>0.39583333333333398</v>
      </c>
      <c r="L42" s="15">
        <v>11.400000000000091</v>
      </c>
      <c r="M42" s="15">
        <v>46.766985953905355</v>
      </c>
      <c r="N42" s="15">
        <v>5.7</v>
      </c>
      <c r="O42" s="15">
        <v>2.9</v>
      </c>
      <c r="P42" s="15">
        <v>0.2</v>
      </c>
      <c r="Q42" s="15">
        <v>8.8000000000000007</v>
      </c>
      <c r="R42" s="15">
        <v>1160.77</v>
      </c>
    </row>
    <row r="43" spans="1:18" x14ac:dyDescent="0.25">
      <c r="A43" s="12" t="s">
        <v>13</v>
      </c>
      <c r="B43" s="12" t="s">
        <v>7</v>
      </c>
      <c r="C43" s="12" t="s">
        <v>216</v>
      </c>
      <c r="D43" s="12">
        <v>3</v>
      </c>
      <c r="E43" s="12">
        <v>25</v>
      </c>
      <c r="F43" s="12">
        <v>1</v>
      </c>
      <c r="G43" s="12">
        <v>2</v>
      </c>
      <c r="H43" s="15">
        <v>31.95</v>
      </c>
      <c r="I43" s="15">
        <v>68.73</v>
      </c>
      <c r="J43" s="12">
        <v>1.5</v>
      </c>
      <c r="K43" s="15">
        <v>0.54861111111111394</v>
      </c>
      <c r="L43" s="15">
        <v>15.800000000000182</v>
      </c>
      <c r="M43" s="15">
        <v>29.850119151096205</v>
      </c>
      <c r="N43" s="15">
        <v>5.7</v>
      </c>
      <c r="O43" s="15">
        <v>2.9</v>
      </c>
      <c r="P43" s="15">
        <v>0.2</v>
      </c>
      <c r="Q43" s="15">
        <v>8.8000000000000007</v>
      </c>
      <c r="R43" s="15">
        <v>1160.77</v>
      </c>
    </row>
    <row r="44" spans="1:18" x14ac:dyDescent="0.25">
      <c r="A44" s="12" t="s">
        <v>13</v>
      </c>
      <c r="B44" s="12" t="s">
        <v>7</v>
      </c>
      <c r="C44" s="12" t="s">
        <v>216</v>
      </c>
      <c r="D44" s="12">
        <v>3</v>
      </c>
      <c r="E44" s="12">
        <v>25</v>
      </c>
      <c r="F44" s="12">
        <v>1</v>
      </c>
      <c r="G44" s="12">
        <v>3</v>
      </c>
      <c r="H44" s="15">
        <v>31.86</v>
      </c>
      <c r="I44" s="15">
        <v>56.77</v>
      </c>
      <c r="J44" s="166">
        <v>2</v>
      </c>
      <c r="K44" s="15">
        <v>0.37152777777776913</v>
      </c>
      <c r="L44" s="15">
        <v>10.699999999999818</v>
      </c>
      <c r="M44" s="15">
        <v>30.124245338385133</v>
      </c>
      <c r="N44" s="15">
        <v>5.7</v>
      </c>
      <c r="O44" s="15">
        <v>2.9</v>
      </c>
      <c r="P44" s="15">
        <v>0.2</v>
      </c>
      <c r="Q44" s="15">
        <v>8.8000000000000007</v>
      </c>
      <c r="R44" s="15">
        <v>1160.77</v>
      </c>
    </row>
    <row r="45" spans="1:18" x14ac:dyDescent="0.25">
      <c r="A45" s="12" t="s">
        <v>13</v>
      </c>
      <c r="B45" s="12" t="s">
        <v>7</v>
      </c>
      <c r="C45" s="12" t="s">
        <v>216</v>
      </c>
      <c r="D45" s="12">
        <v>3</v>
      </c>
      <c r="E45" s="12">
        <v>25</v>
      </c>
      <c r="F45" s="12">
        <v>1</v>
      </c>
      <c r="G45" s="12">
        <v>4</v>
      </c>
      <c r="H45" s="15">
        <v>31.99</v>
      </c>
      <c r="I45" s="15">
        <v>43.94</v>
      </c>
      <c r="J45" s="12">
        <v>2.7</v>
      </c>
      <c r="K45" s="15">
        <v>1</v>
      </c>
      <c r="L45" s="15">
        <v>28.800000000000182</v>
      </c>
      <c r="M45" s="15">
        <v>40.942436895550216</v>
      </c>
      <c r="N45" s="15">
        <v>5.7</v>
      </c>
      <c r="O45" s="15">
        <v>2.9</v>
      </c>
      <c r="P45" s="15">
        <v>0.2</v>
      </c>
      <c r="Q45" s="15">
        <v>8.8000000000000007</v>
      </c>
      <c r="R45" s="15">
        <v>1160.77</v>
      </c>
    </row>
    <row r="46" spans="1:18" x14ac:dyDescent="0.25">
      <c r="A46" s="12" t="s">
        <v>13</v>
      </c>
      <c r="B46" s="12" t="s">
        <v>7</v>
      </c>
      <c r="C46" s="12" t="s">
        <v>216</v>
      </c>
      <c r="D46" s="12">
        <v>3</v>
      </c>
      <c r="E46" s="12">
        <v>25</v>
      </c>
      <c r="F46" s="12">
        <v>1</v>
      </c>
      <c r="G46" s="12">
        <v>5</v>
      </c>
      <c r="H46" s="15">
        <v>32.04</v>
      </c>
      <c r="I46" s="15">
        <v>29.82</v>
      </c>
      <c r="J46" s="12">
        <v>3.3</v>
      </c>
      <c r="K46" s="15">
        <v>0.76388888888888407</v>
      </c>
      <c r="L46" s="15">
        <v>22</v>
      </c>
      <c r="M46" s="15">
        <v>60.746591066981843</v>
      </c>
      <c r="N46" s="15">
        <v>5.7</v>
      </c>
      <c r="O46" s="15">
        <v>2.9</v>
      </c>
      <c r="P46" s="15">
        <v>0.2</v>
      </c>
      <c r="Q46" s="15">
        <v>8.8000000000000007</v>
      </c>
      <c r="R46" s="15">
        <v>1160.77</v>
      </c>
    </row>
    <row r="47" spans="1:18" x14ac:dyDescent="0.25">
      <c r="A47" s="12" t="s">
        <v>13</v>
      </c>
      <c r="B47" s="12" t="s">
        <v>7</v>
      </c>
      <c r="C47" s="12" t="s">
        <v>216</v>
      </c>
      <c r="D47" s="12">
        <v>4</v>
      </c>
      <c r="E47" s="12">
        <v>31</v>
      </c>
      <c r="F47" s="12">
        <v>1</v>
      </c>
      <c r="G47" s="12">
        <v>1</v>
      </c>
      <c r="H47" s="15">
        <v>31.88</v>
      </c>
      <c r="I47" s="15">
        <v>78.010000000000005</v>
      </c>
      <c r="J47" s="166">
        <v>1</v>
      </c>
      <c r="K47" s="15">
        <v>0.40707964601772478</v>
      </c>
      <c r="L47" s="15">
        <v>4.6000000000003638</v>
      </c>
      <c r="M47" s="15">
        <v>46.043557205119683</v>
      </c>
      <c r="N47" s="15">
        <v>2</v>
      </c>
      <c r="O47" s="15">
        <v>1.2</v>
      </c>
      <c r="P47" s="15">
        <v>0</v>
      </c>
      <c r="Q47" s="15">
        <v>3.2</v>
      </c>
      <c r="R47" s="15">
        <v>475.74</v>
      </c>
    </row>
    <row r="48" spans="1:18" x14ac:dyDescent="0.25">
      <c r="A48" s="12" t="s">
        <v>13</v>
      </c>
      <c r="B48" s="12" t="s">
        <v>7</v>
      </c>
      <c r="C48" s="12" t="s">
        <v>216</v>
      </c>
      <c r="D48" s="12">
        <v>4</v>
      </c>
      <c r="E48" s="12">
        <v>31</v>
      </c>
      <c r="F48" s="12">
        <v>1</v>
      </c>
      <c r="G48" s="12">
        <v>2</v>
      </c>
      <c r="H48" s="15">
        <v>31.95</v>
      </c>
      <c r="I48" s="15">
        <v>68.73</v>
      </c>
      <c r="J48" s="12">
        <v>1.5</v>
      </c>
      <c r="K48" s="15">
        <v>0.6637168141592813</v>
      </c>
      <c r="L48" s="15">
        <v>7.5</v>
      </c>
      <c r="M48" s="15">
        <v>34.572178965511903</v>
      </c>
      <c r="N48" s="15">
        <v>2</v>
      </c>
      <c r="O48" s="15">
        <v>1.2</v>
      </c>
      <c r="P48" s="15">
        <v>0</v>
      </c>
      <c r="Q48" s="15">
        <v>3.2</v>
      </c>
      <c r="R48" s="15">
        <v>475.74</v>
      </c>
    </row>
    <row r="49" spans="1:18" x14ac:dyDescent="0.25">
      <c r="A49" s="12" t="s">
        <v>13</v>
      </c>
      <c r="B49" s="12" t="s">
        <v>7</v>
      </c>
      <c r="C49" s="12" t="s">
        <v>216</v>
      </c>
      <c r="D49" s="12">
        <v>4</v>
      </c>
      <c r="E49" s="12">
        <v>31</v>
      </c>
      <c r="F49" s="12">
        <v>1</v>
      </c>
      <c r="G49" s="12">
        <v>3</v>
      </c>
      <c r="H49" s="15">
        <v>31.86</v>
      </c>
      <c r="I49" s="15">
        <v>56.77</v>
      </c>
      <c r="J49" s="166">
        <v>2</v>
      </c>
      <c r="K49" s="15">
        <v>0.43362831858403161</v>
      </c>
      <c r="L49" s="15">
        <v>4.8999999999996362</v>
      </c>
      <c r="M49" s="15">
        <v>33.659292671256665</v>
      </c>
      <c r="N49" s="15">
        <v>2</v>
      </c>
      <c r="O49" s="15">
        <v>1.2</v>
      </c>
      <c r="P49" s="15">
        <v>0</v>
      </c>
      <c r="Q49" s="15">
        <v>3.2</v>
      </c>
      <c r="R49" s="15">
        <v>475.74</v>
      </c>
    </row>
    <row r="50" spans="1:18" x14ac:dyDescent="0.25">
      <c r="A50" s="12" t="s">
        <v>13</v>
      </c>
      <c r="B50" s="12" t="s">
        <v>7</v>
      </c>
      <c r="C50" s="12" t="s">
        <v>216</v>
      </c>
      <c r="D50" s="12">
        <v>4</v>
      </c>
      <c r="E50" s="12">
        <v>31</v>
      </c>
      <c r="F50" s="12">
        <v>1</v>
      </c>
      <c r="G50" s="12">
        <v>4</v>
      </c>
      <c r="H50" s="15">
        <v>31.99</v>
      </c>
      <c r="I50" s="15">
        <v>43.94</v>
      </c>
      <c r="J50" s="12">
        <v>2.7</v>
      </c>
      <c r="K50" s="15">
        <v>1</v>
      </c>
      <c r="L50" s="15">
        <v>11.300000000000182</v>
      </c>
      <c r="M50" s="15">
        <v>39.195494779646339</v>
      </c>
      <c r="N50" s="15">
        <v>2</v>
      </c>
      <c r="O50" s="15">
        <v>1.2</v>
      </c>
      <c r="P50" s="15">
        <v>0</v>
      </c>
      <c r="Q50" s="15">
        <v>3.2</v>
      </c>
      <c r="R50" s="15">
        <v>475.74</v>
      </c>
    </row>
    <row r="51" spans="1:18" x14ac:dyDescent="0.25">
      <c r="A51" s="12" t="s">
        <v>13</v>
      </c>
      <c r="B51" s="12" t="s">
        <v>7</v>
      </c>
      <c r="C51" s="12" t="s">
        <v>216</v>
      </c>
      <c r="D51" s="12">
        <v>4</v>
      </c>
      <c r="E51" s="12">
        <v>31</v>
      </c>
      <c r="F51" s="12">
        <v>1</v>
      </c>
      <c r="G51" s="12">
        <v>5</v>
      </c>
      <c r="H51" s="15">
        <v>32.04</v>
      </c>
      <c r="I51" s="15">
        <v>29.82</v>
      </c>
      <c r="J51" s="12">
        <v>3.3</v>
      </c>
      <c r="K51" s="15">
        <v>0.92035398230087817</v>
      </c>
      <c r="L51" s="15">
        <v>10.400000000000091</v>
      </c>
      <c r="M51" s="15">
        <v>70.066282703438063</v>
      </c>
      <c r="N51" s="15">
        <v>2</v>
      </c>
      <c r="O51" s="15">
        <v>1.2</v>
      </c>
      <c r="P51" s="15">
        <v>0</v>
      </c>
      <c r="Q51" s="15">
        <v>3.2</v>
      </c>
      <c r="R51" s="15">
        <v>475.74</v>
      </c>
    </row>
    <row r="52" spans="1:18" x14ac:dyDescent="0.25">
      <c r="A52" s="12" t="s">
        <v>11</v>
      </c>
      <c r="B52" s="12" t="s">
        <v>5</v>
      </c>
      <c r="C52" s="12" t="s">
        <v>217</v>
      </c>
      <c r="D52" s="12">
        <v>1</v>
      </c>
      <c r="E52" s="12">
        <v>18</v>
      </c>
      <c r="F52" s="12">
        <v>1</v>
      </c>
      <c r="G52" s="12">
        <v>1</v>
      </c>
      <c r="H52" s="15">
        <v>31.88</v>
      </c>
      <c r="I52" s="15">
        <v>78.010000000000005</v>
      </c>
      <c r="J52" s="166">
        <v>1</v>
      </c>
      <c r="K52" s="15">
        <v>0.39543726235741516</v>
      </c>
      <c r="L52" s="15">
        <v>10.400000000000091</v>
      </c>
      <c r="M52" s="15">
        <v>47.996559015923282</v>
      </c>
      <c r="N52" s="15">
        <v>3.3</v>
      </c>
      <c r="O52" s="15">
        <v>1.9</v>
      </c>
      <c r="P52" s="15">
        <v>0</v>
      </c>
      <c r="Q52" s="15">
        <v>5.2</v>
      </c>
      <c r="R52" s="15">
        <v>1031.82</v>
      </c>
    </row>
    <row r="53" spans="1:18" x14ac:dyDescent="0.25">
      <c r="A53" s="12" t="s">
        <v>11</v>
      </c>
      <c r="B53" s="12" t="s">
        <v>5</v>
      </c>
      <c r="C53" s="12" t="s">
        <v>217</v>
      </c>
      <c r="D53" s="12">
        <v>1</v>
      </c>
      <c r="E53" s="12">
        <v>18</v>
      </c>
      <c r="F53" s="12">
        <v>1</v>
      </c>
      <c r="G53" s="12">
        <v>2</v>
      </c>
      <c r="H53" s="15">
        <v>31.95</v>
      </c>
      <c r="I53" s="15">
        <v>68.73</v>
      </c>
      <c r="J53" s="12">
        <v>1.5</v>
      </c>
      <c r="K53" s="15">
        <v>0.60456273764258484</v>
      </c>
      <c r="L53" s="15">
        <v>15.900000000000091</v>
      </c>
      <c r="M53" s="15">
        <v>33.793123851671595</v>
      </c>
      <c r="N53" s="15">
        <v>3.3</v>
      </c>
      <c r="O53" s="15">
        <v>1.9</v>
      </c>
      <c r="P53" s="15">
        <v>0</v>
      </c>
      <c r="Q53" s="15">
        <v>5.2</v>
      </c>
      <c r="R53" s="15">
        <v>1031.82</v>
      </c>
    </row>
    <row r="54" spans="1:18" x14ac:dyDescent="0.25">
      <c r="A54" s="12" t="s">
        <v>11</v>
      </c>
      <c r="B54" s="12" t="s">
        <v>5</v>
      </c>
      <c r="C54" s="12" t="s">
        <v>217</v>
      </c>
      <c r="D54" s="12">
        <v>1</v>
      </c>
      <c r="E54" s="12">
        <v>18</v>
      </c>
      <c r="F54" s="12">
        <v>1</v>
      </c>
      <c r="G54" s="12">
        <v>3</v>
      </c>
      <c r="H54" s="15">
        <v>31.86</v>
      </c>
      <c r="I54" s="15">
        <v>56.77</v>
      </c>
      <c r="J54" s="166">
        <v>2</v>
      </c>
      <c r="K54" s="15">
        <v>0.38403041825094447</v>
      </c>
      <c r="L54" s="15">
        <v>10.099999999999909</v>
      </c>
      <c r="M54" s="15">
        <v>31.988656885611952</v>
      </c>
      <c r="N54" s="15">
        <v>3.3</v>
      </c>
      <c r="O54" s="15">
        <v>1.9</v>
      </c>
      <c r="P54" s="15">
        <v>0</v>
      </c>
      <c r="Q54" s="15">
        <v>5.2</v>
      </c>
      <c r="R54" s="15">
        <v>1031.82</v>
      </c>
    </row>
    <row r="55" spans="1:18" x14ac:dyDescent="0.25">
      <c r="A55" s="12" t="s">
        <v>11</v>
      </c>
      <c r="B55" s="12" t="s">
        <v>5</v>
      </c>
      <c r="C55" s="12" t="s">
        <v>217</v>
      </c>
      <c r="D55" s="12">
        <v>1</v>
      </c>
      <c r="E55" s="12">
        <v>18</v>
      </c>
      <c r="F55" s="12">
        <v>1</v>
      </c>
      <c r="G55" s="12">
        <v>4</v>
      </c>
      <c r="H55" s="15">
        <v>31.99</v>
      </c>
      <c r="I55" s="15">
        <v>43.94</v>
      </c>
      <c r="J55" s="12">
        <v>2.7</v>
      </c>
      <c r="K55" s="15">
        <v>1</v>
      </c>
      <c r="L55" s="15">
        <v>26.300000000000182</v>
      </c>
      <c r="M55" s="15">
        <v>42.060960181033224</v>
      </c>
      <c r="N55" s="15">
        <v>3.3</v>
      </c>
      <c r="O55" s="15">
        <v>1.9</v>
      </c>
      <c r="P55" s="15">
        <v>0</v>
      </c>
      <c r="Q55" s="15">
        <v>5.2</v>
      </c>
      <c r="R55" s="15">
        <v>1031.82</v>
      </c>
    </row>
    <row r="56" spans="1:18" x14ac:dyDescent="0.25">
      <c r="A56" s="12" t="s">
        <v>11</v>
      </c>
      <c r="B56" s="12" t="s">
        <v>5</v>
      </c>
      <c r="C56" s="12" t="s">
        <v>217</v>
      </c>
      <c r="D56" s="12">
        <v>1</v>
      </c>
      <c r="E56" s="12">
        <v>18</v>
      </c>
      <c r="F56" s="12">
        <v>1</v>
      </c>
      <c r="G56" s="12">
        <v>5</v>
      </c>
      <c r="H56" s="15">
        <v>32.04</v>
      </c>
      <c r="I56" s="15">
        <v>29.82</v>
      </c>
      <c r="J56" s="12">
        <v>3.3</v>
      </c>
      <c r="K56" s="15">
        <v>0.75665399239543552</v>
      </c>
      <c r="L56" s="15">
        <v>19.900000000000091</v>
      </c>
      <c r="M56" s="15">
        <v>61.815094960411287</v>
      </c>
      <c r="N56" s="15">
        <v>3.3</v>
      </c>
      <c r="O56" s="15">
        <v>1.9</v>
      </c>
      <c r="P56" s="15">
        <v>0</v>
      </c>
      <c r="Q56" s="15">
        <v>5.2</v>
      </c>
      <c r="R56" s="15">
        <v>1031.82</v>
      </c>
    </row>
    <row r="57" spans="1:18" x14ac:dyDescent="0.25">
      <c r="A57" s="12" t="s">
        <v>11</v>
      </c>
      <c r="B57" s="12" t="s">
        <v>5</v>
      </c>
      <c r="C57" s="12" t="s">
        <v>217</v>
      </c>
      <c r="D57" s="12">
        <v>2</v>
      </c>
      <c r="E57" s="12">
        <v>21</v>
      </c>
      <c r="F57" s="12">
        <v>1</v>
      </c>
      <c r="G57" s="12">
        <v>1</v>
      </c>
      <c r="H57" s="15">
        <v>31.88</v>
      </c>
      <c r="I57" s="15">
        <v>78.010000000000005</v>
      </c>
      <c r="J57" s="166">
        <v>1</v>
      </c>
      <c r="K57" s="15">
        <v>0.35664335664335139</v>
      </c>
      <c r="L57" s="15">
        <v>10.199999999999818</v>
      </c>
      <c r="M57" s="15">
        <v>46.807262835170143</v>
      </c>
      <c r="N57" s="15">
        <v>3.7</v>
      </c>
      <c r="O57" s="15">
        <v>1.6</v>
      </c>
      <c r="P57" s="15">
        <v>0</v>
      </c>
      <c r="Q57" s="15">
        <v>5.3</v>
      </c>
      <c r="R57" s="15">
        <v>1037.69</v>
      </c>
    </row>
    <row r="58" spans="1:18" x14ac:dyDescent="0.25">
      <c r="A58" s="12" t="s">
        <v>11</v>
      </c>
      <c r="B58" s="12" t="s">
        <v>5</v>
      </c>
      <c r="C58" s="12" t="s">
        <v>217</v>
      </c>
      <c r="D58" s="12">
        <v>2</v>
      </c>
      <c r="E58" s="12">
        <v>21</v>
      </c>
      <c r="F58" s="12">
        <v>1</v>
      </c>
      <c r="G58" s="12">
        <v>2</v>
      </c>
      <c r="H58" s="15">
        <v>31.95</v>
      </c>
      <c r="I58" s="15">
        <v>68.73</v>
      </c>
      <c r="J58" s="12">
        <v>1.5</v>
      </c>
      <c r="K58" s="15">
        <v>0.534965034965043</v>
      </c>
      <c r="L58" s="15">
        <v>15.300000000000182</v>
      </c>
      <c r="M58" s="15">
        <v>32.333964458506649</v>
      </c>
      <c r="N58" s="15">
        <v>3.7</v>
      </c>
      <c r="O58" s="15">
        <v>1.6</v>
      </c>
      <c r="P58" s="15">
        <v>0</v>
      </c>
      <c r="Q58" s="15">
        <v>5.3</v>
      </c>
      <c r="R58" s="15">
        <v>1037.69</v>
      </c>
    </row>
    <row r="59" spans="1:18" x14ac:dyDescent="0.25">
      <c r="A59" s="12" t="s">
        <v>11</v>
      </c>
      <c r="B59" s="12" t="s">
        <v>5</v>
      </c>
      <c r="C59" s="12" t="s">
        <v>217</v>
      </c>
      <c r="D59" s="12">
        <v>2</v>
      </c>
      <c r="E59" s="12">
        <v>21</v>
      </c>
      <c r="F59" s="12">
        <v>1</v>
      </c>
      <c r="G59" s="12">
        <v>3</v>
      </c>
      <c r="H59" s="15">
        <v>31.86</v>
      </c>
      <c r="I59" s="15">
        <v>56.77</v>
      </c>
      <c r="J59" s="166">
        <v>2</v>
      </c>
      <c r="K59" s="15">
        <v>0.3671328671328683</v>
      </c>
      <c r="L59" s="15">
        <v>10.5</v>
      </c>
      <c r="M59" s="15">
        <v>33.067414632689989</v>
      </c>
      <c r="N59" s="15">
        <v>3.7</v>
      </c>
      <c r="O59" s="15">
        <v>1.6</v>
      </c>
      <c r="P59" s="15">
        <v>0</v>
      </c>
      <c r="Q59" s="15">
        <v>5.3</v>
      </c>
      <c r="R59" s="15">
        <v>1037.69</v>
      </c>
    </row>
    <row r="60" spans="1:18" x14ac:dyDescent="0.25">
      <c r="A60" s="12" t="s">
        <v>11</v>
      </c>
      <c r="B60" s="12" t="s">
        <v>5</v>
      </c>
      <c r="C60" s="12" t="s">
        <v>217</v>
      </c>
      <c r="D60" s="12">
        <v>2</v>
      </c>
      <c r="E60" s="12">
        <v>21</v>
      </c>
      <c r="F60" s="12">
        <v>1</v>
      </c>
      <c r="G60" s="12">
        <v>4</v>
      </c>
      <c r="H60" s="15">
        <v>31.99</v>
      </c>
      <c r="I60" s="15">
        <v>43.94</v>
      </c>
      <c r="J60" s="12">
        <v>2.7</v>
      </c>
      <c r="K60" s="15">
        <v>1</v>
      </c>
      <c r="L60" s="15">
        <v>28.599999999999909</v>
      </c>
      <c r="M60" s="15">
        <v>45.480557268497378</v>
      </c>
      <c r="N60" s="15">
        <v>3.7</v>
      </c>
      <c r="O60" s="15">
        <v>1.6</v>
      </c>
      <c r="P60" s="15">
        <v>0</v>
      </c>
      <c r="Q60" s="15">
        <v>5.3</v>
      </c>
      <c r="R60" s="15">
        <v>1037.69</v>
      </c>
    </row>
    <row r="61" spans="1:18" x14ac:dyDescent="0.25">
      <c r="A61" s="12" t="s">
        <v>11</v>
      </c>
      <c r="B61" s="12" t="s">
        <v>5</v>
      </c>
      <c r="C61" s="12" t="s">
        <v>217</v>
      </c>
      <c r="D61" s="12">
        <v>2</v>
      </c>
      <c r="E61" s="12">
        <v>21</v>
      </c>
      <c r="F61" s="12">
        <v>1</v>
      </c>
      <c r="G61" s="12">
        <v>5</v>
      </c>
      <c r="H61" s="15">
        <v>32.04</v>
      </c>
      <c r="I61" s="15">
        <v>29.82</v>
      </c>
      <c r="J61" s="12">
        <v>3.3</v>
      </c>
      <c r="K61" s="15">
        <v>0.75524475524475443</v>
      </c>
      <c r="L61" s="15">
        <v>21.599999999999909</v>
      </c>
      <c r="M61" s="15">
        <v>66.7162343578226</v>
      </c>
      <c r="N61" s="15">
        <v>3.7</v>
      </c>
      <c r="O61" s="15">
        <v>1.6</v>
      </c>
      <c r="P61" s="15">
        <v>0</v>
      </c>
      <c r="Q61" s="15">
        <v>5.3</v>
      </c>
      <c r="R61" s="15">
        <v>1037.69</v>
      </c>
    </row>
    <row r="62" spans="1:18" x14ac:dyDescent="0.25">
      <c r="A62" s="12" t="s">
        <v>11</v>
      </c>
      <c r="B62" s="12" t="s">
        <v>5</v>
      </c>
      <c r="C62" s="12" t="s">
        <v>217</v>
      </c>
      <c r="D62" s="12">
        <v>3</v>
      </c>
      <c r="E62" s="12">
        <v>26</v>
      </c>
      <c r="F62" s="12">
        <v>1</v>
      </c>
      <c r="G62" s="12">
        <v>1</v>
      </c>
      <c r="H62" s="15">
        <v>31.88</v>
      </c>
      <c r="I62" s="15">
        <v>78.010000000000005</v>
      </c>
      <c r="J62" s="166">
        <v>1</v>
      </c>
      <c r="K62" s="15">
        <v>0.39310344827586519</v>
      </c>
      <c r="L62" s="15">
        <v>11.400000000000091</v>
      </c>
      <c r="M62" s="15">
        <v>53.718979056666889</v>
      </c>
      <c r="N62" s="15">
        <v>3.4</v>
      </c>
      <c r="O62" s="15">
        <v>1.6</v>
      </c>
      <c r="P62" s="15">
        <v>0</v>
      </c>
      <c r="Q62" s="15">
        <v>5</v>
      </c>
      <c r="R62" s="15">
        <v>1010.55</v>
      </c>
    </row>
    <row r="63" spans="1:18" x14ac:dyDescent="0.25">
      <c r="A63" s="12" t="s">
        <v>11</v>
      </c>
      <c r="B63" s="12" t="s">
        <v>5</v>
      </c>
      <c r="C63" s="12" t="s">
        <v>217</v>
      </c>
      <c r="D63" s="12">
        <v>3</v>
      </c>
      <c r="E63" s="12">
        <v>26</v>
      </c>
      <c r="F63" s="12">
        <v>1</v>
      </c>
      <c r="G63" s="12">
        <v>2</v>
      </c>
      <c r="H63" s="15">
        <v>31.95</v>
      </c>
      <c r="I63" s="15">
        <v>68.73</v>
      </c>
      <c r="J63" s="12">
        <v>1.5</v>
      </c>
      <c r="K63" s="15">
        <v>0.56551724137931347</v>
      </c>
      <c r="L63" s="15">
        <v>16.400000000000091</v>
      </c>
      <c r="M63" s="15">
        <v>35.589443650192429</v>
      </c>
      <c r="N63" s="15">
        <v>3.4</v>
      </c>
      <c r="O63" s="15">
        <v>1.6</v>
      </c>
      <c r="P63" s="15">
        <v>0</v>
      </c>
      <c r="Q63" s="15">
        <v>5</v>
      </c>
      <c r="R63" s="15">
        <v>1010.55</v>
      </c>
    </row>
    <row r="64" spans="1:18" x14ac:dyDescent="0.25">
      <c r="A64" s="12" t="s">
        <v>11</v>
      </c>
      <c r="B64" s="12" t="s">
        <v>5</v>
      </c>
      <c r="C64" s="12" t="s">
        <v>217</v>
      </c>
      <c r="D64" s="12">
        <v>3</v>
      </c>
      <c r="E64" s="12">
        <v>26</v>
      </c>
      <c r="F64" s="12">
        <v>1</v>
      </c>
      <c r="G64" s="12">
        <v>3</v>
      </c>
      <c r="H64" s="15">
        <v>31.86</v>
      </c>
      <c r="I64" s="15">
        <v>56.77</v>
      </c>
      <c r="J64" s="166">
        <v>2</v>
      </c>
      <c r="K64" s="15">
        <v>0.38620689655171786</v>
      </c>
      <c r="L64" s="15">
        <v>11.199999999999818</v>
      </c>
      <c r="M64" s="15">
        <v>36.21919468560872</v>
      </c>
      <c r="N64" s="15">
        <v>3.4</v>
      </c>
      <c r="O64" s="15">
        <v>1.6</v>
      </c>
      <c r="P64" s="15">
        <v>0</v>
      </c>
      <c r="Q64" s="15">
        <v>5</v>
      </c>
      <c r="R64" s="15">
        <v>1010.55</v>
      </c>
    </row>
    <row r="65" spans="1:18" x14ac:dyDescent="0.25">
      <c r="A65" s="12" t="s">
        <v>11</v>
      </c>
      <c r="B65" s="12" t="s">
        <v>5</v>
      </c>
      <c r="C65" s="12" t="s">
        <v>217</v>
      </c>
      <c r="D65" s="12">
        <v>3</v>
      </c>
      <c r="E65" s="12">
        <v>26</v>
      </c>
      <c r="F65" s="12">
        <v>1</v>
      </c>
      <c r="G65" s="12">
        <v>4</v>
      </c>
      <c r="H65" s="15">
        <v>31.99</v>
      </c>
      <c r="I65" s="15">
        <v>43.94</v>
      </c>
      <c r="J65" s="12">
        <v>2.7</v>
      </c>
      <c r="K65" s="15">
        <v>1</v>
      </c>
      <c r="L65" s="15">
        <v>29</v>
      </c>
      <c r="M65" s="15">
        <v>47.355188242588554</v>
      </c>
      <c r="N65" s="15">
        <v>3.4</v>
      </c>
      <c r="O65" s="15">
        <v>1.6</v>
      </c>
      <c r="P65" s="15">
        <v>0</v>
      </c>
      <c r="Q65" s="15">
        <v>5</v>
      </c>
      <c r="R65" s="15">
        <v>1010.55</v>
      </c>
    </row>
    <row r="66" spans="1:18" x14ac:dyDescent="0.25">
      <c r="A66" s="12" t="s">
        <v>11</v>
      </c>
      <c r="B66" s="12" t="s">
        <v>5</v>
      </c>
      <c r="C66" s="12" t="s">
        <v>217</v>
      </c>
      <c r="D66" s="12">
        <v>3</v>
      </c>
      <c r="E66" s="12">
        <v>26</v>
      </c>
      <c r="F66" s="12">
        <v>1</v>
      </c>
      <c r="G66" s="12">
        <v>5</v>
      </c>
      <c r="H66" s="15">
        <v>32.04</v>
      </c>
      <c r="I66" s="15">
        <v>29.82</v>
      </c>
      <c r="J66" s="12">
        <v>3.3</v>
      </c>
      <c r="K66" s="15">
        <v>0.68275862068966142</v>
      </c>
      <c r="L66" s="15">
        <v>19.800000000000182</v>
      </c>
      <c r="M66" s="15">
        <v>62.799008917459844</v>
      </c>
      <c r="N66" s="15">
        <v>3.4</v>
      </c>
      <c r="O66" s="15">
        <v>1.6</v>
      </c>
      <c r="P66" s="15">
        <v>0</v>
      </c>
      <c r="Q66" s="15">
        <v>5</v>
      </c>
      <c r="R66" s="15">
        <v>1010.55</v>
      </c>
    </row>
    <row r="67" spans="1:18" x14ac:dyDescent="0.25">
      <c r="A67" s="12" t="s">
        <v>11</v>
      </c>
      <c r="B67" s="12" t="s">
        <v>5</v>
      </c>
      <c r="C67" s="12" t="s">
        <v>217</v>
      </c>
      <c r="D67" s="12">
        <v>4</v>
      </c>
      <c r="E67" s="12">
        <v>32</v>
      </c>
      <c r="F67" s="12">
        <v>1</v>
      </c>
      <c r="G67" s="12">
        <v>1</v>
      </c>
      <c r="H67" s="15">
        <v>31.88</v>
      </c>
      <c r="I67" s="15">
        <v>78.010000000000005</v>
      </c>
      <c r="J67" s="166">
        <v>1</v>
      </c>
      <c r="K67" s="15">
        <v>0.34469696969696506</v>
      </c>
      <c r="L67" s="15">
        <v>9.0999999999999091</v>
      </c>
      <c r="M67" s="15">
        <v>45.997509057970554</v>
      </c>
      <c r="N67" s="15">
        <v>3.1</v>
      </c>
      <c r="O67" s="15">
        <v>1.2</v>
      </c>
      <c r="P67" s="15">
        <v>0</v>
      </c>
      <c r="Q67" s="15">
        <v>4.3</v>
      </c>
      <c r="R67" s="15">
        <v>942.08</v>
      </c>
    </row>
    <row r="68" spans="1:18" x14ac:dyDescent="0.25">
      <c r="A68" s="12" t="s">
        <v>11</v>
      </c>
      <c r="B68" s="12" t="s">
        <v>5</v>
      </c>
      <c r="C68" s="12" t="s">
        <v>217</v>
      </c>
      <c r="D68" s="12">
        <v>4</v>
      </c>
      <c r="E68" s="12">
        <v>32</v>
      </c>
      <c r="F68" s="12">
        <v>1</v>
      </c>
      <c r="G68" s="12">
        <v>2</v>
      </c>
      <c r="H68" s="15">
        <v>31.95</v>
      </c>
      <c r="I68" s="15">
        <v>68.73</v>
      </c>
      <c r="J68" s="12">
        <v>1.5</v>
      </c>
      <c r="K68" s="15">
        <v>0.54166666666667174</v>
      </c>
      <c r="L68" s="15">
        <v>14.300000000000182</v>
      </c>
      <c r="M68" s="15">
        <v>33.287671028795238</v>
      </c>
      <c r="N68" s="15">
        <v>3.1</v>
      </c>
      <c r="O68" s="15">
        <v>1.2</v>
      </c>
      <c r="P68" s="15">
        <v>0</v>
      </c>
      <c r="Q68" s="15">
        <v>4.3</v>
      </c>
      <c r="R68" s="15">
        <v>942.08</v>
      </c>
    </row>
    <row r="69" spans="1:18" x14ac:dyDescent="0.25">
      <c r="A69" s="12" t="s">
        <v>11</v>
      </c>
      <c r="B69" s="12" t="s">
        <v>5</v>
      </c>
      <c r="C69" s="12" t="s">
        <v>217</v>
      </c>
      <c r="D69" s="12">
        <v>4</v>
      </c>
      <c r="E69" s="12">
        <v>32</v>
      </c>
      <c r="F69" s="12">
        <v>1</v>
      </c>
      <c r="G69" s="12">
        <v>3</v>
      </c>
      <c r="H69" s="15">
        <v>31.86</v>
      </c>
      <c r="I69" s="15">
        <v>56.77</v>
      </c>
      <c r="J69" s="166">
        <v>2</v>
      </c>
      <c r="K69" s="15">
        <v>0.39393939393939603</v>
      </c>
      <c r="L69" s="15">
        <v>10.400000000000091</v>
      </c>
      <c r="M69" s="15">
        <v>36.076477692526602</v>
      </c>
      <c r="N69" s="15">
        <v>3.1</v>
      </c>
      <c r="O69" s="15">
        <v>1.2</v>
      </c>
      <c r="P69" s="15">
        <v>0</v>
      </c>
      <c r="Q69" s="15">
        <v>4.3</v>
      </c>
      <c r="R69" s="15">
        <v>942.08</v>
      </c>
    </row>
    <row r="70" spans="1:18" x14ac:dyDescent="0.25">
      <c r="A70" s="12" t="s">
        <v>11</v>
      </c>
      <c r="B70" s="12" t="s">
        <v>5</v>
      </c>
      <c r="C70" s="12" t="s">
        <v>217</v>
      </c>
      <c r="D70" s="12">
        <v>4</v>
      </c>
      <c r="E70" s="12">
        <v>32</v>
      </c>
      <c r="F70" s="12">
        <v>1</v>
      </c>
      <c r="G70" s="12">
        <v>4</v>
      </c>
      <c r="H70" s="15">
        <v>31.99</v>
      </c>
      <c r="I70" s="15">
        <v>43.94</v>
      </c>
      <c r="J70" s="12">
        <v>2.7</v>
      </c>
      <c r="K70" s="15">
        <v>1</v>
      </c>
      <c r="L70" s="15">
        <v>26.400000000000091</v>
      </c>
      <c r="M70" s="15">
        <v>46.242735686612306</v>
      </c>
      <c r="N70" s="15">
        <v>3.1</v>
      </c>
      <c r="O70" s="15">
        <v>1.2</v>
      </c>
      <c r="P70" s="15">
        <v>0</v>
      </c>
      <c r="Q70" s="15">
        <v>4.3</v>
      </c>
      <c r="R70" s="15">
        <v>942.08</v>
      </c>
    </row>
    <row r="71" spans="1:18" x14ac:dyDescent="0.25">
      <c r="A71" s="12" t="s">
        <v>11</v>
      </c>
      <c r="B71" s="12" t="s">
        <v>5</v>
      </c>
      <c r="C71" s="12" t="s">
        <v>217</v>
      </c>
      <c r="D71" s="12">
        <v>4</v>
      </c>
      <c r="E71" s="12">
        <v>32</v>
      </c>
      <c r="F71" s="12">
        <v>1</v>
      </c>
      <c r="G71" s="12">
        <v>5</v>
      </c>
      <c r="H71" s="15">
        <v>32.04</v>
      </c>
      <c r="I71" s="15">
        <v>29.82</v>
      </c>
      <c r="J71" s="12">
        <v>3.3</v>
      </c>
      <c r="K71" s="15">
        <v>0.73863636363636109</v>
      </c>
      <c r="L71" s="15">
        <v>19.5</v>
      </c>
      <c r="M71" s="15">
        <v>66.342561141304344</v>
      </c>
      <c r="N71" s="15">
        <v>3.1</v>
      </c>
      <c r="O71" s="15">
        <v>1.2</v>
      </c>
      <c r="P71" s="15">
        <v>0</v>
      </c>
      <c r="Q71" s="15">
        <v>4.3</v>
      </c>
      <c r="R71" s="15">
        <v>942.08</v>
      </c>
    </row>
    <row r="72" spans="1:18" x14ac:dyDescent="0.25">
      <c r="A72" s="152" t="s">
        <v>14</v>
      </c>
      <c r="B72" s="12" t="s">
        <v>4</v>
      </c>
      <c r="C72" s="12" t="s">
        <v>214</v>
      </c>
      <c r="D72" s="12">
        <v>1</v>
      </c>
      <c r="E72" s="12">
        <v>17</v>
      </c>
      <c r="F72" s="12">
        <v>2</v>
      </c>
      <c r="G72" s="12">
        <v>1</v>
      </c>
      <c r="H72" s="15">
        <v>32.06</v>
      </c>
      <c r="I72" s="15">
        <v>77.400000000000006</v>
      </c>
      <c r="J72" s="166">
        <v>1.1000000000000001</v>
      </c>
      <c r="K72" s="177">
        <v>0.46540880503144655</v>
      </c>
      <c r="L72" s="15">
        <v>7.4</v>
      </c>
      <c r="M72" s="15">
        <v>25.030611761681516</v>
      </c>
      <c r="N72" s="15">
        <v>5.0999999999999996</v>
      </c>
      <c r="O72" s="15">
        <v>2.9</v>
      </c>
      <c r="P72" s="15">
        <v>0</v>
      </c>
      <c r="Q72" s="15">
        <v>8</v>
      </c>
      <c r="R72" s="15">
        <v>1407.8</v>
      </c>
    </row>
    <row r="73" spans="1:18" x14ac:dyDescent="0.25">
      <c r="A73" s="12" t="s">
        <v>14</v>
      </c>
      <c r="B73" s="12" t="s">
        <v>4</v>
      </c>
      <c r="C73" s="12" t="s">
        <v>214</v>
      </c>
      <c r="D73" s="12">
        <v>1</v>
      </c>
      <c r="E73" s="12">
        <v>17</v>
      </c>
      <c r="F73" s="12">
        <v>2</v>
      </c>
      <c r="G73" s="12">
        <v>2</v>
      </c>
      <c r="H73" s="15">
        <v>31.89</v>
      </c>
      <c r="I73" s="15">
        <v>66.86</v>
      </c>
      <c r="J73" s="12">
        <v>1.6</v>
      </c>
      <c r="K73" s="177">
        <v>0.72955974842767291</v>
      </c>
      <c r="L73" s="15">
        <v>11.6</v>
      </c>
      <c r="M73" s="15">
        <v>39.237175193987248</v>
      </c>
      <c r="N73" s="15">
        <v>5.0999999999999996</v>
      </c>
      <c r="O73" s="15">
        <v>2.9</v>
      </c>
      <c r="P73" s="15">
        <v>0</v>
      </c>
      <c r="Q73" s="15">
        <v>8</v>
      </c>
      <c r="R73" s="15">
        <v>1407.8</v>
      </c>
    </row>
    <row r="74" spans="1:18" x14ac:dyDescent="0.25">
      <c r="A74" s="12" t="s">
        <v>14</v>
      </c>
      <c r="B74" s="12" t="s">
        <v>4</v>
      </c>
      <c r="C74" s="12" t="s">
        <v>214</v>
      </c>
      <c r="D74" s="12">
        <v>1</v>
      </c>
      <c r="E74" s="12">
        <v>17</v>
      </c>
      <c r="F74" s="12">
        <v>2</v>
      </c>
      <c r="G74" s="12">
        <v>3</v>
      </c>
      <c r="H74" s="15">
        <v>31.94</v>
      </c>
      <c r="I74" s="15">
        <v>55.73</v>
      </c>
      <c r="J74" s="166">
        <v>2.1</v>
      </c>
      <c r="K74" s="177">
        <v>0.77358490566037741</v>
      </c>
      <c r="L74" s="15">
        <v>12.3</v>
      </c>
      <c r="M74" s="15">
        <v>41.604935766038196</v>
      </c>
      <c r="N74" s="15">
        <v>5.0999999999999996</v>
      </c>
      <c r="O74" s="15">
        <v>2.9</v>
      </c>
      <c r="P74" s="15">
        <v>0</v>
      </c>
      <c r="Q74" s="15">
        <v>8</v>
      </c>
      <c r="R74" s="15">
        <v>1407.8</v>
      </c>
    </row>
    <row r="75" spans="1:18" x14ac:dyDescent="0.25">
      <c r="A75" s="12" t="s">
        <v>14</v>
      </c>
      <c r="B75" s="12" t="s">
        <v>4</v>
      </c>
      <c r="C75" s="12" t="s">
        <v>214</v>
      </c>
      <c r="D75" s="12">
        <v>1</v>
      </c>
      <c r="E75" s="12">
        <v>17</v>
      </c>
      <c r="F75" s="12">
        <v>2</v>
      </c>
      <c r="G75" s="12">
        <v>4</v>
      </c>
      <c r="H75" s="15">
        <v>31.86</v>
      </c>
      <c r="I75" s="15">
        <v>42.36</v>
      </c>
      <c r="J75" s="12">
        <v>2.7</v>
      </c>
      <c r="K75" s="177">
        <v>0.89308176100628922</v>
      </c>
      <c r="L75" s="15">
        <v>14.2</v>
      </c>
      <c r="M75" s="15">
        <v>48.031714461605077</v>
      </c>
      <c r="N75" s="15">
        <v>5.0999999999999996</v>
      </c>
      <c r="O75" s="15">
        <v>2.9</v>
      </c>
      <c r="P75" s="15">
        <v>0</v>
      </c>
      <c r="Q75" s="15">
        <v>8</v>
      </c>
      <c r="R75" s="15">
        <v>1407.8</v>
      </c>
    </row>
    <row r="76" spans="1:18" x14ac:dyDescent="0.25">
      <c r="A76" s="12" t="s">
        <v>14</v>
      </c>
      <c r="B76" s="12" t="s">
        <v>4</v>
      </c>
      <c r="C76" s="12" t="s">
        <v>214</v>
      </c>
      <c r="D76" s="12">
        <v>1</v>
      </c>
      <c r="E76" s="12">
        <v>17</v>
      </c>
      <c r="F76" s="12">
        <v>2</v>
      </c>
      <c r="G76" s="12">
        <v>5</v>
      </c>
      <c r="H76" s="15">
        <v>31.92</v>
      </c>
      <c r="I76" s="15">
        <v>26.74</v>
      </c>
      <c r="J76" s="12">
        <v>3.5</v>
      </c>
      <c r="K76" s="177">
        <v>1</v>
      </c>
      <c r="L76" s="15">
        <v>15.9</v>
      </c>
      <c r="M76" s="15">
        <v>53.781990136585961</v>
      </c>
      <c r="N76" s="15">
        <v>5.0999999999999996</v>
      </c>
      <c r="O76" s="15">
        <v>2.9</v>
      </c>
      <c r="P76" s="15">
        <v>0</v>
      </c>
      <c r="Q76" s="15">
        <v>8</v>
      </c>
      <c r="R76" s="15">
        <v>1407.8</v>
      </c>
    </row>
    <row r="77" spans="1:18" x14ac:dyDescent="0.25">
      <c r="A77" s="12" t="s">
        <v>14</v>
      </c>
      <c r="B77" s="12" t="s">
        <v>4</v>
      </c>
      <c r="C77" s="12" t="s">
        <v>214</v>
      </c>
      <c r="D77" s="12">
        <v>2</v>
      </c>
      <c r="E77" s="12">
        <v>23</v>
      </c>
      <c r="F77" s="12">
        <v>2</v>
      </c>
      <c r="G77" s="12">
        <v>1</v>
      </c>
      <c r="H77" s="15">
        <v>32.06</v>
      </c>
      <c r="I77" s="15">
        <v>77.400000000000006</v>
      </c>
      <c r="J77" s="166">
        <v>1.1000000000000001</v>
      </c>
      <c r="K77" s="15">
        <v>0.6108108108108109</v>
      </c>
      <c r="L77" s="15">
        <v>11.3</v>
      </c>
      <c r="M77" s="15">
        <v>38.529772091283505</v>
      </c>
      <c r="N77" s="15">
        <v>5</v>
      </c>
      <c r="O77" s="15">
        <v>3</v>
      </c>
      <c r="P77" s="15">
        <v>0</v>
      </c>
      <c r="Q77" s="15">
        <v>8</v>
      </c>
      <c r="R77" s="15">
        <v>1396.57</v>
      </c>
    </row>
    <row r="78" spans="1:18" x14ac:dyDescent="0.25">
      <c r="A78" s="12" t="s">
        <v>14</v>
      </c>
      <c r="B78" s="12" t="s">
        <v>4</v>
      </c>
      <c r="C78" s="12" t="s">
        <v>214</v>
      </c>
      <c r="D78" s="12">
        <v>2</v>
      </c>
      <c r="E78" s="12">
        <v>23</v>
      </c>
      <c r="F78" s="12">
        <v>2</v>
      </c>
      <c r="G78" s="12">
        <v>2</v>
      </c>
      <c r="H78" s="15">
        <v>31.89</v>
      </c>
      <c r="I78" s="15">
        <v>66.86</v>
      </c>
      <c r="J78" s="12">
        <v>1.6</v>
      </c>
      <c r="K78" s="15">
        <v>0.64864864864864868</v>
      </c>
      <c r="L78" s="15">
        <v>12</v>
      </c>
      <c r="M78" s="15">
        <v>40.916572132336469</v>
      </c>
      <c r="N78" s="15">
        <v>5</v>
      </c>
      <c r="O78" s="15">
        <v>3</v>
      </c>
      <c r="P78" s="15">
        <v>0</v>
      </c>
      <c r="Q78" s="15">
        <v>8</v>
      </c>
      <c r="R78" s="15">
        <v>1396.57</v>
      </c>
    </row>
    <row r="79" spans="1:18" x14ac:dyDescent="0.25">
      <c r="A79" s="12" t="s">
        <v>14</v>
      </c>
      <c r="B79" s="12" t="s">
        <v>4</v>
      </c>
      <c r="C79" s="12" t="s">
        <v>214</v>
      </c>
      <c r="D79" s="12">
        <v>2</v>
      </c>
      <c r="E79" s="12">
        <v>23</v>
      </c>
      <c r="F79" s="12">
        <v>2</v>
      </c>
      <c r="G79" s="12">
        <v>3</v>
      </c>
      <c r="H79" s="15">
        <v>31.94</v>
      </c>
      <c r="I79" s="15">
        <v>55.73</v>
      </c>
      <c r="J79" s="166">
        <v>2.1</v>
      </c>
      <c r="K79" s="15">
        <v>0.72972972972972971</v>
      </c>
      <c r="L79" s="15">
        <v>13.5</v>
      </c>
      <c r="M79" s="15">
        <v>46.031143648878526</v>
      </c>
      <c r="N79" s="15">
        <v>5</v>
      </c>
      <c r="O79" s="15">
        <v>3</v>
      </c>
      <c r="P79" s="15">
        <v>0</v>
      </c>
      <c r="Q79" s="15">
        <v>8</v>
      </c>
      <c r="R79" s="15">
        <v>1396.57</v>
      </c>
    </row>
    <row r="80" spans="1:18" x14ac:dyDescent="0.25">
      <c r="A80" s="12" t="s">
        <v>14</v>
      </c>
      <c r="B80" s="12" t="s">
        <v>4</v>
      </c>
      <c r="C80" s="12" t="s">
        <v>214</v>
      </c>
      <c r="D80" s="12">
        <v>2</v>
      </c>
      <c r="E80" s="12">
        <v>23</v>
      </c>
      <c r="F80" s="12">
        <v>2</v>
      </c>
      <c r="G80" s="12">
        <v>4</v>
      </c>
      <c r="H80" s="15">
        <v>31.86</v>
      </c>
      <c r="I80" s="15">
        <v>42.36</v>
      </c>
      <c r="J80" s="12">
        <v>2.7</v>
      </c>
      <c r="K80" s="15">
        <v>0.9135135135135134</v>
      </c>
      <c r="L80" s="15">
        <v>16.899999999999999</v>
      </c>
      <c r="M80" s="15">
        <v>57.624172419707193</v>
      </c>
      <c r="N80" s="15">
        <v>5</v>
      </c>
      <c r="O80" s="15">
        <v>3</v>
      </c>
      <c r="P80" s="15">
        <v>0</v>
      </c>
      <c r="Q80" s="15">
        <v>8</v>
      </c>
      <c r="R80" s="15">
        <v>1396.57</v>
      </c>
    </row>
    <row r="81" spans="1:18" x14ac:dyDescent="0.25">
      <c r="A81" s="12" t="s">
        <v>14</v>
      </c>
      <c r="B81" s="12" t="s">
        <v>4</v>
      </c>
      <c r="C81" s="12" t="s">
        <v>214</v>
      </c>
      <c r="D81" s="12">
        <v>2</v>
      </c>
      <c r="E81" s="12">
        <v>23</v>
      </c>
      <c r="F81" s="12">
        <v>2</v>
      </c>
      <c r="G81" s="12">
        <v>5</v>
      </c>
      <c r="H81" s="15">
        <v>31.92</v>
      </c>
      <c r="I81" s="15">
        <v>26.74</v>
      </c>
      <c r="J81" s="12">
        <v>3.5</v>
      </c>
      <c r="K81" s="15">
        <v>1</v>
      </c>
      <c r="L81" s="15">
        <v>18.5</v>
      </c>
      <c r="M81" s="15">
        <v>63.079715370685392</v>
      </c>
      <c r="N81" s="15">
        <v>5</v>
      </c>
      <c r="O81" s="15">
        <v>3</v>
      </c>
      <c r="P81" s="15">
        <v>0</v>
      </c>
      <c r="Q81" s="15">
        <v>8</v>
      </c>
      <c r="R81" s="15">
        <v>1396.57</v>
      </c>
    </row>
    <row r="82" spans="1:18" x14ac:dyDescent="0.25">
      <c r="A82" s="12" t="s">
        <v>14</v>
      </c>
      <c r="B82" s="12" t="s">
        <v>4</v>
      </c>
      <c r="C82" s="12" t="s">
        <v>214</v>
      </c>
      <c r="D82" s="12">
        <v>3</v>
      </c>
      <c r="E82" s="12">
        <v>28</v>
      </c>
      <c r="F82" s="12">
        <v>2</v>
      </c>
      <c r="G82" s="12">
        <v>1</v>
      </c>
      <c r="H82" s="15">
        <v>32.06</v>
      </c>
      <c r="I82" s="15">
        <v>77.400000000000006</v>
      </c>
      <c r="J82" s="166">
        <v>1.1000000000000001</v>
      </c>
      <c r="K82" s="15">
        <v>0.53179190751445082</v>
      </c>
      <c r="L82" s="15">
        <v>9.1999999999999993</v>
      </c>
      <c r="M82" s="15">
        <v>33.122787613805571</v>
      </c>
      <c r="N82" s="15">
        <v>5.4</v>
      </c>
      <c r="O82" s="15">
        <v>2.8</v>
      </c>
      <c r="P82" s="15">
        <v>0</v>
      </c>
      <c r="Q82" s="15">
        <v>8.1999999999999993</v>
      </c>
      <c r="R82" s="15">
        <v>1322.64</v>
      </c>
    </row>
    <row r="83" spans="1:18" x14ac:dyDescent="0.25">
      <c r="A83" s="12" t="s">
        <v>14</v>
      </c>
      <c r="B83" s="12" t="s">
        <v>4</v>
      </c>
      <c r="C83" s="12" t="s">
        <v>214</v>
      </c>
      <c r="D83" s="12">
        <v>3</v>
      </c>
      <c r="E83" s="12">
        <v>28</v>
      </c>
      <c r="F83" s="12">
        <v>2</v>
      </c>
      <c r="G83" s="12">
        <v>2</v>
      </c>
      <c r="H83" s="15">
        <v>31.89</v>
      </c>
      <c r="I83" s="15">
        <v>66.86</v>
      </c>
      <c r="J83" s="12">
        <v>1.6</v>
      </c>
      <c r="K83" s="15">
        <v>0.65317919075144515</v>
      </c>
      <c r="L83" s="15">
        <v>11.3</v>
      </c>
      <c r="M83" s="15">
        <v>40.683423916956848</v>
      </c>
      <c r="N83" s="15">
        <v>5.4</v>
      </c>
      <c r="O83" s="15">
        <v>2.8</v>
      </c>
      <c r="P83" s="15">
        <v>0</v>
      </c>
      <c r="Q83" s="15">
        <v>8.1999999999999993</v>
      </c>
      <c r="R83" s="15">
        <v>1322.64</v>
      </c>
    </row>
    <row r="84" spans="1:18" x14ac:dyDescent="0.25">
      <c r="A84" s="12" t="s">
        <v>14</v>
      </c>
      <c r="B84" s="12" t="s">
        <v>4</v>
      </c>
      <c r="C84" s="12" t="s">
        <v>214</v>
      </c>
      <c r="D84" s="12">
        <v>3</v>
      </c>
      <c r="E84" s="12">
        <v>28</v>
      </c>
      <c r="F84" s="12">
        <v>2</v>
      </c>
      <c r="G84" s="12">
        <v>3</v>
      </c>
      <c r="H84" s="15">
        <v>31.94</v>
      </c>
      <c r="I84" s="15">
        <v>55.73</v>
      </c>
      <c r="J84" s="166">
        <v>2.1</v>
      </c>
      <c r="K84" s="15">
        <v>0.80346820809248554</v>
      </c>
      <c r="L84" s="15">
        <v>13.9</v>
      </c>
      <c r="M84" s="15">
        <v>50.044211720858421</v>
      </c>
      <c r="N84" s="15">
        <v>5.4</v>
      </c>
      <c r="O84" s="15">
        <v>2.8</v>
      </c>
      <c r="P84" s="15">
        <v>0</v>
      </c>
      <c r="Q84" s="15">
        <v>8.1999999999999993</v>
      </c>
      <c r="R84" s="15">
        <v>1322.64</v>
      </c>
    </row>
    <row r="85" spans="1:18" x14ac:dyDescent="0.25">
      <c r="A85" s="12" t="s">
        <v>14</v>
      </c>
      <c r="B85" s="12" t="s">
        <v>4</v>
      </c>
      <c r="C85" s="12" t="s">
        <v>214</v>
      </c>
      <c r="D85" s="12">
        <v>3</v>
      </c>
      <c r="E85" s="12">
        <v>28</v>
      </c>
      <c r="F85" s="12">
        <v>2</v>
      </c>
      <c r="G85" s="12">
        <v>4</v>
      </c>
      <c r="H85" s="15">
        <v>31.86</v>
      </c>
      <c r="I85" s="15">
        <v>42.36</v>
      </c>
      <c r="J85" s="12">
        <v>2.7</v>
      </c>
      <c r="K85" s="15">
        <v>0.96531791907514441</v>
      </c>
      <c r="L85" s="15">
        <v>16.7</v>
      </c>
      <c r="M85" s="15">
        <v>60.125060125060116</v>
      </c>
      <c r="N85" s="15">
        <v>5.4</v>
      </c>
      <c r="O85" s="15">
        <v>2.8</v>
      </c>
      <c r="P85" s="15">
        <v>0</v>
      </c>
      <c r="Q85" s="15">
        <v>8.1999999999999993</v>
      </c>
      <c r="R85" s="15">
        <v>1322.64</v>
      </c>
    </row>
    <row r="86" spans="1:18" x14ac:dyDescent="0.25">
      <c r="A86" s="12" t="s">
        <v>14</v>
      </c>
      <c r="B86" s="12" t="s">
        <v>4</v>
      </c>
      <c r="C86" s="12" t="s">
        <v>214</v>
      </c>
      <c r="D86" s="12">
        <v>3</v>
      </c>
      <c r="E86" s="12">
        <v>28</v>
      </c>
      <c r="F86" s="12">
        <v>2</v>
      </c>
      <c r="G86" s="12">
        <v>5</v>
      </c>
      <c r="H86" s="15">
        <v>31.92</v>
      </c>
      <c r="I86" s="15">
        <v>26.74</v>
      </c>
      <c r="J86" s="12">
        <v>3.5</v>
      </c>
      <c r="K86" s="15">
        <v>1</v>
      </c>
      <c r="L86" s="15">
        <v>17.3</v>
      </c>
      <c r="M86" s="15">
        <v>62.285241925960477</v>
      </c>
      <c r="N86" s="15">
        <v>5.4</v>
      </c>
      <c r="O86" s="15">
        <v>2.8</v>
      </c>
      <c r="P86" s="15">
        <v>0</v>
      </c>
      <c r="Q86" s="15">
        <v>8.1999999999999993</v>
      </c>
      <c r="R86" s="15">
        <v>1322.64</v>
      </c>
    </row>
    <row r="87" spans="1:18" x14ac:dyDescent="0.25">
      <c r="A87" s="12" t="s">
        <v>14</v>
      </c>
      <c r="B87" s="12" t="s">
        <v>4</v>
      </c>
      <c r="C87" s="12" t="s">
        <v>214</v>
      </c>
      <c r="D87" s="12">
        <v>4</v>
      </c>
      <c r="E87" s="12">
        <v>30</v>
      </c>
      <c r="F87" s="12">
        <v>2</v>
      </c>
      <c r="G87" s="12">
        <v>1</v>
      </c>
      <c r="H87" s="15">
        <v>32.06</v>
      </c>
      <c r="I87" s="15">
        <v>77.400000000000006</v>
      </c>
      <c r="J87" s="166">
        <v>1.1000000000000001</v>
      </c>
      <c r="K87" s="15">
        <v>0.54999999999999993</v>
      </c>
      <c r="L87" s="15">
        <v>6.6</v>
      </c>
      <c r="M87" s="15">
        <v>30.819576595053178</v>
      </c>
      <c r="N87" s="15">
        <v>3.1</v>
      </c>
      <c r="O87" s="15">
        <v>1.7</v>
      </c>
      <c r="P87" s="15">
        <v>0</v>
      </c>
      <c r="Q87" s="15">
        <v>4.8</v>
      </c>
      <c r="R87" s="15">
        <v>1019.76</v>
      </c>
    </row>
    <row r="88" spans="1:18" x14ac:dyDescent="0.25">
      <c r="A88" s="12" t="s">
        <v>14</v>
      </c>
      <c r="B88" s="12" t="s">
        <v>4</v>
      </c>
      <c r="C88" s="12" t="s">
        <v>214</v>
      </c>
      <c r="D88" s="12">
        <v>4</v>
      </c>
      <c r="E88" s="12">
        <v>30</v>
      </c>
      <c r="F88" s="12">
        <v>2</v>
      </c>
      <c r="G88" s="12">
        <v>2</v>
      </c>
      <c r="H88" s="15">
        <v>31.89</v>
      </c>
      <c r="I88" s="15">
        <v>66.86</v>
      </c>
      <c r="J88" s="12">
        <v>1.6</v>
      </c>
      <c r="K88" s="15">
        <v>0.69166666666666676</v>
      </c>
      <c r="L88" s="15">
        <v>8.3000000000000007</v>
      </c>
      <c r="M88" s="15">
        <v>38.757952384688082</v>
      </c>
      <c r="N88" s="15">
        <v>3.1</v>
      </c>
      <c r="O88" s="15">
        <v>1.7</v>
      </c>
      <c r="P88" s="15">
        <v>0</v>
      </c>
      <c r="Q88" s="15">
        <v>4.8</v>
      </c>
      <c r="R88" s="15">
        <v>1019.76</v>
      </c>
    </row>
    <row r="89" spans="1:18" x14ac:dyDescent="0.25">
      <c r="A89" s="12" t="s">
        <v>14</v>
      </c>
      <c r="B89" s="12" t="s">
        <v>4</v>
      </c>
      <c r="C89" s="12" t="s">
        <v>214</v>
      </c>
      <c r="D89" s="12">
        <v>4</v>
      </c>
      <c r="E89" s="12">
        <v>30</v>
      </c>
      <c r="F89" s="12">
        <v>2</v>
      </c>
      <c r="G89" s="12">
        <v>3</v>
      </c>
      <c r="H89" s="15">
        <v>31.94</v>
      </c>
      <c r="I89" s="15">
        <v>55.73</v>
      </c>
      <c r="J89" s="166">
        <v>2.1</v>
      </c>
      <c r="K89" s="15">
        <v>1</v>
      </c>
      <c r="L89" s="15">
        <v>12.4</v>
      </c>
      <c r="M89" s="15">
        <v>57.90344693616052</v>
      </c>
      <c r="N89" s="15">
        <v>3.1</v>
      </c>
      <c r="O89" s="15">
        <v>1.7</v>
      </c>
      <c r="P89" s="15">
        <v>0</v>
      </c>
      <c r="Q89" s="15">
        <v>4.8</v>
      </c>
      <c r="R89" s="15">
        <v>1019.76</v>
      </c>
    </row>
    <row r="90" spans="1:18" x14ac:dyDescent="0.25">
      <c r="A90" s="12" t="s">
        <v>14</v>
      </c>
      <c r="B90" s="12" t="s">
        <v>4</v>
      </c>
      <c r="C90" s="12" t="s">
        <v>214</v>
      </c>
      <c r="D90" s="12">
        <v>4</v>
      </c>
      <c r="E90" s="12">
        <v>30</v>
      </c>
      <c r="F90" s="12">
        <v>2</v>
      </c>
      <c r="G90" s="12">
        <v>4</v>
      </c>
      <c r="H90" s="15">
        <v>31.86</v>
      </c>
      <c r="I90" s="15">
        <v>42.36</v>
      </c>
      <c r="J90" s="12">
        <v>2.7</v>
      </c>
      <c r="K90" s="15">
        <v>0.96666666666666667</v>
      </c>
      <c r="L90" s="15">
        <v>11.6</v>
      </c>
      <c r="M90" s="15">
        <v>54.167740682214678</v>
      </c>
      <c r="N90" s="15">
        <v>3.1</v>
      </c>
      <c r="O90" s="15">
        <v>1.7</v>
      </c>
      <c r="P90" s="15">
        <v>0</v>
      </c>
      <c r="Q90" s="15">
        <v>4.8</v>
      </c>
      <c r="R90" s="15">
        <v>1019.76</v>
      </c>
    </row>
    <row r="91" spans="1:18" x14ac:dyDescent="0.25">
      <c r="A91" s="12" t="s">
        <v>14</v>
      </c>
      <c r="B91" s="12" t="s">
        <v>4</v>
      </c>
      <c r="C91" s="12" t="s">
        <v>214</v>
      </c>
      <c r="D91" s="12">
        <v>4</v>
      </c>
      <c r="E91" s="12">
        <v>30</v>
      </c>
      <c r="F91" s="12">
        <v>2</v>
      </c>
      <c r="G91" s="12">
        <v>5</v>
      </c>
      <c r="H91" s="15">
        <v>31.92</v>
      </c>
      <c r="I91" s="15">
        <v>26.74</v>
      </c>
      <c r="J91" s="12">
        <v>3.5</v>
      </c>
      <c r="K91" s="15">
        <v>0.96774193548387089</v>
      </c>
      <c r="L91" s="15">
        <v>12</v>
      </c>
      <c r="M91" s="15">
        <v>56.035593809187603</v>
      </c>
      <c r="N91" s="15">
        <v>3.1</v>
      </c>
      <c r="O91" s="15">
        <v>1.7</v>
      </c>
      <c r="P91" s="15">
        <v>0</v>
      </c>
      <c r="Q91" s="15">
        <v>4.8</v>
      </c>
      <c r="R91" s="15">
        <v>1019.76</v>
      </c>
    </row>
    <row r="92" spans="1:18" x14ac:dyDescent="0.25">
      <c r="A92" s="12" t="s">
        <v>12</v>
      </c>
      <c r="B92" s="12" t="s">
        <v>6</v>
      </c>
      <c r="C92" s="12" t="s">
        <v>215</v>
      </c>
      <c r="D92" s="12">
        <v>1</v>
      </c>
      <c r="E92" s="12">
        <v>19</v>
      </c>
      <c r="F92" s="12">
        <v>2</v>
      </c>
      <c r="G92" s="12">
        <v>1</v>
      </c>
      <c r="H92" s="15">
        <v>32.06</v>
      </c>
      <c r="I92" s="15">
        <v>77.400000000000006</v>
      </c>
      <c r="J92" s="166">
        <v>1.1000000000000001</v>
      </c>
      <c r="K92" s="15">
        <v>0.57446808510638303</v>
      </c>
      <c r="L92" s="15">
        <v>5.4</v>
      </c>
      <c r="M92" s="15">
        <v>38.829254823456317</v>
      </c>
      <c r="N92" s="15">
        <v>1.9</v>
      </c>
      <c r="O92" s="15">
        <v>1.2</v>
      </c>
      <c r="P92" s="15">
        <v>0</v>
      </c>
      <c r="Q92" s="15">
        <v>3.1</v>
      </c>
      <c r="R92" s="15">
        <v>662.24</v>
      </c>
    </row>
    <row r="93" spans="1:18" x14ac:dyDescent="0.25">
      <c r="A93" s="12" t="s">
        <v>12</v>
      </c>
      <c r="B93" s="12" t="s">
        <v>6</v>
      </c>
      <c r="C93" s="12" t="s">
        <v>215</v>
      </c>
      <c r="D93" s="12">
        <v>1</v>
      </c>
      <c r="E93" s="12">
        <v>19</v>
      </c>
      <c r="F93" s="12">
        <v>2</v>
      </c>
      <c r="G93" s="12">
        <v>2</v>
      </c>
      <c r="H93" s="15">
        <v>31.89</v>
      </c>
      <c r="I93" s="15">
        <v>66.86</v>
      </c>
      <c r="J93" s="12">
        <v>1.6</v>
      </c>
      <c r="K93" s="15">
        <v>0.72340425531914887</v>
      </c>
      <c r="L93" s="15">
        <v>6.8</v>
      </c>
      <c r="M93" s="15">
        <v>48.896098666574623</v>
      </c>
      <c r="N93" s="15">
        <v>1.9</v>
      </c>
      <c r="O93" s="15">
        <v>1.2</v>
      </c>
      <c r="P93" s="15">
        <v>0</v>
      </c>
      <c r="Q93" s="15">
        <v>3.1</v>
      </c>
      <c r="R93" s="15">
        <v>662.24</v>
      </c>
    </row>
    <row r="94" spans="1:18" x14ac:dyDescent="0.25">
      <c r="A94" s="12" t="s">
        <v>12</v>
      </c>
      <c r="B94" s="12" t="s">
        <v>6</v>
      </c>
      <c r="C94" s="12" t="s">
        <v>215</v>
      </c>
      <c r="D94" s="12">
        <v>1</v>
      </c>
      <c r="E94" s="12">
        <v>19</v>
      </c>
      <c r="F94" s="12">
        <v>2</v>
      </c>
      <c r="G94" s="12">
        <v>3</v>
      </c>
      <c r="H94" s="15">
        <v>31.94</v>
      </c>
      <c r="I94" s="15">
        <v>55.73</v>
      </c>
      <c r="J94" s="166">
        <v>2.1</v>
      </c>
      <c r="K94" s="15">
        <v>0.78</v>
      </c>
      <c r="L94" s="15">
        <v>7.3</v>
      </c>
      <c r="M94" s="15">
        <v>52.49</v>
      </c>
      <c r="N94" s="15">
        <v>1.9</v>
      </c>
      <c r="O94" s="15">
        <v>1.2</v>
      </c>
      <c r="P94" s="15">
        <v>0</v>
      </c>
      <c r="Q94" s="15">
        <v>3.1</v>
      </c>
      <c r="R94" s="15">
        <v>662.24</v>
      </c>
    </row>
    <row r="95" spans="1:18" x14ac:dyDescent="0.25">
      <c r="A95" s="12" t="s">
        <v>12</v>
      </c>
      <c r="B95" s="12" t="s">
        <v>6</v>
      </c>
      <c r="C95" s="12" t="s">
        <v>215</v>
      </c>
      <c r="D95" s="12">
        <v>1</v>
      </c>
      <c r="E95" s="12">
        <v>19</v>
      </c>
      <c r="F95" s="12">
        <v>2</v>
      </c>
      <c r="G95" s="12">
        <v>4</v>
      </c>
      <c r="H95" s="15">
        <v>31.86</v>
      </c>
      <c r="I95" s="15">
        <v>42.36</v>
      </c>
      <c r="J95" s="12">
        <v>2.7</v>
      </c>
      <c r="K95" s="15">
        <v>0.90425531914893609</v>
      </c>
      <c r="L95" s="15">
        <v>8.5</v>
      </c>
      <c r="M95" s="15">
        <v>61.120123333218281</v>
      </c>
      <c r="N95" s="15">
        <v>1.9</v>
      </c>
      <c r="O95" s="15">
        <v>1.2</v>
      </c>
      <c r="P95" s="15">
        <v>0</v>
      </c>
      <c r="Q95" s="15">
        <v>3.1</v>
      </c>
      <c r="R95" s="15">
        <v>662.24</v>
      </c>
    </row>
    <row r="96" spans="1:18" x14ac:dyDescent="0.25">
      <c r="A96" s="12" t="s">
        <v>12</v>
      </c>
      <c r="B96" s="12" t="s">
        <v>6</v>
      </c>
      <c r="C96" s="12" t="s">
        <v>215</v>
      </c>
      <c r="D96" s="12">
        <v>1</v>
      </c>
      <c r="E96" s="12">
        <v>19</v>
      </c>
      <c r="F96" s="12">
        <v>2</v>
      </c>
      <c r="G96" s="12">
        <v>5</v>
      </c>
      <c r="H96" s="15">
        <v>31.92</v>
      </c>
      <c r="I96" s="15">
        <v>26.74</v>
      </c>
      <c r="J96" s="12">
        <v>3.5</v>
      </c>
      <c r="K96" s="15">
        <v>1</v>
      </c>
      <c r="L96" s="15">
        <v>9.4</v>
      </c>
      <c r="M96" s="15">
        <v>67.591665803794328</v>
      </c>
      <c r="N96" s="15">
        <v>1.9</v>
      </c>
      <c r="O96" s="15">
        <v>1.2</v>
      </c>
      <c r="P96" s="15">
        <v>0</v>
      </c>
      <c r="Q96" s="15">
        <v>3.1</v>
      </c>
      <c r="R96" s="15">
        <v>662.24</v>
      </c>
    </row>
    <row r="97" spans="1:18" x14ac:dyDescent="0.25">
      <c r="A97" s="12" t="s">
        <v>12</v>
      </c>
      <c r="B97" s="12" t="s">
        <v>6</v>
      </c>
      <c r="C97" s="12" t="s">
        <v>215</v>
      </c>
      <c r="D97" s="12">
        <v>2</v>
      </c>
      <c r="E97" s="12">
        <v>22</v>
      </c>
      <c r="F97" s="12">
        <v>2</v>
      </c>
      <c r="G97" s="12">
        <v>1</v>
      </c>
      <c r="H97" s="15">
        <v>32.06</v>
      </c>
      <c r="I97" s="15">
        <v>77.400000000000006</v>
      </c>
      <c r="J97" s="166">
        <v>1.1000000000000001</v>
      </c>
      <c r="K97" s="15">
        <v>0.82178217821782185</v>
      </c>
      <c r="L97" s="15">
        <v>8.3000000000000007</v>
      </c>
      <c r="M97" s="15">
        <v>48.677040154452833</v>
      </c>
      <c r="N97" s="15">
        <v>2.8</v>
      </c>
      <c r="O97" s="15">
        <v>1.5</v>
      </c>
      <c r="P97" s="15">
        <v>0</v>
      </c>
      <c r="Q97" s="15">
        <v>4.3</v>
      </c>
      <c r="R97" s="15">
        <v>811.96</v>
      </c>
    </row>
    <row r="98" spans="1:18" x14ac:dyDescent="0.25">
      <c r="A98" s="12" t="s">
        <v>12</v>
      </c>
      <c r="B98" s="12" t="s">
        <v>6</v>
      </c>
      <c r="C98" s="12" t="s">
        <v>215</v>
      </c>
      <c r="D98" s="12">
        <v>2</v>
      </c>
      <c r="E98" s="12">
        <v>22</v>
      </c>
      <c r="F98" s="12">
        <v>2</v>
      </c>
      <c r="G98" s="12">
        <v>2</v>
      </c>
      <c r="H98" s="15">
        <v>31.89</v>
      </c>
      <c r="I98" s="15">
        <v>66.86</v>
      </c>
      <c r="J98" s="12">
        <v>1.6</v>
      </c>
      <c r="K98" s="15">
        <v>0.80198019801980203</v>
      </c>
      <c r="L98" s="15">
        <v>8.1</v>
      </c>
      <c r="M98" s="15">
        <v>47.504099427839506</v>
      </c>
      <c r="N98" s="15">
        <v>2.8</v>
      </c>
      <c r="O98" s="15">
        <v>1.5</v>
      </c>
      <c r="P98" s="15">
        <v>0</v>
      </c>
      <c r="Q98" s="15">
        <v>4.3</v>
      </c>
      <c r="R98" s="15">
        <v>811.96</v>
      </c>
    </row>
    <row r="99" spans="1:18" x14ac:dyDescent="0.25">
      <c r="A99" s="12" t="s">
        <v>12</v>
      </c>
      <c r="B99" s="12" t="s">
        <v>6</v>
      </c>
      <c r="C99" s="12" t="s">
        <v>215</v>
      </c>
      <c r="D99" s="12">
        <v>2</v>
      </c>
      <c r="E99" s="12">
        <v>22</v>
      </c>
      <c r="F99" s="12">
        <v>2</v>
      </c>
      <c r="G99" s="12">
        <v>3</v>
      </c>
      <c r="H99" s="15">
        <v>31.94</v>
      </c>
      <c r="I99" s="15">
        <v>55.73</v>
      </c>
      <c r="J99" s="166">
        <v>2.1</v>
      </c>
      <c r="K99" s="15">
        <v>0.80198019801980203</v>
      </c>
      <c r="L99" s="15">
        <v>8.1</v>
      </c>
      <c r="M99" s="15">
        <v>47.504099427839506</v>
      </c>
      <c r="N99" s="15">
        <v>2.8</v>
      </c>
      <c r="O99" s="15">
        <v>1.5</v>
      </c>
      <c r="P99" s="15">
        <v>0</v>
      </c>
      <c r="Q99" s="15">
        <v>4.3</v>
      </c>
      <c r="R99" s="15">
        <v>811.96</v>
      </c>
    </row>
    <row r="100" spans="1:18" x14ac:dyDescent="0.25">
      <c r="A100" s="12" t="s">
        <v>12</v>
      </c>
      <c r="B100" s="12" t="s">
        <v>6</v>
      </c>
      <c r="C100" s="12" t="s">
        <v>215</v>
      </c>
      <c r="D100" s="12">
        <v>2</v>
      </c>
      <c r="E100" s="12">
        <v>22</v>
      </c>
      <c r="F100" s="12">
        <v>2</v>
      </c>
      <c r="G100" s="12">
        <v>4</v>
      </c>
      <c r="H100" s="15">
        <v>31.86</v>
      </c>
      <c r="I100" s="15">
        <v>42.36</v>
      </c>
      <c r="J100" s="12">
        <v>2.7</v>
      </c>
      <c r="K100" s="15">
        <v>1</v>
      </c>
      <c r="L100" s="15">
        <v>10.1</v>
      </c>
      <c r="M100" s="15">
        <v>59.233506693972728</v>
      </c>
      <c r="N100" s="15">
        <v>2.8</v>
      </c>
      <c r="O100" s="15">
        <v>1.5</v>
      </c>
      <c r="P100" s="15">
        <v>0</v>
      </c>
      <c r="Q100" s="15">
        <v>4.3</v>
      </c>
      <c r="R100" s="15">
        <v>811.96</v>
      </c>
    </row>
    <row r="101" spans="1:18" x14ac:dyDescent="0.25">
      <c r="A101" s="12" t="s">
        <v>12</v>
      </c>
      <c r="B101" s="12" t="s">
        <v>6</v>
      </c>
      <c r="C101" s="12" t="s">
        <v>215</v>
      </c>
      <c r="D101" s="12">
        <v>2</v>
      </c>
      <c r="E101" s="12">
        <v>22</v>
      </c>
      <c r="F101" s="12">
        <v>2</v>
      </c>
      <c r="G101" s="12">
        <v>5</v>
      </c>
      <c r="H101" s="15">
        <v>31.92</v>
      </c>
      <c r="I101" s="15">
        <v>26.74</v>
      </c>
      <c r="J101" s="12">
        <v>3.5</v>
      </c>
      <c r="K101" s="15">
        <v>1</v>
      </c>
      <c r="L101" s="15">
        <v>10.1</v>
      </c>
      <c r="M101" s="15">
        <v>59.233506693972728</v>
      </c>
      <c r="N101" s="15">
        <v>2.8</v>
      </c>
      <c r="O101" s="15">
        <v>1.5</v>
      </c>
      <c r="P101" s="15">
        <v>0</v>
      </c>
      <c r="Q101" s="15">
        <v>4.3</v>
      </c>
      <c r="R101" s="15">
        <v>811.96</v>
      </c>
    </row>
    <row r="102" spans="1:18" x14ac:dyDescent="0.25">
      <c r="A102" s="12" t="s">
        <v>13</v>
      </c>
      <c r="B102" s="12" t="s">
        <v>7</v>
      </c>
      <c r="C102" s="12" t="s">
        <v>216</v>
      </c>
      <c r="D102" s="12">
        <v>1</v>
      </c>
      <c r="E102" s="12">
        <v>20</v>
      </c>
      <c r="F102" s="12">
        <v>2</v>
      </c>
      <c r="G102" s="12">
        <v>1</v>
      </c>
      <c r="H102" s="15">
        <v>32.06</v>
      </c>
      <c r="I102" s="15">
        <v>77.400000000000006</v>
      </c>
      <c r="J102" s="166">
        <v>1.1000000000000001</v>
      </c>
      <c r="K102" s="15">
        <v>0.63793103448275867</v>
      </c>
      <c r="L102" s="15">
        <f>K102/K106</f>
        <v>0.63793103448275867</v>
      </c>
      <c r="M102" s="15">
        <v>39.266876797520879</v>
      </c>
      <c r="N102" s="15">
        <v>4.0999999999999996</v>
      </c>
      <c r="O102" s="15">
        <v>2.2000000000000002</v>
      </c>
      <c r="P102" s="15">
        <v>0.1</v>
      </c>
      <c r="Q102" s="15">
        <v>6.4</v>
      </c>
      <c r="R102" s="15">
        <v>897.4</v>
      </c>
    </row>
    <row r="103" spans="1:18" x14ac:dyDescent="0.25">
      <c r="A103" s="12" t="s">
        <v>13</v>
      </c>
      <c r="B103" s="12" t="s">
        <v>7</v>
      </c>
      <c r="C103" s="12" t="s">
        <v>216</v>
      </c>
      <c r="D103" s="12">
        <v>1</v>
      </c>
      <c r="E103" s="12">
        <v>20</v>
      </c>
      <c r="F103" s="12">
        <v>2</v>
      </c>
      <c r="G103" s="12">
        <v>2</v>
      </c>
      <c r="H103" s="15">
        <v>31.89</v>
      </c>
      <c r="I103" s="15">
        <v>66.86</v>
      </c>
      <c r="J103" s="12">
        <v>1.6</v>
      </c>
      <c r="K103" s="15">
        <v>0.71551724137931039</v>
      </c>
      <c r="L103" s="15">
        <f>K103/K106</f>
        <v>0.71551724137931039</v>
      </c>
      <c r="M103" s="15">
        <v>44.0425780296518</v>
      </c>
      <c r="N103" s="15">
        <v>4.0999999999999996</v>
      </c>
      <c r="O103" s="15">
        <v>2.2000000000000002</v>
      </c>
      <c r="P103" s="15">
        <v>0.1</v>
      </c>
      <c r="Q103" s="15">
        <v>6.4</v>
      </c>
      <c r="R103" s="15">
        <v>897.4</v>
      </c>
    </row>
    <row r="104" spans="1:18" x14ac:dyDescent="0.25">
      <c r="A104" s="12" t="s">
        <v>13</v>
      </c>
      <c r="B104" s="12" t="s">
        <v>7</v>
      </c>
      <c r="C104" s="12" t="s">
        <v>216</v>
      </c>
      <c r="D104" s="12">
        <v>1</v>
      </c>
      <c r="E104" s="12">
        <v>20</v>
      </c>
      <c r="F104" s="12">
        <v>2</v>
      </c>
      <c r="G104" s="12">
        <v>3</v>
      </c>
      <c r="H104" s="15">
        <v>31.94</v>
      </c>
      <c r="I104" s="15">
        <v>55.73</v>
      </c>
      <c r="J104" s="166">
        <v>2.1</v>
      </c>
      <c r="K104" s="15">
        <v>0.72413793103448276</v>
      </c>
      <c r="L104" s="15">
        <f>K104/K106</f>
        <v>0.72413793103448276</v>
      </c>
      <c r="M104" s="15">
        <v>44.573211499888565</v>
      </c>
      <c r="N104" s="15">
        <v>4.0999999999999996</v>
      </c>
      <c r="O104" s="15">
        <v>2.2000000000000002</v>
      </c>
      <c r="P104" s="15">
        <v>0.1</v>
      </c>
      <c r="Q104" s="15">
        <v>6.4</v>
      </c>
      <c r="R104" s="15">
        <v>897.4</v>
      </c>
    </row>
    <row r="105" spans="1:18" x14ac:dyDescent="0.25">
      <c r="A105" s="12" t="s">
        <v>13</v>
      </c>
      <c r="B105" s="12" t="s">
        <v>7</v>
      </c>
      <c r="C105" s="12" t="s">
        <v>216</v>
      </c>
      <c r="D105" s="12">
        <v>1</v>
      </c>
      <c r="E105" s="12">
        <v>20</v>
      </c>
      <c r="F105" s="12">
        <v>2</v>
      </c>
      <c r="G105" s="12">
        <v>4</v>
      </c>
      <c r="H105" s="15">
        <v>31.86</v>
      </c>
      <c r="I105" s="15">
        <v>42.36</v>
      </c>
      <c r="J105" s="12">
        <v>2.7</v>
      </c>
      <c r="K105" s="15">
        <v>0.93103448275862077</v>
      </c>
      <c r="L105" s="15">
        <f>K105/K106</f>
        <v>0.93103448275862077</v>
      </c>
      <c r="M105" s="15">
        <v>57.308414785571017</v>
      </c>
      <c r="N105" s="15">
        <v>4.0999999999999996</v>
      </c>
      <c r="O105" s="15">
        <v>2.2000000000000002</v>
      </c>
      <c r="P105" s="15">
        <v>0.1</v>
      </c>
      <c r="Q105" s="15">
        <v>6.4</v>
      </c>
      <c r="R105" s="15">
        <v>897.4</v>
      </c>
    </row>
    <row r="106" spans="1:18" x14ac:dyDescent="0.25">
      <c r="A106" s="12" t="s">
        <v>13</v>
      </c>
      <c r="B106" s="12" t="s">
        <v>7</v>
      </c>
      <c r="C106" s="12" t="s">
        <v>216</v>
      </c>
      <c r="D106" s="12">
        <v>1</v>
      </c>
      <c r="E106" s="12">
        <v>20</v>
      </c>
      <c r="F106" s="12">
        <v>2</v>
      </c>
      <c r="G106" s="12">
        <v>5</v>
      </c>
      <c r="H106" s="15">
        <v>31.92</v>
      </c>
      <c r="I106" s="15">
        <v>26.74</v>
      </c>
      <c r="J106" s="12">
        <v>3.5</v>
      </c>
      <c r="K106" s="15">
        <v>1</v>
      </c>
      <c r="L106" s="15">
        <v>1</v>
      </c>
      <c r="M106" s="15">
        <v>61.553482547465165</v>
      </c>
      <c r="N106" s="15">
        <v>4.0999999999999996</v>
      </c>
      <c r="O106" s="15">
        <v>2.2000000000000002</v>
      </c>
      <c r="P106" s="15">
        <v>0.1</v>
      </c>
      <c r="Q106" s="15">
        <v>6.4</v>
      </c>
      <c r="R106" s="15">
        <v>897.4</v>
      </c>
    </row>
    <row r="107" spans="1:18" x14ac:dyDescent="0.25">
      <c r="A107" s="12" t="s">
        <v>13</v>
      </c>
      <c r="B107" s="12" t="s">
        <v>7</v>
      </c>
      <c r="C107" s="12" t="s">
        <v>216</v>
      </c>
      <c r="D107" s="12">
        <v>2</v>
      </c>
      <c r="E107" s="12">
        <v>24</v>
      </c>
      <c r="F107" s="12">
        <v>2</v>
      </c>
      <c r="G107" s="12">
        <v>1</v>
      </c>
      <c r="H107" s="15">
        <v>32.06</v>
      </c>
      <c r="I107" s="15">
        <v>77.400000000000006</v>
      </c>
      <c r="J107" s="166">
        <v>1.1000000000000001</v>
      </c>
      <c r="K107" s="15">
        <v>0.52830188679245282</v>
      </c>
      <c r="L107" s="15">
        <v>8.4</v>
      </c>
      <c r="M107" s="15">
        <v>30.49826541115474</v>
      </c>
      <c r="N107" s="15">
        <v>5.4</v>
      </c>
      <c r="O107" s="15">
        <v>2.6</v>
      </c>
      <c r="P107" s="15">
        <v>0.2</v>
      </c>
      <c r="Q107" s="15">
        <v>8.1999999999999993</v>
      </c>
      <c r="R107" s="15">
        <v>1311.55</v>
      </c>
    </row>
    <row r="108" spans="1:18" x14ac:dyDescent="0.25">
      <c r="A108" s="12" t="s">
        <v>13</v>
      </c>
      <c r="B108" s="12" t="s">
        <v>7</v>
      </c>
      <c r="C108" s="12" t="s">
        <v>216</v>
      </c>
      <c r="D108" s="12">
        <v>2</v>
      </c>
      <c r="E108" s="12">
        <v>24</v>
      </c>
      <c r="F108" s="12">
        <v>2</v>
      </c>
      <c r="G108" s="12">
        <v>2</v>
      </c>
      <c r="H108" s="15">
        <v>31.89</v>
      </c>
      <c r="I108" s="15">
        <v>66.86</v>
      </c>
      <c r="J108" s="12">
        <v>1.6</v>
      </c>
      <c r="K108" s="15">
        <v>0.60377358490566035</v>
      </c>
      <c r="L108" s="15">
        <v>9.6</v>
      </c>
      <c r="M108" s="15">
        <v>34.855160469891132</v>
      </c>
      <c r="N108" s="15">
        <v>5.4</v>
      </c>
      <c r="O108" s="15">
        <v>2.6</v>
      </c>
      <c r="P108" s="15">
        <v>0.2</v>
      </c>
      <c r="Q108" s="15">
        <v>8.1999999999999993</v>
      </c>
      <c r="R108" s="15">
        <v>1311.55</v>
      </c>
    </row>
    <row r="109" spans="1:18" x14ac:dyDescent="0.25">
      <c r="A109" s="12" t="s">
        <v>13</v>
      </c>
      <c r="B109" s="12" t="s">
        <v>7</v>
      </c>
      <c r="C109" s="12" t="s">
        <v>216</v>
      </c>
      <c r="D109" s="12">
        <v>2</v>
      </c>
      <c r="E109" s="12">
        <v>24</v>
      </c>
      <c r="F109" s="12">
        <v>2</v>
      </c>
      <c r="G109" s="12">
        <v>3</v>
      </c>
      <c r="H109" s="15">
        <v>31.94</v>
      </c>
      <c r="I109" s="15">
        <v>55.73</v>
      </c>
      <c r="J109" s="166">
        <v>2.1</v>
      </c>
      <c r="K109" s="15">
        <v>0.74213836477987427</v>
      </c>
      <c r="L109" s="15">
        <v>11.8</v>
      </c>
      <c r="M109" s="15">
        <v>42.842801410907853</v>
      </c>
      <c r="N109" s="15">
        <v>5.4</v>
      </c>
      <c r="O109" s="15">
        <v>2.6</v>
      </c>
      <c r="P109" s="15">
        <v>0.2</v>
      </c>
      <c r="Q109" s="15">
        <v>8.1999999999999993</v>
      </c>
      <c r="R109" s="15">
        <v>1311.55</v>
      </c>
    </row>
    <row r="110" spans="1:18" x14ac:dyDescent="0.25">
      <c r="A110" s="12" t="s">
        <v>13</v>
      </c>
      <c r="B110" s="12" t="s">
        <v>7</v>
      </c>
      <c r="C110" s="12" t="s">
        <v>216</v>
      </c>
      <c r="D110" s="12">
        <v>2</v>
      </c>
      <c r="E110" s="12">
        <v>24</v>
      </c>
      <c r="F110" s="12">
        <v>2</v>
      </c>
      <c r="G110" s="12">
        <v>4</v>
      </c>
      <c r="H110" s="15">
        <v>31.86</v>
      </c>
      <c r="I110" s="15">
        <v>42.36</v>
      </c>
      <c r="J110" s="12">
        <v>2.7</v>
      </c>
      <c r="K110" s="15">
        <v>0.83018867924528295</v>
      </c>
      <c r="L110" s="15">
        <v>13.2</v>
      </c>
      <c r="M110" s="15">
        <v>47.925845646100314</v>
      </c>
      <c r="N110" s="15">
        <v>5.4</v>
      </c>
      <c r="O110" s="15">
        <v>2.6</v>
      </c>
      <c r="P110" s="15">
        <v>0.2</v>
      </c>
      <c r="Q110" s="15">
        <v>8.1999999999999993</v>
      </c>
      <c r="R110" s="15">
        <v>1311.55</v>
      </c>
    </row>
    <row r="111" spans="1:18" x14ac:dyDescent="0.25">
      <c r="A111" s="12" t="s">
        <v>13</v>
      </c>
      <c r="B111" s="12" t="s">
        <v>7</v>
      </c>
      <c r="C111" s="12" t="s">
        <v>216</v>
      </c>
      <c r="D111" s="12">
        <v>2</v>
      </c>
      <c r="E111" s="12">
        <v>24</v>
      </c>
      <c r="F111" s="12">
        <v>2</v>
      </c>
      <c r="G111" s="12">
        <v>5</v>
      </c>
      <c r="H111" s="15">
        <v>31.92</v>
      </c>
      <c r="I111" s="15">
        <v>26.74</v>
      </c>
      <c r="J111" s="12">
        <v>3.5</v>
      </c>
      <c r="K111" s="15">
        <v>1</v>
      </c>
      <c r="L111" s="15">
        <v>15.9</v>
      </c>
      <c r="M111" s="15">
        <v>57.728859528257189</v>
      </c>
      <c r="N111" s="15">
        <v>5.4</v>
      </c>
      <c r="O111" s="15">
        <v>2.6</v>
      </c>
      <c r="P111" s="15">
        <v>0.2</v>
      </c>
      <c r="Q111" s="15">
        <v>8.1999999999999993</v>
      </c>
      <c r="R111" s="15">
        <v>1311.55</v>
      </c>
    </row>
    <row r="112" spans="1:18" x14ac:dyDescent="0.25">
      <c r="A112" s="12" t="s">
        <v>13</v>
      </c>
      <c r="B112" s="12" t="s">
        <v>7</v>
      </c>
      <c r="C112" s="12" t="s">
        <v>216</v>
      </c>
      <c r="D112" s="12">
        <v>3</v>
      </c>
      <c r="E112" s="12">
        <v>25</v>
      </c>
      <c r="F112" s="12">
        <v>2</v>
      </c>
      <c r="G112" s="12">
        <v>1</v>
      </c>
      <c r="H112" s="15">
        <v>32.06</v>
      </c>
      <c r="I112" s="15">
        <v>77.400000000000006</v>
      </c>
      <c r="J112" s="166">
        <v>1.1000000000000001</v>
      </c>
      <c r="K112" s="15">
        <v>0.69696969696969691</v>
      </c>
      <c r="L112" s="15">
        <v>9.1999999999999993</v>
      </c>
      <c r="M112" s="15">
        <v>37.741778138239106</v>
      </c>
      <c r="N112" s="15">
        <v>5.7</v>
      </c>
      <c r="O112" s="15">
        <v>2.9</v>
      </c>
      <c r="P112" s="15">
        <v>0.2</v>
      </c>
      <c r="Q112" s="15">
        <v>8.8000000000000007</v>
      </c>
      <c r="R112" s="15">
        <v>1160.77</v>
      </c>
    </row>
    <row r="113" spans="1:18" x14ac:dyDescent="0.25">
      <c r="A113" s="12" t="s">
        <v>13</v>
      </c>
      <c r="B113" s="12" t="s">
        <v>7</v>
      </c>
      <c r="C113" s="12" t="s">
        <v>216</v>
      </c>
      <c r="D113" s="12">
        <v>3</v>
      </c>
      <c r="E113" s="12">
        <v>25</v>
      </c>
      <c r="F113" s="12">
        <v>2</v>
      </c>
      <c r="G113" s="12">
        <v>2</v>
      </c>
      <c r="H113" s="15">
        <v>31.89</v>
      </c>
      <c r="I113" s="15">
        <v>66.86</v>
      </c>
      <c r="J113" s="12">
        <v>1.6</v>
      </c>
      <c r="K113" s="15">
        <v>0.64393939393939392</v>
      </c>
      <c r="L113" s="15">
        <v>8.5</v>
      </c>
      <c r="M113" s="15">
        <v>34.870121105981781</v>
      </c>
      <c r="N113" s="15">
        <v>5.7</v>
      </c>
      <c r="O113" s="15">
        <v>2.9</v>
      </c>
      <c r="P113" s="15">
        <v>0.2</v>
      </c>
      <c r="Q113" s="15">
        <v>8.8000000000000007</v>
      </c>
      <c r="R113" s="15">
        <v>1160.77</v>
      </c>
    </row>
    <row r="114" spans="1:18" x14ac:dyDescent="0.25">
      <c r="A114" s="12" t="s">
        <v>13</v>
      </c>
      <c r="B114" s="12" t="s">
        <v>7</v>
      </c>
      <c r="C114" s="12" t="s">
        <v>216</v>
      </c>
      <c r="D114" s="12">
        <v>3</v>
      </c>
      <c r="E114" s="12">
        <v>25</v>
      </c>
      <c r="F114" s="12">
        <v>2</v>
      </c>
      <c r="G114" s="12">
        <v>3</v>
      </c>
      <c r="H114" s="15">
        <v>31.94</v>
      </c>
      <c r="I114" s="15">
        <v>55.73</v>
      </c>
      <c r="J114" s="166">
        <v>2.1</v>
      </c>
      <c r="K114" s="15">
        <v>0.68939393939393945</v>
      </c>
      <c r="L114" s="15">
        <v>9.1</v>
      </c>
      <c r="M114" s="15">
        <v>37.331541419345207</v>
      </c>
      <c r="N114" s="15">
        <v>5.7</v>
      </c>
      <c r="O114" s="15">
        <v>2.9</v>
      </c>
      <c r="P114" s="15">
        <v>0.2</v>
      </c>
      <c r="Q114" s="15">
        <v>8.8000000000000007</v>
      </c>
      <c r="R114" s="15">
        <v>1160.77</v>
      </c>
    </row>
    <row r="115" spans="1:18" x14ac:dyDescent="0.25">
      <c r="A115" s="12" t="s">
        <v>13</v>
      </c>
      <c r="B115" s="12" t="s">
        <v>7</v>
      </c>
      <c r="C115" s="12" t="s">
        <v>216</v>
      </c>
      <c r="D115" s="12">
        <v>3</v>
      </c>
      <c r="E115" s="12">
        <v>25</v>
      </c>
      <c r="F115" s="12">
        <v>2</v>
      </c>
      <c r="G115" s="12">
        <v>4</v>
      </c>
      <c r="H115" s="15">
        <v>31.86</v>
      </c>
      <c r="I115" s="15">
        <v>42.36</v>
      </c>
      <c r="J115" s="12">
        <v>2.7</v>
      </c>
      <c r="K115" s="15">
        <v>0.81060606060606055</v>
      </c>
      <c r="L115" s="15">
        <v>10.7</v>
      </c>
      <c r="M115" s="15">
        <v>43.895328921647661</v>
      </c>
      <c r="N115" s="15">
        <v>5.7</v>
      </c>
      <c r="O115" s="15">
        <v>2.9</v>
      </c>
      <c r="P115" s="15">
        <v>0.2</v>
      </c>
      <c r="Q115" s="15">
        <v>8.8000000000000007</v>
      </c>
      <c r="R115" s="15">
        <v>1160.77</v>
      </c>
    </row>
    <row r="116" spans="1:18" x14ac:dyDescent="0.25">
      <c r="A116" s="12" t="s">
        <v>13</v>
      </c>
      <c r="B116" s="12" t="s">
        <v>7</v>
      </c>
      <c r="C116" s="12" t="s">
        <v>216</v>
      </c>
      <c r="D116" s="12">
        <v>3</v>
      </c>
      <c r="E116" s="12">
        <v>25</v>
      </c>
      <c r="F116" s="12">
        <v>2</v>
      </c>
      <c r="G116" s="12">
        <v>5</v>
      </c>
      <c r="H116" s="15">
        <v>31.92</v>
      </c>
      <c r="I116" s="15">
        <v>26.74</v>
      </c>
      <c r="J116" s="12">
        <v>3.5</v>
      </c>
      <c r="K116" s="15">
        <v>1</v>
      </c>
      <c r="L116" s="15">
        <v>13.2</v>
      </c>
      <c r="M116" s="15">
        <v>54.151246893995236</v>
      </c>
      <c r="N116" s="15">
        <v>5.7</v>
      </c>
      <c r="O116" s="15">
        <v>2.9</v>
      </c>
      <c r="P116" s="15">
        <v>0.2</v>
      </c>
      <c r="Q116" s="15">
        <v>8.8000000000000007</v>
      </c>
      <c r="R116" s="15">
        <v>1160.77</v>
      </c>
    </row>
    <row r="117" spans="1:18" x14ac:dyDescent="0.25">
      <c r="A117" s="12" t="s">
        <v>13</v>
      </c>
      <c r="B117" s="12" t="s">
        <v>7</v>
      </c>
      <c r="C117" s="12" t="s">
        <v>216</v>
      </c>
      <c r="D117" s="12">
        <v>4</v>
      </c>
      <c r="E117" s="12">
        <v>31</v>
      </c>
      <c r="F117" s="12">
        <v>2</v>
      </c>
      <c r="G117" s="12">
        <v>1</v>
      </c>
      <c r="H117" s="15">
        <v>32.06</v>
      </c>
      <c r="I117" s="15">
        <v>77.400000000000006</v>
      </c>
      <c r="J117" s="166">
        <v>1.1000000000000001</v>
      </c>
      <c r="K117" s="15">
        <v>0.53846153846153844</v>
      </c>
      <c r="L117" s="15">
        <v>3.5</v>
      </c>
      <c r="M117" s="15">
        <v>35.033141351718726</v>
      </c>
      <c r="N117" s="15">
        <v>2</v>
      </c>
      <c r="O117" s="15">
        <v>1.2</v>
      </c>
      <c r="P117" s="15">
        <v>0</v>
      </c>
      <c r="Q117" s="15">
        <v>3.2</v>
      </c>
      <c r="R117" s="15">
        <v>475.74</v>
      </c>
    </row>
    <row r="118" spans="1:18" x14ac:dyDescent="0.25">
      <c r="A118" s="12" t="s">
        <v>13</v>
      </c>
      <c r="B118" s="12" t="s">
        <v>7</v>
      </c>
      <c r="C118" s="12" t="s">
        <v>216</v>
      </c>
      <c r="D118" s="12">
        <v>4</v>
      </c>
      <c r="E118" s="12">
        <v>31</v>
      </c>
      <c r="F118" s="12">
        <v>2</v>
      </c>
      <c r="G118" s="12">
        <v>2</v>
      </c>
      <c r="H118" s="15">
        <v>31.89</v>
      </c>
      <c r="I118" s="15">
        <v>66.86</v>
      </c>
      <c r="J118" s="12">
        <v>1.6</v>
      </c>
      <c r="K118" s="15">
        <v>0.66153846153846152</v>
      </c>
      <c r="L118" s="15">
        <v>4.3</v>
      </c>
      <c r="M118" s="15">
        <v>43.040716517825864</v>
      </c>
      <c r="N118" s="15">
        <v>2</v>
      </c>
      <c r="O118" s="15">
        <v>1.2</v>
      </c>
      <c r="P118" s="15">
        <v>0</v>
      </c>
      <c r="Q118" s="15">
        <v>3.2</v>
      </c>
      <c r="R118" s="15">
        <v>475.74</v>
      </c>
    </row>
    <row r="119" spans="1:18" x14ac:dyDescent="0.25">
      <c r="A119" s="12" t="s">
        <v>13</v>
      </c>
      <c r="B119" s="12" t="s">
        <v>7</v>
      </c>
      <c r="C119" s="12" t="s">
        <v>216</v>
      </c>
      <c r="D119" s="12">
        <v>4</v>
      </c>
      <c r="E119" s="12">
        <v>31</v>
      </c>
      <c r="F119" s="12">
        <v>2</v>
      </c>
      <c r="G119" s="12">
        <v>3</v>
      </c>
      <c r="H119" s="15">
        <v>31.94</v>
      </c>
      <c r="I119" s="15">
        <v>55.73</v>
      </c>
      <c r="J119" s="166">
        <v>2.1</v>
      </c>
      <c r="K119" s="15">
        <v>0.76923076923076927</v>
      </c>
      <c r="L119" s="15">
        <v>5</v>
      </c>
      <c r="M119" s="15">
        <v>50.04734478816961</v>
      </c>
      <c r="N119" s="15">
        <v>2</v>
      </c>
      <c r="O119" s="15">
        <v>1.2</v>
      </c>
      <c r="P119" s="15">
        <v>0</v>
      </c>
      <c r="Q119" s="15">
        <v>3.2</v>
      </c>
      <c r="R119" s="15">
        <v>475.74</v>
      </c>
    </row>
    <row r="120" spans="1:18" x14ac:dyDescent="0.25">
      <c r="A120" s="12" t="s">
        <v>13</v>
      </c>
      <c r="B120" s="12" t="s">
        <v>7</v>
      </c>
      <c r="C120" s="12" t="s">
        <v>216</v>
      </c>
      <c r="D120" s="12">
        <v>4</v>
      </c>
      <c r="E120" s="12">
        <v>31</v>
      </c>
      <c r="F120" s="12">
        <v>2</v>
      </c>
      <c r="G120" s="12">
        <v>4</v>
      </c>
      <c r="H120" s="15">
        <v>31.86</v>
      </c>
      <c r="I120" s="15">
        <v>42.36</v>
      </c>
      <c r="J120" s="12">
        <v>2.7</v>
      </c>
      <c r="K120" s="15">
        <v>0.87692307692307692</v>
      </c>
      <c r="L120" s="15">
        <v>5.7</v>
      </c>
      <c r="M120" s="15">
        <v>57.053973058513357</v>
      </c>
      <c r="N120" s="15">
        <v>2</v>
      </c>
      <c r="O120" s="15">
        <v>1.2</v>
      </c>
      <c r="P120" s="15">
        <v>0</v>
      </c>
      <c r="Q120" s="15">
        <v>3.2</v>
      </c>
      <c r="R120" s="15">
        <v>475.74</v>
      </c>
    </row>
    <row r="121" spans="1:18" x14ac:dyDescent="0.25">
      <c r="A121" s="12" t="s">
        <v>13</v>
      </c>
      <c r="B121" s="12" t="s">
        <v>7</v>
      </c>
      <c r="C121" s="12" t="s">
        <v>216</v>
      </c>
      <c r="D121" s="12">
        <v>4</v>
      </c>
      <c r="E121" s="12">
        <v>31</v>
      </c>
      <c r="F121" s="12">
        <v>2</v>
      </c>
      <c r="G121" s="12">
        <v>5</v>
      </c>
      <c r="H121" s="15">
        <v>31.92</v>
      </c>
      <c r="I121" s="15">
        <v>26.74</v>
      </c>
      <c r="J121" s="12">
        <v>3.5</v>
      </c>
      <c r="K121" s="15">
        <v>1</v>
      </c>
      <c r="L121" s="15">
        <v>6.5</v>
      </c>
      <c r="M121" s="15">
        <v>65.061548224620495</v>
      </c>
      <c r="N121" s="15">
        <v>2</v>
      </c>
      <c r="O121" s="15">
        <v>1.2</v>
      </c>
      <c r="P121" s="15">
        <v>0</v>
      </c>
      <c r="Q121" s="15">
        <v>3.2</v>
      </c>
      <c r="R121" s="15">
        <v>475.74</v>
      </c>
    </row>
    <row r="122" spans="1:18" x14ac:dyDescent="0.25">
      <c r="A122" s="12" t="s">
        <v>11</v>
      </c>
      <c r="B122" s="12" t="s">
        <v>5</v>
      </c>
      <c r="C122" s="12" t="s">
        <v>217</v>
      </c>
      <c r="D122" s="12">
        <v>1</v>
      </c>
      <c r="E122" s="12">
        <v>18</v>
      </c>
      <c r="F122" s="12">
        <v>2</v>
      </c>
      <c r="G122" s="12">
        <v>1</v>
      </c>
      <c r="H122" s="15">
        <v>32.06</v>
      </c>
      <c r="I122" s="15">
        <v>77.400000000000006</v>
      </c>
      <c r="J122" s="166">
        <v>1.1000000000000001</v>
      </c>
      <c r="K122" s="15">
        <v>0.64227642276422758</v>
      </c>
      <c r="L122" s="15">
        <v>7.9</v>
      </c>
      <c r="M122" s="15">
        <v>36.458924637095251</v>
      </c>
      <c r="N122" s="15">
        <v>3.3</v>
      </c>
      <c r="O122" s="15">
        <v>1.9</v>
      </c>
      <c r="P122" s="15">
        <v>0</v>
      </c>
      <c r="Q122" s="15">
        <v>5.2</v>
      </c>
      <c r="R122" s="15">
        <v>1031.82</v>
      </c>
    </row>
    <row r="123" spans="1:18" x14ac:dyDescent="0.25">
      <c r="A123" s="12" t="s">
        <v>11</v>
      </c>
      <c r="B123" s="12" t="s">
        <v>5</v>
      </c>
      <c r="C123" s="12" t="s">
        <v>217</v>
      </c>
      <c r="D123" s="12">
        <v>1</v>
      </c>
      <c r="E123" s="12">
        <v>18</v>
      </c>
      <c r="F123" s="12">
        <v>2</v>
      </c>
      <c r="G123" s="12">
        <v>2</v>
      </c>
      <c r="H123" s="15">
        <v>31.89</v>
      </c>
      <c r="I123" s="15">
        <v>66.86</v>
      </c>
      <c r="J123" s="12">
        <v>1.6</v>
      </c>
      <c r="K123" s="15">
        <v>0.73983739837398366</v>
      </c>
      <c r="L123" s="15">
        <v>9.1</v>
      </c>
      <c r="M123" s="15">
        <v>41.996989138932499</v>
      </c>
      <c r="N123" s="15">
        <v>3.3</v>
      </c>
      <c r="O123" s="15">
        <v>1.9</v>
      </c>
      <c r="P123" s="15">
        <v>0</v>
      </c>
      <c r="Q123" s="15">
        <v>5.2</v>
      </c>
      <c r="R123" s="15">
        <v>1031.82</v>
      </c>
    </row>
    <row r="124" spans="1:18" x14ac:dyDescent="0.25">
      <c r="A124" s="12" t="s">
        <v>11</v>
      </c>
      <c r="B124" s="12" t="s">
        <v>5</v>
      </c>
      <c r="C124" s="12" t="s">
        <v>217</v>
      </c>
      <c r="D124" s="12">
        <v>1</v>
      </c>
      <c r="E124" s="12">
        <v>18</v>
      </c>
      <c r="F124" s="12">
        <v>2</v>
      </c>
      <c r="G124" s="12">
        <v>3</v>
      </c>
      <c r="H124" s="15">
        <v>31.94</v>
      </c>
      <c r="I124" s="15">
        <v>55.73</v>
      </c>
      <c r="J124" s="166">
        <v>2.1</v>
      </c>
      <c r="K124" s="15">
        <v>0.91056910569105676</v>
      </c>
      <c r="L124" s="15">
        <v>11.2</v>
      </c>
      <c r="M124" s="15">
        <v>51.688602017147694</v>
      </c>
      <c r="N124" s="15">
        <v>3.3</v>
      </c>
      <c r="O124" s="15">
        <v>1.9</v>
      </c>
      <c r="P124" s="15">
        <v>0</v>
      </c>
      <c r="Q124" s="15">
        <v>5.2</v>
      </c>
      <c r="R124" s="15">
        <v>1031.82</v>
      </c>
    </row>
    <row r="125" spans="1:18" x14ac:dyDescent="0.25">
      <c r="A125" s="12" t="s">
        <v>11</v>
      </c>
      <c r="B125" s="12" t="s">
        <v>5</v>
      </c>
      <c r="C125" s="12" t="s">
        <v>217</v>
      </c>
      <c r="D125" s="12">
        <v>1</v>
      </c>
      <c r="E125" s="12">
        <v>18</v>
      </c>
      <c r="F125" s="12">
        <v>2</v>
      </c>
      <c r="G125" s="12">
        <v>4</v>
      </c>
      <c r="H125" s="15">
        <v>31.86</v>
      </c>
      <c r="I125" s="15">
        <v>42.36</v>
      </c>
      <c r="J125" s="12">
        <v>2.7</v>
      </c>
      <c r="K125" s="15">
        <v>1</v>
      </c>
      <c r="L125" s="15">
        <v>12.3</v>
      </c>
      <c r="M125" s="15">
        <v>56.765161143831847</v>
      </c>
      <c r="N125" s="15">
        <v>3.3</v>
      </c>
      <c r="O125" s="15">
        <v>1.9</v>
      </c>
      <c r="P125" s="15">
        <v>0</v>
      </c>
      <c r="Q125" s="15">
        <v>5.2</v>
      </c>
      <c r="R125" s="15">
        <v>1031.82</v>
      </c>
    </row>
    <row r="126" spans="1:18" x14ac:dyDescent="0.25">
      <c r="A126" s="12" t="s">
        <v>11</v>
      </c>
      <c r="B126" s="12" t="s">
        <v>5</v>
      </c>
      <c r="C126" s="12" t="s">
        <v>217</v>
      </c>
      <c r="D126" s="12">
        <v>1</v>
      </c>
      <c r="E126" s="12">
        <v>18</v>
      </c>
      <c r="F126" s="12">
        <v>2</v>
      </c>
      <c r="G126" s="12">
        <v>5</v>
      </c>
      <c r="H126" s="15">
        <v>31.92</v>
      </c>
      <c r="I126" s="15">
        <v>26.74</v>
      </c>
      <c r="J126" s="12">
        <v>3.5</v>
      </c>
      <c r="K126" s="15">
        <v>1</v>
      </c>
      <c r="L126" s="15">
        <v>12.3</v>
      </c>
      <c r="M126" s="15">
        <v>56.765161143831847</v>
      </c>
      <c r="N126" s="15">
        <v>3.3</v>
      </c>
      <c r="O126" s="15">
        <v>1.9</v>
      </c>
      <c r="P126" s="15">
        <v>0</v>
      </c>
      <c r="Q126" s="15">
        <v>5.2</v>
      </c>
      <c r="R126" s="15">
        <v>1031.82</v>
      </c>
    </row>
    <row r="127" spans="1:18" x14ac:dyDescent="0.25">
      <c r="A127" s="12" t="s">
        <v>11</v>
      </c>
      <c r="B127" s="12" t="s">
        <v>5</v>
      </c>
      <c r="C127" s="12" t="s">
        <v>217</v>
      </c>
      <c r="D127" s="12">
        <v>2</v>
      </c>
      <c r="E127" s="12">
        <v>21</v>
      </c>
      <c r="F127" s="12">
        <v>2</v>
      </c>
      <c r="G127" s="12">
        <v>1</v>
      </c>
      <c r="H127" s="15">
        <v>32.06</v>
      </c>
      <c r="I127" s="15">
        <v>77.400000000000006</v>
      </c>
      <c r="J127" s="166">
        <v>1.1000000000000001</v>
      </c>
      <c r="K127" s="15">
        <v>0.71544715447154472</v>
      </c>
      <c r="L127" s="15">
        <v>8.8000000000000007</v>
      </c>
      <c r="M127" s="15">
        <v>40.382736563676922</v>
      </c>
      <c r="N127" s="15">
        <v>3.7</v>
      </c>
      <c r="O127" s="15">
        <v>1.6</v>
      </c>
      <c r="P127" s="15">
        <v>0</v>
      </c>
      <c r="Q127" s="15">
        <v>5.3</v>
      </c>
      <c r="R127" s="15">
        <v>1037.69</v>
      </c>
    </row>
    <row r="128" spans="1:18" x14ac:dyDescent="0.25">
      <c r="A128" s="12" t="s">
        <v>11</v>
      </c>
      <c r="B128" s="12" t="s">
        <v>5</v>
      </c>
      <c r="C128" s="12" t="s">
        <v>217</v>
      </c>
      <c r="D128" s="12">
        <v>2</v>
      </c>
      <c r="E128" s="12">
        <v>21</v>
      </c>
      <c r="F128" s="12">
        <v>2</v>
      </c>
      <c r="G128" s="12">
        <v>2</v>
      </c>
      <c r="H128" s="15">
        <v>31.89</v>
      </c>
      <c r="I128" s="15">
        <v>66.86</v>
      </c>
      <c r="J128" s="12">
        <v>1.6</v>
      </c>
      <c r="K128" s="15">
        <v>0.7642276422764227</v>
      </c>
      <c r="L128" s="15">
        <v>9.4</v>
      </c>
      <c r="M128" s="15">
        <v>43.136104965745801</v>
      </c>
      <c r="N128" s="15">
        <v>3.7</v>
      </c>
      <c r="O128" s="15">
        <v>1.6</v>
      </c>
      <c r="P128" s="15">
        <v>0</v>
      </c>
      <c r="Q128" s="15">
        <v>5.3</v>
      </c>
      <c r="R128" s="15">
        <v>1037.69</v>
      </c>
    </row>
    <row r="129" spans="1:18" x14ac:dyDescent="0.25">
      <c r="A129" s="12" t="s">
        <v>11</v>
      </c>
      <c r="B129" s="12" t="s">
        <v>5</v>
      </c>
      <c r="C129" s="12" t="s">
        <v>217</v>
      </c>
      <c r="D129" s="12">
        <v>2</v>
      </c>
      <c r="E129" s="12">
        <v>21</v>
      </c>
      <c r="F129" s="12">
        <v>2</v>
      </c>
      <c r="G129" s="12">
        <v>3</v>
      </c>
      <c r="H129" s="15">
        <v>31.94</v>
      </c>
      <c r="I129" s="15">
        <v>55.73</v>
      </c>
      <c r="J129" s="166">
        <v>2.1</v>
      </c>
      <c r="K129" s="15">
        <v>0.86178861788617878</v>
      </c>
      <c r="L129" s="15">
        <v>10.6</v>
      </c>
      <c r="M129" s="15">
        <v>48.642841769883567</v>
      </c>
      <c r="N129" s="15">
        <v>3.7</v>
      </c>
      <c r="O129" s="15">
        <v>1.6</v>
      </c>
      <c r="P129" s="15">
        <v>0</v>
      </c>
      <c r="Q129" s="15">
        <v>5.3</v>
      </c>
      <c r="R129" s="15">
        <v>1037.69</v>
      </c>
    </row>
    <row r="130" spans="1:18" x14ac:dyDescent="0.25">
      <c r="A130" s="12" t="s">
        <v>11</v>
      </c>
      <c r="B130" s="12" t="s">
        <v>5</v>
      </c>
      <c r="C130" s="12" t="s">
        <v>217</v>
      </c>
      <c r="D130" s="12">
        <v>2</v>
      </c>
      <c r="E130" s="12">
        <v>21</v>
      </c>
      <c r="F130" s="12">
        <v>2</v>
      </c>
      <c r="G130" s="12">
        <v>4</v>
      </c>
      <c r="H130" s="15">
        <v>31.86</v>
      </c>
      <c r="I130" s="15">
        <v>42.36</v>
      </c>
      <c r="J130" s="12">
        <v>2.7</v>
      </c>
      <c r="K130" s="15">
        <v>0.90243902439024382</v>
      </c>
      <c r="L130" s="15">
        <v>11.1</v>
      </c>
      <c r="M130" s="15">
        <v>50.937315438274297</v>
      </c>
      <c r="N130" s="15">
        <v>3.7</v>
      </c>
      <c r="O130" s="15">
        <v>1.6</v>
      </c>
      <c r="P130" s="15">
        <v>0</v>
      </c>
      <c r="Q130" s="15">
        <v>5.3</v>
      </c>
      <c r="R130" s="15">
        <v>1037.69</v>
      </c>
    </row>
    <row r="131" spans="1:18" x14ac:dyDescent="0.25">
      <c r="A131" s="12" t="s">
        <v>11</v>
      </c>
      <c r="B131" s="12" t="s">
        <v>5</v>
      </c>
      <c r="C131" s="12" t="s">
        <v>217</v>
      </c>
      <c r="D131" s="12">
        <v>2</v>
      </c>
      <c r="E131" s="12">
        <v>21</v>
      </c>
      <c r="F131" s="12">
        <v>2</v>
      </c>
      <c r="G131" s="12">
        <v>5</v>
      </c>
      <c r="H131" s="15">
        <v>31.92</v>
      </c>
      <c r="I131" s="15">
        <v>26.74</v>
      </c>
      <c r="J131" s="12">
        <v>3.5</v>
      </c>
      <c r="K131" s="15">
        <v>1</v>
      </c>
      <c r="L131" s="15">
        <v>12.3</v>
      </c>
      <c r="M131" s="15">
        <v>56.444052242412063</v>
      </c>
      <c r="N131" s="15">
        <v>3.7</v>
      </c>
      <c r="O131" s="15">
        <v>1.6</v>
      </c>
      <c r="P131" s="15">
        <v>0</v>
      </c>
      <c r="Q131" s="15">
        <v>5.3</v>
      </c>
      <c r="R131" s="15">
        <v>1037.69</v>
      </c>
    </row>
    <row r="132" spans="1:18" x14ac:dyDescent="0.25">
      <c r="A132" s="12" t="s">
        <v>11</v>
      </c>
      <c r="B132" s="12" t="s">
        <v>5</v>
      </c>
      <c r="C132" s="12" t="s">
        <v>217</v>
      </c>
      <c r="D132" s="12">
        <v>3</v>
      </c>
      <c r="E132" s="12">
        <v>26</v>
      </c>
      <c r="F132" s="12">
        <v>2</v>
      </c>
      <c r="G132" s="12">
        <v>1</v>
      </c>
      <c r="H132" s="15">
        <v>32.06</v>
      </c>
      <c r="I132" s="15">
        <v>77.400000000000006</v>
      </c>
      <c r="J132" s="166">
        <v>1.1000000000000001</v>
      </c>
      <c r="K132" s="15">
        <v>0.62682926829268293</v>
      </c>
      <c r="L132" s="177">
        <v>7.71</v>
      </c>
      <c r="M132" s="15">
        <v>36.330993730429689</v>
      </c>
      <c r="N132" s="15">
        <v>3.4</v>
      </c>
      <c r="O132" s="15">
        <v>1.6</v>
      </c>
      <c r="P132" s="15">
        <v>0</v>
      </c>
      <c r="Q132" s="15">
        <v>5</v>
      </c>
      <c r="R132" s="15">
        <v>1010.55</v>
      </c>
    </row>
    <row r="133" spans="1:18" x14ac:dyDescent="0.25">
      <c r="A133" s="12" t="s">
        <v>11</v>
      </c>
      <c r="B133" s="12" t="s">
        <v>5</v>
      </c>
      <c r="C133" s="12" t="s">
        <v>217</v>
      </c>
      <c r="D133" s="12">
        <v>3</v>
      </c>
      <c r="E133" s="12">
        <v>26</v>
      </c>
      <c r="F133" s="12">
        <v>2</v>
      </c>
      <c r="G133" s="12">
        <v>2</v>
      </c>
      <c r="H133" s="15">
        <v>31.89</v>
      </c>
      <c r="I133" s="15">
        <v>66.86</v>
      </c>
      <c r="J133" s="12">
        <v>1.6</v>
      </c>
      <c r="K133" s="15">
        <v>0.68292682926829262</v>
      </c>
      <c r="L133" s="177">
        <v>8.4</v>
      </c>
      <c r="M133" s="15">
        <v>39.582405620701607</v>
      </c>
      <c r="N133" s="15">
        <v>3.4</v>
      </c>
      <c r="O133" s="15">
        <v>1.6</v>
      </c>
      <c r="P133" s="15">
        <v>0</v>
      </c>
      <c r="Q133" s="15">
        <v>5</v>
      </c>
      <c r="R133" s="15">
        <v>1010.55</v>
      </c>
    </row>
    <row r="134" spans="1:18" x14ac:dyDescent="0.25">
      <c r="A134" s="12" t="s">
        <v>11</v>
      </c>
      <c r="B134" s="12" t="s">
        <v>5</v>
      </c>
      <c r="C134" s="12" t="s">
        <v>217</v>
      </c>
      <c r="D134" s="12">
        <v>3</v>
      </c>
      <c r="E134" s="12">
        <v>26</v>
      </c>
      <c r="F134" s="12">
        <v>2</v>
      </c>
      <c r="G134" s="12">
        <v>3</v>
      </c>
      <c r="H134" s="15">
        <v>31.94</v>
      </c>
      <c r="I134" s="15">
        <v>55.73</v>
      </c>
      <c r="J134" s="166">
        <v>2.1</v>
      </c>
      <c r="K134" s="15">
        <v>0.83739837398373984</v>
      </c>
      <c r="L134" s="177">
        <v>10.3</v>
      </c>
      <c r="M134" s="15">
        <v>48.535568796812676</v>
      </c>
      <c r="N134" s="15">
        <v>3.4</v>
      </c>
      <c r="O134" s="15">
        <v>1.6</v>
      </c>
      <c r="P134" s="15">
        <v>0</v>
      </c>
      <c r="Q134" s="15">
        <v>5</v>
      </c>
      <c r="R134" s="15">
        <v>1010.55</v>
      </c>
    </row>
    <row r="135" spans="1:18" x14ac:dyDescent="0.25">
      <c r="A135" s="12" t="s">
        <v>11</v>
      </c>
      <c r="B135" s="12" t="s">
        <v>5</v>
      </c>
      <c r="C135" s="12" t="s">
        <v>217</v>
      </c>
      <c r="D135" s="12">
        <v>3</v>
      </c>
      <c r="E135" s="12">
        <v>26</v>
      </c>
      <c r="F135" s="12">
        <v>2</v>
      </c>
      <c r="G135" s="12">
        <v>4</v>
      </c>
      <c r="H135" s="15">
        <v>31.86</v>
      </c>
      <c r="I135" s="15">
        <v>42.36</v>
      </c>
      <c r="J135" s="12">
        <v>2.7</v>
      </c>
      <c r="K135" s="15">
        <v>0.91869918699186992</v>
      </c>
      <c r="L135" s="177">
        <v>11.3</v>
      </c>
      <c r="M135" s="15">
        <v>53.247759942134294</v>
      </c>
      <c r="N135" s="15">
        <v>3.4</v>
      </c>
      <c r="O135" s="15">
        <v>1.6</v>
      </c>
      <c r="P135" s="15">
        <v>0</v>
      </c>
      <c r="Q135" s="15">
        <v>5</v>
      </c>
      <c r="R135" s="15">
        <v>1010.55</v>
      </c>
    </row>
    <row r="136" spans="1:18" x14ac:dyDescent="0.25">
      <c r="A136" s="12" t="s">
        <v>11</v>
      </c>
      <c r="B136" s="12" t="s">
        <v>5</v>
      </c>
      <c r="C136" s="12" t="s">
        <v>217</v>
      </c>
      <c r="D136" s="12">
        <v>3</v>
      </c>
      <c r="E136" s="12">
        <v>26</v>
      </c>
      <c r="F136" s="12">
        <v>2</v>
      </c>
      <c r="G136" s="12">
        <v>5</v>
      </c>
      <c r="H136" s="15">
        <v>31.92</v>
      </c>
      <c r="I136" s="15">
        <v>26.74</v>
      </c>
      <c r="J136" s="12">
        <v>3.5</v>
      </c>
      <c r="K136" s="15">
        <v>1</v>
      </c>
      <c r="L136" s="177">
        <v>12.3</v>
      </c>
      <c r="M136" s="15">
        <v>57.95995108745592</v>
      </c>
      <c r="N136" s="15">
        <v>3.4</v>
      </c>
      <c r="O136" s="15">
        <v>1.6</v>
      </c>
      <c r="P136" s="15">
        <v>0</v>
      </c>
      <c r="Q136" s="15">
        <v>5</v>
      </c>
      <c r="R136" s="15">
        <v>1010.55</v>
      </c>
    </row>
    <row r="137" spans="1:18" x14ac:dyDescent="0.25">
      <c r="A137" s="12" t="s">
        <v>11</v>
      </c>
      <c r="B137" s="12" t="s">
        <v>5</v>
      </c>
      <c r="C137" s="12" t="s">
        <v>217</v>
      </c>
      <c r="D137" s="12">
        <v>4</v>
      </c>
      <c r="E137" s="12">
        <v>32</v>
      </c>
      <c r="F137" s="12">
        <v>2</v>
      </c>
      <c r="G137" s="12">
        <v>1</v>
      </c>
      <c r="H137" s="15">
        <v>32.06</v>
      </c>
      <c r="I137" s="15">
        <v>77.400000000000006</v>
      </c>
      <c r="J137" s="166">
        <v>1.1000000000000001</v>
      </c>
      <c r="K137" s="15">
        <v>0.50806451612903225</v>
      </c>
      <c r="L137" s="15">
        <v>6.3</v>
      </c>
      <c r="M137" s="15">
        <v>31.844429347826086</v>
      </c>
      <c r="N137" s="15">
        <v>3.1</v>
      </c>
      <c r="O137" s="15">
        <v>1.2</v>
      </c>
      <c r="P137" s="15">
        <v>0</v>
      </c>
      <c r="Q137" s="15">
        <v>4.3</v>
      </c>
      <c r="R137" s="15">
        <v>942.08</v>
      </c>
    </row>
    <row r="138" spans="1:18" x14ac:dyDescent="0.25">
      <c r="A138" s="12" t="s">
        <v>11</v>
      </c>
      <c r="B138" s="12" t="s">
        <v>5</v>
      </c>
      <c r="C138" s="12" t="s">
        <v>217</v>
      </c>
      <c r="D138" s="12">
        <v>4</v>
      </c>
      <c r="E138" s="12">
        <v>32</v>
      </c>
      <c r="F138" s="12">
        <v>2</v>
      </c>
      <c r="G138" s="12">
        <v>2</v>
      </c>
      <c r="H138" s="15">
        <v>31.89</v>
      </c>
      <c r="I138" s="15">
        <v>66.86</v>
      </c>
      <c r="J138" s="12">
        <v>1.6</v>
      </c>
      <c r="K138" s="15">
        <v>0.66935483870967749</v>
      </c>
      <c r="L138" s="15">
        <v>8.3000000000000007</v>
      </c>
      <c r="M138" s="15">
        <v>41.953771997929607</v>
      </c>
      <c r="N138" s="15">
        <v>3.1</v>
      </c>
      <c r="O138" s="15">
        <v>1.2</v>
      </c>
      <c r="P138" s="15">
        <v>0</v>
      </c>
      <c r="Q138" s="15">
        <v>4.3</v>
      </c>
      <c r="R138" s="15">
        <v>942.08</v>
      </c>
    </row>
    <row r="139" spans="1:18" x14ac:dyDescent="0.25">
      <c r="A139" s="12" t="s">
        <v>11</v>
      </c>
      <c r="B139" s="12" t="s">
        <v>5</v>
      </c>
      <c r="C139" s="12" t="s">
        <v>217</v>
      </c>
      <c r="D139" s="12">
        <v>4</v>
      </c>
      <c r="E139" s="12">
        <v>32</v>
      </c>
      <c r="F139" s="12">
        <v>2</v>
      </c>
      <c r="G139" s="12">
        <v>3</v>
      </c>
      <c r="H139" s="15">
        <v>31.94</v>
      </c>
      <c r="I139" s="15">
        <v>55.73</v>
      </c>
      <c r="J139" s="166">
        <v>2.1</v>
      </c>
      <c r="K139" s="15">
        <v>0.72580645161290325</v>
      </c>
      <c r="L139" s="15">
        <v>9</v>
      </c>
      <c r="M139" s="15">
        <v>45.492041925465834</v>
      </c>
      <c r="N139" s="15">
        <v>3.1</v>
      </c>
      <c r="O139" s="15">
        <v>1.2</v>
      </c>
      <c r="P139" s="15">
        <v>0</v>
      </c>
      <c r="Q139" s="15">
        <v>4.3</v>
      </c>
      <c r="R139" s="15">
        <v>942.08</v>
      </c>
    </row>
    <row r="140" spans="1:18" x14ac:dyDescent="0.25">
      <c r="A140" s="12" t="s">
        <v>11</v>
      </c>
      <c r="B140" s="12" t="s">
        <v>5</v>
      </c>
      <c r="C140" s="12" t="s">
        <v>217</v>
      </c>
      <c r="D140" s="12">
        <v>4</v>
      </c>
      <c r="E140" s="12">
        <v>32</v>
      </c>
      <c r="F140" s="12">
        <v>2</v>
      </c>
      <c r="G140" s="12">
        <v>4</v>
      </c>
      <c r="H140" s="15">
        <v>31.86</v>
      </c>
      <c r="I140" s="15">
        <v>42.36</v>
      </c>
      <c r="J140" s="12">
        <v>2.7</v>
      </c>
      <c r="K140" s="15">
        <v>0.95161290322580649</v>
      </c>
      <c r="L140" s="15">
        <v>11.8</v>
      </c>
      <c r="M140" s="15">
        <v>59.645121635610764</v>
      </c>
      <c r="N140" s="15">
        <v>3.1</v>
      </c>
      <c r="O140" s="15">
        <v>1.2</v>
      </c>
      <c r="P140" s="15">
        <v>0</v>
      </c>
      <c r="Q140" s="15">
        <v>4.3</v>
      </c>
      <c r="R140" s="15">
        <v>942.08</v>
      </c>
    </row>
    <row r="141" spans="1:18" x14ac:dyDescent="0.25">
      <c r="A141" s="12" t="s">
        <v>11</v>
      </c>
      <c r="B141" s="12" t="s">
        <v>5</v>
      </c>
      <c r="C141" s="12" t="s">
        <v>217</v>
      </c>
      <c r="D141" s="12">
        <v>4</v>
      </c>
      <c r="E141" s="12">
        <v>32</v>
      </c>
      <c r="F141" s="12">
        <v>2</v>
      </c>
      <c r="G141" s="12">
        <v>5</v>
      </c>
      <c r="H141" s="15">
        <v>31.92</v>
      </c>
      <c r="I141" s="15">
        <v>26.74</v>
      </c>
      <c r="J141" s="12">
        <v>3.5</v>
      </c>
      <c r="K141" s="15">
        <v>1</v>
      </c>
      <c r="L141" s="15">
        <v>12.4</v>
      </c>
      <c r="M141" s="15">
        <v>62.677924430641831</v>
      </c>
      <c r="N141" s="15">
        <v>3.1</v>
      </c>
      <c r="O141" s="15">
        <v>1.2</v>
      </c>
      <c r="P141" s="15">
        <v>0</v>
      </c>
      <c r="Q141" s="15">
        <v>4.3</v>
      </c>
      <c r="R141" s="15">
        <v>942.08</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Experiment map</vt:lpstr>
      <vt:lpstr>Weights</vt:lpstr>
      <vt:lpstr>Irrigation</vt:lpstr>
      <vt:lpstr>Methodology</vt:lpstr>
      <vt:lpstr>Evaluation targets</vt:lpstr>
      <vt:lpstr>Tracking weights</vt:lpstr>
      <vt:lpstr>Tracking VPD</vt:lpstr>
      <vt:lpstr>Day 1</vt:lpstr>
      <vt:lpstr>Day 2</vt:lpstr>
      <vt:lpstr>RT day 1</vt:lpstr>
      <vt:lpstr>RT day 2</vt:lpstr>
      <vt:lpstr>Genotype average D1</vt:lpstr>
      <vt:lpstr>Genotype average D2</vt:lpstr>
      <vt:lpstr>Graphics D2</vt:lpstr>
      <vt:lpstr>Dry weights</vt:lpstr>
      <vt:lpstr>T leaf area</vt: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Andrade</dc:creator>
  <cp:lastModifiedBy>Paula Andrade</cp:lastModifiedBy>
  <cp:lastPrinted>2024-09-26T12:37:33Z</cp:lastPrinted>
  <dcterms:created xsi:type="dcterms:W3CDTF">2024-09-26T02:30:30Z</dcterms:created>
  <dcterms:modified xsi:type="dcterms:W3CDTF">2024-11-27T15:40:37Z</dcterms:modified>
</cp:coreProperties>
</file>