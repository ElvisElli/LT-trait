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a\Box\Soybean-Transpiration-Efficiency\data-analysis\Second time GC\Part 2\"/>
    </mc:Choice>
  </mc:AlternateContent>
  <xr:revisionPtr revIDLastSave="0" documentId="13_ncr:1_{7CB7078A-C4BC-406A-9492-B2DB748CEBD3}" xr6:coauthVersionLast="47" xr6:coauthVersionMax="47" xr10:uidLastSave="{00000000-0000-0000-0000-000000000000}"/>
  <bookViews>
    <workbookView xWindow="-120" yWindow="-120" windowWidth="20730" windowHeight="11040" firstSheet="1" activeTab="5" xr2:uid="{E4DA1EC4-CD7A-41C8-A12D-0028CAACD62C}"/>
  </bookViews>
  <sheets>
    <sheet name="Experiment map" sheetId="1" r:id="rId1"/>
    <sheet name="Weights" sheetId="2" r:id="rId2"/>
    <sheet name="Irrigation" sheetId="3" r:id="rId3"/>
    <sheet name="Evaluation targets" sheetId="6" r:id="rId4"/>
    <sheet name="Tracking VPD" sheetId="4" r:id="rId5"/>
    <sheet name="Tracking weight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4" l="1"/>
  <c r="T3" i="4"/>
  <c r="T2" i="4"/>
  <c r="DP14" i="3" l="1"/>
  <c r="DP6" i="3"/>
  <c r="DN17" i="3"/>
  <c r="DN16" i="3"/>
  <c r="DP16" i="3" s="1"/>
  <c r="DN15" i="3"/>
  <c r="DP15" i="3" s="1"/>
  <c r="DN14" i="3"/>
  <c r="DN13" i="3"/>
  <c r="DP13" i="3" s="1"/>
  <c r="DN12" i="3"/>
  <c r="DP12" i="3" s="1"/>
  <c r="DN11" i="3"/>
  <c r="DP10" i="3"/>
  <c r="DN10" i="3"/>
  <c r="DN9" i="3"/>
  <c r="DN8" i="3"/>
  <c r="DP8" i="3" s="1"/>
  <c r="DN7" i="3"/>
  <c r="DP7" i="3" s="1"/>
  <c r="DN6" i="3"/>
  <c r="DN5" i="3"/>
  <c r="DP5" i="3" s="1"/>
  <c r="DN4" i="3"/>
  <c r="DP4" i="3" s="1"/>
  <c r="DN3" i="3"/>
  <c r="DP2" i="3"/>
  <c r="DN2" i="3"/>
  <c r="FJ4" i="2"/>
  <c r="FJ5" i="2"/>
  <c r="FJ6" i="2"/>
  <c r="FJ7" i="2"/>
  <c r="FJ8" i="2"/>
  <c r="FJ9" i="2"/>
  <c r="FJ10" i="2"/>
  <c r="FK10" i="2" s="1"/>
  <c r="FJ11" i="2"/>
  <c r="FK11" i="2" s="1"/>
  <c r="FJ12" i="2"/>
  <c r="FJ13" i="2"/>
  <c r="FJ14" i="2"/>
  <c r="FJ15" i="2"/>
  <c r="FJ16" i="2"/>
  <c r="FJ17" i="2"/>
  <c r="FJ18" i="2"/>
  <c r="FK18" i="2" s="1"/>
  <c r="FJ3" i="2"/>
  <c r="FK17" i="2"/>
  <c r="FK16" i="2"/>
  <c r="FK15" i="2"/>
  <c r="FK14" i="2"/>
  <c r="FK13" i="2"/>
  <c r="FK12" i="2"/>
  <c r="FK9" i="2"/>
  <c r="FK8" i="2"/>
  <c r="FK7" i="2"/>
  <c r="FK6" i="2"/>
  <c r="FK5" i="2"/>
  <c r="FK4" i="2"/>
  <c r="FK3" i="2"/>
  <c r="S193" i="5"/>
  <c r="U193" i="5" s="1"/>
  <c r="S192" i="5"/>
  <c r="W192" i="5" s="1"/>
  <c r="S191" i="5"/>
  <c r="U191" i="5" s="1"/>
  <c r="S190" i="5"/>
  <c r="W190" i="5" s="1"/>
  <c r="S189" i="5"/>
  <c r="U189" i="5" s="1"/>
  <c r="S188" i="5"/>
  <c r="U188" i="5" s="1"/>
  <c r="S187" i="5"/>
  <c r="W187" i="5" s="1"/>
  <c r="S186" i="5"/>
  <c r="W186" i="5" s="1"/>
  <c r="S185" i="5"/>
  <c r="U185" i="5" s="1"/>
  <c r="S184" i="5"/>
  <c r="W184" i="5" s="1"/>
  <c r="S183" i="5"/>
  <c r="U183" i="5" s="1"/>
  <c r="S182" i="5"/>
  <c r="W182" i="5" s="1"/>
  <c r="S181" i="5"/>
  <c r="W181" i="5" s="1"/>
  <c r="S180" i="5"/>
  <c r="U180" i="5" s="1"/>
  <c r="S179" i="5"/>
  <c r="W179" i="5" s="1"/>
  <c r="S178" i="5"/>
  <c r="W178" i="5" s="1"/>
  <c r="W177" i="5"/>
  <c r="S177" i="5"/>
  <c r="U177" i="5" s="1"/>
  <c r="S176" i="5"/>
  <c r="W176" i="5" s="1"/>
  <c r="S175" i="5"/>
  <c r="U175" i="5" s="1"/>
  <c r="S174" i="5"/>
  <c r="W174" i="5" s="1"/>
  <c r="S173" i="5"/>
  <c r="W173" i="5" s="1"/>
  <c r="S172" i="5"/>
  <c r="W172" i="5" s="1"/>
  <c r="S171" i="5"/>
  <c r="W171" i="5" s="1"/>
  <c r="W170" i="5"/>
  <c r="U170" i="5"/>
  <c r="S170" i="5"/>
  <c r="S169" i="5"/>
  <c r="U169" i="5" s="1"/>
  <c r="S168" i="5"/>
  <c r="W168" i="5" s="1"/>
  <c r="S167" i="5"/>
  <c r="U167" i="5" s="1"/>
  <c r="S166" i="5"/>
  <c r="W166" i="5" s="1"/>
  <c r="S165" i="5"/>
  <c r="U165" i="5" s="1"/>
  <c r="S164" i="5"/>
  <c r="W164" i="5" s="1"/>
  <c r="S163" i="5"/>
  <c r="W163" i="5" s="1"/>
  <c r="S162" i="5"/>
  <c r="U162" i="5" s="1"/>
  <c r="S161" i="5"/>
  <c r="U161" i="5" s="1"/>
  <c r="S160" i="5"/>
  <c r="W160" i="5" s="1"/>
  <c r="S159" i="5"/>
  <c r="U159" i="5" s="1"/>
  <c r="S158" i="5"/>
  <c r="W158" i="5" s="1"/>
  <c r="S157" i="5"/>
  <c r="U157" i="5" s="1"/>
  <c r="S156" i="5"/>
  <c r="W156" i="5" s="1"/>
  <c r="S155" i="5"/>
  <c r="W155" i="5" s="1"/>
  <c r="S154" i="5"/>
  <c r="W154" i="5" s="1"/>
  <c r="S153" i="5"/>
  <c r="U153" i="5" s="1"/>
  <c r="S152" i="5"/>
  <c r="W152" i="5" s="1"/>
  <c r="S151" i="5"/>
  <c r="U151" i="5" s="1"/>
  <c r="S150" i="5"/>
  <c r="W150" i="5" s="1"/>
  <c r="S149" i="5"/>
  <c r="U149" i="5" s="1"/>
  <c r="S148" i="5"/>
  <c r="U148" i="5" s="1"/>
  <c r="S147" i="5"/>
  <c r="W147" i="5" s="1"/>
  <c r="S146" i="5"/>
  <c r="W146" i="5" s="1"/>
  <c r="S145" i="5"/>
  <c r="W145" i="5" s="1"/>
  <c r="S144" i="5"/>
  <c r="W144" i="5" s="1"/>
  <c r="S143" i="5"/>
  <c r="U143" i="5" s="1"/>
  <c r="S142" i="5"/>
  <c r="U142" i="5" s="1"/>
  <c r="S141" i="5"/>
  <c r="U141" i="5" s="1"/>
  <c r="S140" i="5"/>
  <c r="W140" i="5" s="1"/>
  <c r="S139" i="5"/>
  <c r="W139" i="5" s="1"/>
  <c r="S138" i="5"/>
  <c r="U138" i="5" s="1"/>
  <c r="S137" i="5"/>
  <c r="W137" i="5" s="1"/>
  <c r="S136" i="5"/>
  <c r="W136" i="5" s="1"/>
  <c r="W135" i="5"/>
  <c r="S135" i="5"/>
  <c r="U135" i="5" s="1"/>
  <c r="S134" i="5"/>
  <c r="U134" i="5" s="1"/>
  <c r="S133" i="5"/>
  <c r="U133" i="5" s="1"/>
  <c r="S132" i="5"/>
  <c r="W132" i="5" s="1"/>
  <c r="S131" i="5"/>
  <c r="W131" i="5" s="1"/>
  <c r="S130" i="5"/>
  <c r="W130" i="5" s="1"/>
  <c r="S129" i="5"/>
  <c r="W129" i="5" s="1"/>
  <c r="S128" i="5"/>
  <c r="W128" i="5" s="1"/>
  <c r="S127" i="5"/>
  <c r="U127" i="5" s="1"/>
  <c r="S126" i="5"/>
  <c r="U126" i="5" s="1"/>
  <c r="S125" i="5"/>
  <c r="U125" i="5" s="1"/>
  <c r="S124" i="5"/>
  <c r="W124" i="5" s="1"/>
  <c r="S123" i="5"/>
  <c r="W123" i="5" s="1"/>
  <c r="S122" i="5"/>
  <c r="W122" i="5" s="1"/>
  <c r="S121" i="5"/>
  <c r="U121" i="5" s="1"/>
  <c r="S120" i="5"/>
  <c r="W120" i="5" s="1"/>
  <c r="S119" i="5"/>
  <c r="U119" i="5" s="1"/>
  <c r="W118" i="5"/>
  <c r="S118" i="5"/>
  <c r="U118" i="5" s="1"/>
  <c r="S117" i="5"/>
  <c r="U117" i="5" s="1"/>
  <c r="S116" i="5"/>
  <c r="W116" i="5" s="1"/>
  <c r="S115" i="5"/>
  <c r="W115" i="5" s="1"/>
  <c r="S114" i="5"/>
  <c r="W114" i="5" s="1"/>
  <c r="S113" i="5"/>
  <c r="U113" i="5" s="1"/>
  <c r="S112" i="5"/>
  <c r="W112" i="5" s="1"/>
  <c r="S111" i="5"/>
  <c r="U111" i="5" s="1"/>
  <c r="S110" i="5"/>
  <c r="W110" i="5" s="1"/>
  <c r="S109" i="5"/>
  <c r="U109" i="5" s="1"/>
  <c r="S108" i="5"/>
  <c r="W108" i="5" s="1"/>
  <c r="S107" i="5"/>
  <c r="W107" i="5" s="1"/>
  <c r="S106" i="5"/>
  <c r="W106" i="5" s="1"/>
  <c r="S105" i="5"/>
  <c r="U105" i="5" s="1"/>
  <c r="S104" i="5"/>
  <c r="W104" i="5" s="1"/>
  <c r="S103" i="5"/>
  <c r="U103" i="5" s="1"/>
  <c r="S102" i="5"/>
  <c r="W102" i="5" s="1"/>
  <c r="S101" i="5"/>
  <c r="W101" i="5" s="1"/>
  <c r="U100" i="5"/>
  <c r="S100" i="5"/>
  <c r="W100" i="5" s="1"/>
  <c r="S99" i="5"/>
  <c r="W99" i="5" s="1"/>
  <c r="S98" i="5"/>
  <c r="W98" i="5" s="1"/>
  <c r="S97" i="5"/>
  <c r="U97" i="5" s="1"/>
  <c r="S96" i="5"/>
  <c r="W96" i="5" s="1"/>
  <c r="S95" i="5"/>
  <c r="U95" i="5" s="1"/>
  <c r="S94" i="5"/>
  <c r="W94" i="5" s="1"/>
  <c r="S93" i="5"/>
  <c r="U93" i="5" s="1"/>
  <c r="S92" i="5"/>
  <c r="W92" i="5" s="1"/>
  <c r="S91" i="5"/>
  <c r="W91" i="5" s="1"/>
  <c r="S90" i="5"/>
  <c r="W90" i="5" s="1"/>
  <c r="S89" i="5"/>
  <c r="U89" i="5" s="1"/>
  <c r="S88" i="5"/>
  <c r="W88" i="5" s="1"/>
  <c r="S87" i="5"/>
  <c r="U87" i="5" s="1"/>
  <c r="S86" i="5"/>
  <c r="W86" i="5" s="1"/>
  <c r="S85" i="5"/>
  <c r="U85" i="5" s="1"/>
  <c r="S84" i="5"/>
  <c r="W84" i="5" s="1"/>
  <c r="S83" i="5"/>
  <c r="W83" i="5" s="1"/>
  <c r="W82" i="5"/>
  <c r="S82" i="5"/>
  <c r="U82" i="5" s="1"/>
  <c r="S81" i="5"/>
  <c r="U81" i="5" s="1"/>
  <c r="S80" i="5"/>
  <c r="W80" i="5" s="1"/>
  <c r="S79" i="5"/>
  <c r="U79" i="5" s="1"/>
  <c r="S78" i="5"/>
  <c r="W78" i="5" s="1"/>
  <c r="S77" i="5"/>
  <c r="W77" i="5" s="1"/>
  <c r="S76" i="5"/>
  <c r="W76" i="5" s="1"/>
  <c r="S75" i="5"/>
  <c r="W75" i="5" s="1"/>
  <c r="S74" i="5"/>
  <c r="W74" i="5" s="1"/>
  <c r="S73" i="5"/>
  <c r="U73" i="5" s="1"/>
  <c r="S72" i="5"/>
  <c r="W72" i="5" s="1"/>
  <c r="S71" i="5"/>
  <c r="U71" i="5" s="1"/>
  <c r="S70" i="5"/>
  <c r="W70" i="5" s="1"/>
  <c r="S69" i="5"/>
  <c r="W69" i="5" s="1"/>
  <c r="S68" i="5"/>
  <c r="W68" i="5" s="1"/>
  <c r="S67" i="5"/>
  <c r="W67" i="5" s="1"/>
  <c r="S66" i="5"/>
  <c r="W66" i="5" s="1"/>
  <c r="S65" i="5"/>
  <c r="U65" i="5" s="1"/>
  <c r="S64" i="5"/>
  <c r="W64" i="5" s="1"/>
  <c r="S63" i="5"/>
  <c r="U63" i="5" s="1"/>
  <c r="S62" i="5"/>
  <c r="W62" i="5" s="1"/>
  <c r="S61" i="5"/>
  <c r="U61" i="5" s="1"/>
  <c r="S60" i="5"/>
  <c r="W60" i="5" s="1"/>
  <c r="S59" i="5"/>
  <c r="W59" i="5" s="1"/>
  <c r="S58" i="5"/>
  <c r="U58" i="5" s="1"/>
  <c r="S57" i="5"/>
  <c r="U57" i="5" s="1"/>
  <c r="S56" i="5"/>
  <c r="U56" i="5" s="1"/>
  <c r="S55" i="5"/>
  <c r="U55" i="5" s="1"/>
  <c r="S54" i="5"/>
  <c r="W54" i="5" s="1"/>
  <c r="S53" i="5"/>
  <c r="U53" i="5" s="1"/>
  <c r="S52" i="5"/>
  <c r="W52" i="5" s="1"/>
  <c r="S51" i="5"/>
  <c r="W51" i="5" s="1"/>
  <c r="S50" i="5"/>
  <c r="U50" i="5" s="1"/>
  <c r="S49" i="5"/>
  <c r="U49" i="5" s="1"/>
  <c r="S48" i="5"/>
  <c r="W48" i="5" s="1"/>
  <c r="S47" i="5"/>
  <c r="U47" i="5" s="1"/>
  <c r="S46" i="5"/>
  <c r="W46" i="5" s="1"/>
  <c r="S45" i="5"/>
  <c r="U45" i="5" s="1"/>
  <c r="S44" i="5"/>
  <c r="W44" i="5" s="1"/>
  <c r="S43" i="5"/>
  <c r="W43" i="5" s="1"/>
  <c r="S42" i="5"/>
  <c r="W42" i="5" s="1"/>
  <c r="S41" i="5"/>
  <c r="U41" i="5" s="1"/>
  <c r="S40" i="5"/>
  <c r="W40" i="5" s="1"/>
  <c r="S39" i="5"/>
  <c r="U39" i="5" s="1"/>
  <c r="S38" i="5"/>
  <c r="W38" i="5" s="1"/>
  <c r="S37" i="5"/>
  <c r="U37" i="5" s="1"/>
  <c r="S36" i="5"/>
  <c r="W36" i="5" s="1"/>
  <c r="S35" i="5"/>
  <c r="W35" i="5" s="1"/>
  <c r="S34" i="5"/>
  <c r="U34" i="5" s="1"/>
  <c r="S33" i="5"/>
  <c r="U33" i="5" s="1"/>
  <c r="S32" i="5"/>
  <c r="U32" i="5" s="1"/>
  <c r="S31" i="5"/>
  <c r="U31" i="5" s="1"/>
  <c r="S30" i="5"/>
  <c r="W30" i="5" s="1"/>
  <c r="S29" i="5"/>
  <c r="W29" i="5" s="1"/>
  <c r="S28" i="5"/>
  <c r="W28" i="5" s="1"/>
  <c r="S27" i="5"/>
  <c r="W27" i="5" s="1"/>
  <c r="S26" i="5"/>
  <c r="W26" i="5" s="1"/>
  <c r="S25" i="5"/>
  <c r="U25" i="5" s="1"/>
  <c r="S24" i="5"/>
  <c r="W24" i="5" s="1"/>
  <c r="S23" i="5"/>
  <c r="U23" i="5" s="1"/>
  <c r="S22" i="5"/>
  <c r="W22" i="5" s="1"/>
  <c r="S21" i="5"/>
  <c r="W21" i="5" s="1"/>
  <c r="U20" i="5"/>
  <c r="S20" i="5"/>
  <c r="W20" i="5" s="1"/>
  <c r="S19" i="5"/>
  <c r="W19" i="5" s="1"/>
  <c r="S18" i="5"/>
  <c r="W18" i="5" s="1"/>
  <c r="S17" i="5"/>
  <c r="U17" i="5" s="1"/>
  <c r="S16" i="5"/>
  <c r="W16" i="5" s="1"/>
  <c r="S15" i="5"/>
  <c r="U15" i="5" s="1"/>
  <c r="S14" i="5"/>
  <c r="W14" i="5" s="1"/>
  <c r="S13" i="5"/>
  <c r="W13" i="5" s="1"/>
  <c r="S12" i="5"/>
  <c r="W12" i="5" s="1"/>
  <c r="S11" i="5"/>
  <c r="W11" i="5" s="1"/>
  <c r="S10" i="5"/>
  <c r="W10" i="5" s="1"/>
  <c r="S9" i="5"/>
  <c r="U9" i="5" s="1"/>
  <c r="S8" i="5"/>
  <c r="W8" i="5" s="1"/>
  <c r="S7" i="5"/>
  <c r="U7" i="5" s="1"/>
  <c r="S6" i="5"/>
  <c r="U6" i="5" s="1"/>
  <c r="S5" i="5"/>
  <c r="W5" i="5" s="1"/>
  <c r="S4" i="5"/>
  <c r="W4" i="5" s="1"/>
  <c r="S3" i="5"/>
  <c r="W3" i="5" s="1"/>
  <c r="S2" i="5"/>
  <c r="W2" i="5" s="1"/>
  <c r="O23" i="4"/>
  <c r="P23" i="4" s="1"/>
  <c r="Q23" i="4" s="1"/>
  <c r="O22" i="4"/>
  <c r="O21" i="4"/>
  <c r="P21" i="4" s="1"/>
  <c r="Q21" i="4" s="1"/>
  <c r="O20" i="4"/>
  <c r="O19" i="4"/>
  <c r="P19" i="4" s="1"/>
  <c r="O18" i="4"/>
  <c r="O17" i="4"/>
  <c r="P17" i="4" s="1"/>
  <c r="Q17" i="4" s="1"/>
  <c r="O16" i="4"/>
  <c r="P16" i="4" s="1"/>
  <c r="Q16" i="4" s="1"/>
  <c r="O15" i="4"/>
  <c r="P15" i="4" s="1"/>
  <c r="Q15" i="4" s="1"/>
  <c r="O14" i="4"/>
  <c r="O13" i="4"/>
  <c r="P13" i="4" s="1"/>
  <c r="Q13" i="4" s="1"/>
  <c r="T4" i="4" s="1"/>
  <c r="O12" i="4"/>
  <c r="O11" i="4"/>
  <c r="P11" i="4" s="1"/>
  <c r="O10" i="4"/>
  <c r="O9" i="4"/>
  <c r="P9" i="4" s="1"/>
  <c r="Q9" i="4" s="1"/>
  <c r="O8" i="4"/>
  <c r="P8" i="4" s="1"/>
  <c r="Q8" i="4" s="1"/>
  <c r="O7" i="4"/>
  <c r="P7" i="4" s="1"/>
  <c r="Q7" i="4" s="1"/>
  <c r="O6" i="4"/>
  <c r="O5" i="4"/>
  <c r="P5" i="4" s="1"/>
  <c r="Q5" i="4" s="1"/>
  <c r="O4" i="4"/>
  <c r="O3" i="4"/>
  <c r="P3" i="4" s="1"/>
  <c r="O2" i="4"/>
  <c r="P7" i="6"/>
  <c r="P6" i="6"/>
  <c r="P5" i="6"/>
  <c r="N5" i="6"/>
  <c r="L5" i="6" s="1"/>
  <c r="P4" i="6"/>
  <c r="N4" i="6"/>
  <c r="Q4" i="6" s="1"/>
  <c r="R4" i="6" s="1"/>
  <c r="L4" i="6"/>
  <c r="K4" i="6"/>
  <c r="P3" i="6"/>
  <c r="N3" i="6"/>
  <c r="Q3" i="6" s="1"/>
  <c r="L3" i="6"/>
  <c r="K3" i="6"/>
  <c r="Q2" i="6"/>
  <c r="R2" i="6" s="1"/>
  <c r="P2" i="6"/>
  <c r="L2" i="6"/>
  <c r="K2" i="6"/>
  <c r="R14" i="6"/>
  <c r="Q14" i="6"/>
  <c r="Q15" i="6" s="1"/>
  <c r="Q16" i="6" s="1"/>
  <c r="P14" i="6"/>
  <c r="O14" i="6"/>
  <c r="O15" i="6" s="1"/>
  <c r="N14" i="6"/>
  <c r="M14" i="6"/>
  <c r="M15" i="6" s="1"/>
  <c r="L14" i="6"/>
  <c r="L15" i="6" s="1"/>
  <c r="I7" i="4"/>
  <c r="I6" i="4"/>
  <c r="I5" i="4"/>
  <c r="I4" i="4"/>
  <c r="I3" i="4"/>
  <c r="I2" i="4"/>
  <c r="F193" i="5"/>
  <c r="J193" i="5" s="1"/>
  <c r="F192" i="5"/>
  <c r="H192" i="5" s="1"/>
  <c r="F191" i="5"/>
  <c r="J191" i="5" s="1"/>
  <c r="F190" i="5"/>
  <c r="H190" i="5" s="1"/>
  <c r="F189" i="5"/>
  <c r="H189" i="5" s="1"/>
  <c r="F188" i="5"/>
  <c r="J188" i="5" s="1"/>
  <c r="F187" i="5"/>
  <c r="J187" i="5" s="1"/>
  <c r="F186" i="5"/>
  <c r="H186" i="5" s="1"/>
  <c r="F185" i="5"/>
  <c r="H185" i="5" s="1"/>
  <c r="F184" i="5"/>
  <c r="H184" i="5" s="1"/>
  <c r="F183" i="5"/>
  <c r="J183" i="5" s="1"/>
  <c r="F182" i="5"/>
  <c r="H182" i="5" s="1"/>
  <c r="F181" i="5"/>
  <c r="J181" i="5" s="1"/>
  <c r="F180" i="5"/>
  <c r="J180" i="5" s="1"/>
  <c r="F179" i="5"/>
  <c r="J179" i="5" s="1"/>
  <c r="F178" i="5"/>
  <c r="H178" i="5" s="1"/>
  <c r="F177" i="5"/>
  <c r="J177" i="5" s="1"/>
  <c r="F176" i="5"/>
  <c r="J176" i="5" s="1"/>
  <c r="F175" i="5"/>
  <c r="J175" i="5" s="1"/>
  <c r="F174" i="5"/>
  <c r="H174" i="5" s="1"/>
  <c r="F173" i="5"/>
  <c r="J173" i="5" s="1"/>
  <c r="F172" i="5"/>
  <c r="J172" i="5" s="1"/>
  <c r="F171" i="5"/>
  <c r="J171" i="5" s="1"/>
  <c r="F170" i="5"/>
  <c r="H170" i="5" s="1"/>
  <c r="F169" i="5"/>
  <c r="J169" i="5" s="1"/>
  <c r="F168" i="5"/>
  <c r="H168" i="5" s="1"/>
  <c r="F167" i="5"/>
  <c r="J167" i="5" s="1"/>
  <c r="F166" i="5"/>
  <c r="H166" i="5" s="1"/>
  <c r="F165" i="5"/>
  <c r="J165" i="5" s="1"/>
  <c r="F164" i="5"/>
  <c r="J164" i="5" s="1"/>
  <c r="F163" i="5"/>
  <c r="J163" i="5" s="1"/>
  <c r="F162" i="5"/>
  <c r="H162" i="5" s="1"/>
  <c r="F161" i="5"/>
  <c r="J161" i="5" s="1"/>
  <c r="F160" i="5"/>
  <c r="H160" i="5" s="1"/>
  <c r="F159" i="5"/>
  <c r="J159" i="5" s="1"/>
  <c r="F158" i="5"/>
  <c r="J158" i="5" s="1"/>
  <c r="F157" i="5"/>
  <c r="J157" i="5" s="1"/>
  <c r="F156" i="5"/>
  <c r="J156" i="5" s="1"/>
  <c r="F155" i="5"/>
  <c r="J155" i="5" s="1"/>
  <c r="F154" i="5"/>
  <c r="J154" i="5" s="1"/>
  <c r="F153" i="5"/>
  <c r="H153" i="5" s="1"/>
  <c r="F152" i="5"/>
  <c r="H152" i="5" s="1"/>
  <c r="F151" i="5"/>
  <c r="J151" i="5" s="1"/>
  <c r="F150" i="5"/>
  <c r="J150" i="5" s="1"/>
  <c r="F149" i="5"/>
  <c r="J149" i="5" s="1"/>
  <c r="H148" i="5"/>
  <c r="F148" i="5"/>
  <c r="J148" i="5" s="1"/>
  <c r="F147" i="5"/>
  <c r="J147" i="5" s="1"/>
  <c r="F146" i="5"/>
  <c r="H146" i="5" s="1"/>
  <c r="F145" i="5"/>
  <c r="H145" i="5" s="1"/>
  <c r="F144" i="5"/>
  <c r="J144" i="5" s="1"/>
  <c r="F143" i="5"/>
  <c r="J143" i="5" s="1"/>
  <c r="F142" i="5"/>
  <c r="J142" i="5" s="1"/>
  <c r="F141" i="5"/>
  <c r="H141" i="5" s="1"/>
  <c r="F140" i="5"/>
  <c r="H140" i="5" s="1"/>
  <c r="F139" i="5"/>
  <c r="J139" i="5" s="1"/>
  <c r="F138" i="5"/>
  <c r="J138" i="5" s="1"/>
  <c r="F137" i="5"/>
  <c r="H137" i="5" s="1"/>
  <c r="F136" i="5"/>
  <c r="J136" i="5" s="1"/>
  <c r="F135" i="5"/>
  <c r="H135" i="5" s="1"/>
  <c r="F134" i="5"/>
  <c r="J134" i="5" s="1"/>
  <c r="F133" i="5"/>
  <c r="J133" i="5" s="1"/>
  <c r="F132" i="5"/>
  <c r="J132" i="5" s="1"/>
  <c r="F131" i="5"/>
  <c r="H131" i="5" s="1"/>
  <c r="F130" i="5"/>
  <c r="J130" i="5" s="1"/>
  <c r="D22" i="4"/>
  <c r="D21" i="4"/>
  <c r="D20" i="4"/>
  <c r="E20" i="4" s="1"/>
  <c r="F20" i="4" s="1"/>
  <c r="F129" i="5"/>
  <c r="H129" i="5" s="1"/>
  <c r="F128" i="5"/>
  <c r="J128" i="5" s="1"/>
  <c r="F127" i="5"/>
  <c r="H127" i="5" s="1"/>
  <c r="F126" i="5"/>
  <c r="H126" i="5" s="1"/>
  <c r="F125" i="5"/>
  <c r="J125" i="5" s="1"/>
  <c r="F124" i="5"/>
  <c r="H124" i="5" s="1"/>
  <c r="F123" i="5"/>
  <c r="J123" i="5" s="1"/>
  <c r="F122" i="5"/>
  <c r="H122" i="5" s="1"/>
  <c r="F121" i="5"/>
  <c r="H121" i="5" s="1"/>
  <c r="F120" i="5"/>
  <c r="H120" i="5" s="1"/>
  <c r="F119" i="5"/>
  <c r="J119" i="5" s="1"/>
  <c r="F118" i="5"/>
  <c r="H118" i="5" s="1"/>
  <c r="F117" i="5"/>
  <c r="J117" i="5" s="1"/>
  <c r="F116" i="5"/>
  <c r="H116" i="5" s="1"/>
  <c r="F115" i="5"/>
  <c r="H115" i="5" s="1"/>
  <c r="F114" i="5"/>
  <c r="J114" i="5" s="1"/>
  <c r="F113" i="5"/>
  <c r="J113" i="5" s="1"/>
  <c r="F112" i="5"/>
  <c r="H112" i="5" s="1"/>
  <c r="F111" i="5"/>
  <c r="H111" i="5" s="1"/>
  <c r="F110" i="5"/>
  <c r="H110" i="5" s="1"/>
  <c r="F109" i="5"/>
  <c r="J109" i="5" s="1"/>
  <c r="F108" i="5"/>
  <c r="J108" i="5" s="1"/>
  <c r="F107" i="5"/>
  <c r="J107" i="5" s="1"/>
  <c r="F106" i="5"/>
  <c r="J106" i="5" s="1"/>
  <c r="F105" i="5"/>
  <c r="H105" i="5" s="1"/>
  <c r="F104" i="5"/>
  <c r="H104" i="5" s="1"/>
  <c r="F103" i="5"/>
  <c r="H103" i="5" s="1"/>
  <c r="F102" i="5"/>
  <c r="H102" i="5" s="1"/>
  <c r="F101" i="5"/>
  <c r="J101" i="5" s="1"/>
  <c r="F100" i="5"/>
  <c r="J100" i="5" s="1"/>
  <c r="F99" i="5"/>
  <c r="J99" i="5" s="1"/>
  <c r="F98" i="5"/>
  <c r="H98" i="5" s="1"/>
  <c r="F97" i="5"/>
  <c r="H97" i="5" s="1"/>
  <c r="F96" i="5"/>
  <c r="H96" i="5" s="1"/>
  <c r="F95" i="5"/>
  <c r="H95" i="5" s="1"/>
  <c r="F94" i="5"/>
  <c r="J94" i="5" s="1"/>
  <c r="F93" i="5"/>
  <c r="J93" i="5" s="1"/>
  <c r="H92" i="5"/>
  <c r="F92" i="5"/>
  <c r="J92" i="5" s="1"/>
  <c r="F91" i="5"/>
  <c r="J91" i="5" s="1"/>
  <c r="F90" i="5"/>
  <c r="H90" i="5" s="1"/>
  <c r="J89" i="5"/>
  <c r="F89" i="5"/>
  <c r="H89" i="5" s="1"/>
  <c r="F88" i="5"/>
  <c r="H88" i="5" s="1"/>
  <c r="F87" i="5"/>
  <c r="H87" i="5" s="1"/>
  <c r="F86" i="5"/>
  <c r="J86" i="5" s="1"/>
  <c r="F85" i="5"/>
  <c r="J85" i="5" s="1"/>
  <c r="F84" i="5"/>
  <c r="H84" i="5" s="1"/>
  <c r="F83" i="5"/>
  <c r="J83" i="5" s="1"/>
  <c r="F82" i="5"/>
  <c r="J82" i="5" s="1"/>
  <c r="F81" i="5"/>
  <c r="H81" i="5" s="1"/>
  <c r="F80" i="5"/>
  <c r="H80" i="5" s="1"/>
  <c r="F79" i="5"/>
  <c r="H79" i="5" s="1"/>
  <c r="F78" i="5"/>
  <c r="H78" i="5" s="1"/>
  <c r="F77" i="5"/>
  <c r="J77" i="5" s="1"/>
  <c r="F76" i="5"/>
  <c r="H76" i="5" s="1"/>
  <c r="F75" i="5"/>
  <c r="J75" i="5" s="1"/>
  <c r="F74" i="5"/>
  <c r="H74" i="5" s="1"/>
  <c r="F73" i="5"/>
  <c r="H73" i="5" s="1"/>
  <c r="F72" i="5"/>
  <c r="H72" i="5" s="1"/>
  <c r="F71" i="5"/>
  <c r="J71" i="5" s="1"/>
  <c r="F70" i="5"/>
  <c r="H70" i="5" s="1"/>
  <c r="F69" i="5"/>
  <c r="J69" i="5" s="1"/>
  <c r="F68" i="5"/>
  <c r="J68" i="5" s="1"/>
  <c r="F67" i="5"/>
  <c r="J67" i="5" s="1"/>
  <c r="F66" i="5"/>
  <c r="H66" i="5" s="1"/>
  <c r="F65" i="5"/>
  <c r="H65" i="5" s="1"/>
  <c r="F64" i="5"/>
  <c r="J64" i="5" s="1"/>
  <c r="F63" i="5"/>
  <c r="H63" i="5" s="1"/>
  <c r="F62" i="5"/>
  <c r="H62" i="5" s="1"/>
  <c r="F61" i="5"/>
  <c r="J61" i="5" s="1"/>
  <c r="F60" i="5"/>
  <c r="J60" i="5" s="1"/>
  <c r="F59" i="5"/>
  <c r="H59" i="5" s="1"/>
  <c r="H58" i="5"/>
  <c r="F58" i="5"/>
  <c r="J58" i="5" s="1"/>
  <c r="F57" i="5"/>
  <c r="H57" i="5" s="1"/>
  <c r="F56" i="5"/>
  <c r="J56" i="5" s="1"/>
  <c r="F55" i="5"/>
  <c r="H55" i="5" s="1"/>
  <c r="F54" i="5"/>
  <c r="H54" i="5" s="1"/>
  <c r="F53" i="5"/>
  <c r="J53" i="5" s="1"/>
  <c r="F52" i="5"/>
  <c r="J52" i="5" s="1"/>
  <c r="F51" i="5"/>
  <c r="H51" i="5" s="1"/>
  <c r="F50" i="5"/>
  <c r="H50" i="5" s="1"/>
  <c r="F49" i="5"/>
  <c r="J49" i="5" s="1"/>
  <c r="F48" i="5"/>
  <c r="J48" i="5" s="1"/>
  <c r="F47" i="5"/>
  <c r="J47" i="5" s="1"/>
  <c r="F46" i="5"/>
  <c r="J46" i="5" s="1"/>
  <c r="F45" i="5"/>
  <c r="J45" i="5" s="1"/>
  <c r="F44" i="5"/>
  <c r="H44" i="5" s="1"/>
  <c r="F43" i="5"/>
  <c r="J43" i="5" s="1"/>
  <c r="F42" i="5"/>
  <c r="H42" i="5" s="1"/>
  <c r="F41" i="5"/>
  <c r="H41" i="5" s="1"/>
  <c r="F40" i="5"/>
  <c r="H40" i="5" s="1"/>
  <c r="F39" i="5"/>
  <c r="J39" i="5" s="1"/>
  <c r="F38" i="5"/>
  <c r="J38" i="5" s="1"/>
  <c r="F37" i="5"/>
  <c r="J37" i="5" s="1"/>
  <c r="F36" i="5"/>
  <c r="H36" i="5" s="1"/>
  <c r="F35" i="5"/>
  <c r="J35" i="5" s="1"/>
  <c r="F34" i="5"/>
  <c r="H34" i="5" s="1"/>
  <c r="F33" i="5"/>
  <c r="J33" i="5" s="1"/>
  <c r="F32" i="5"/>
  <c r="J32" i="5" s="1"/>
  <c r="F31" i="5"/>
  <c r="H31" i="5" s="1"/>
  <c r="F30" i="5"/>
  <c r="H30" i="5" s="1"/>
  <c r="F29" i="5"/>
  <c r="F28" i="5"/>
  <c r="H28" i="5" s="1"/>
  <c r="F27" i="5"/>
  <c r="F26" i="5"/>
  <c r="H26" i="5" s="1"/>
  <c r="F25" i="5"/>
  <c r="H25" i="5" s="1"/>
  <c r="F24" i="5"/>
  <c r="H24" i="5" s="1"/>
  <c r="F23" i="5"/>
  <c r="H23" i="5" s="1"/>
  <c r="F22" i="5"/>
  <c r="H22" i="5" s="1"/>
  <c r="F21" i="5"/>
  <c r="H20" i="5"/>
  <c r="F20" i="5"/>
  <c r="J20" i="5" s="1"/>
  <c r="F19" i="5"/>
  <c r="J19" i="5" s="1"/>
  <c r="F18" i="5"/>
  <c r="H18" i="5" s="1"/>
  <c r="F3" i="5"/>
  <c r="H3" i="5" s="1"/>
  <c r="F4" i="5"/>
  <c r="H4" i="5" s="1"/>
  <c r="F5" i="5"/>
  <c r="H5" i="5" s="1"/>
  <c r="F6" i="5"/>
  <c r="H6" i="5" s="1"/>
  <c r="F7" i="5"/>
  <c r="H7" i="5" s="1"/>
  <c r="F8" i="5"/>
  <c r="H8" i="5" s="1"/>
  <c r="F9" i="5"/>
  <c r="H9" i="5" s="1"/>
  <c r="F10" i="5"/>
  <c r="H10" i="5" s="1"/>
  <c r="F11" i="5"/>
  <c r="H11" i="5" s="1"/>
  <c r="F12" i="5"/>
  <c r="H12" i="5" s="1"/>
  <c r="F13" i="5"/>
  <c r="H13" i="5" s="1"/>
  <c r="F14" i="5"/>
  <c r="H14" i="5" s="1"/>
  <c r="F15" i="5"/>
  <c r="H15" i="5" s="1"/>
  <c r="F16" i="5"/>
  <c r="H16" i="5" s="1"/>
  <c r="F17" i="5"/>
  <c r="H17" i="5" s="1"/>
  <c r="F2" i="5"/>
  <c r="H2" i="5" s="1"/>
  <c r="W188" i="5" l="1"/>
  <c r="U186" i="5"/>
  <c r="U172" i="5"/>
  <c r="U154" i="5"/>
  <c r="H107" i="5"/>
  <c r="H173" i="5"/>
  <c r="U106" i="5"/>
  <c r="W113" i="5"/>
  <c r="W161" i="5"/>
  <c r="J41" i="5"/>
  <c r="J115" i="5"/>
  <c r="U156" i="5"/>
  <c r="J104" i="5"/>
  <c r="U130" i="5"/>
  <c r="W175" i="5"/>
  <c r="W193" i="5"/>
  <c r="J105" i="5"/>
  <c r="J185" i="5"/>
  <c r="U4" i="5"/>
  <c r="W58" i="5"/>
  <c r="W183" i="5"/>
  <c r="W143" i="5"/>
  <c r="W138" i="5"/>
  <c r="U137" i="5"/>
  <c r="U132" i="5"/>
  <c r="W126" i="5"/>
  <c r="U122" i="5"/>
  <c r="W119" i="5"/>
  <c r="U108" i="5"/>
  <c r="U102" i="5"/>
  <c r="W95" i="5"/>
  <c r="U90" i="5"/>
  <c r="U86" i="5"/>
  <c r="W81" i="5"/>
  <c r="W79" i="5"/>
  <c r="W73" i="5"/>
  <c r="U70" i="5"/>
  <c r="U68" i="5"/>
  <c r="W63" i="5"/>
  <c r="W49" i="5"/>
  <c r="U44" i="5"/>
  <c r="W39" i="5"/>
  <c r="U36" i="5"/>
  <c r="W34" i="5"/>
  <c r="W25" i="5"/>
  <c r="U22" i="5"/>
  <c r="W15" i="5"/>
  <c r="W9" i="5"/>
  <c r="W6" i="5"/>
  <c r="U2" i="5"/>
  <c r="N15" i="6"/>
  <c r="N16" i="6" s="1"/>
  <c r="P15" i="6"/>
  <c r="P16" i="6" s="1"/>
  <c r="R15" i="6"/>
  <c r="R16" i="6" s="1"/>
  <c r="DP17" i="3"/>
  <c r="DP11" i="3"/>
  <c r="DP9" i="3"/>
  <c r="DP3" i="3"/>
  <c r="J189" i="5"/>
  <c r="J186" i="5"/>
  <c r="U12" i="5"/>
  <c r="W55" i="5"/>
  <c r="U114" i="5"/>
  <c r="W17" i="5"/>
  <c r="U26" i="5"/>
  <c r="W31" i="5"/>
  <c r="W41" i="5"/>
  <c r="W50" i="5"/>
  <c r="U60" i="5"/>
  <c r="W65" i="5"/>
  <c r="U74" i="5"/>
  <c r="U92" i="5"/>
  <c r="W97" i="5"/>
  <c r="U110" i="5"/>
  <c r="U140" i="5"/>
  <c r="U145" i="5"/>
  <c r="W148" i="5"/>
  <c r="W162" i="5"/>
  <c r="W167" i="5"/>
  <c r="W180" i="5"/>
  <c r="W153" i="5"/>
  <c r="W185" i="5"/>
  <c r="U14" i="5"/>
  <c r="U18" i="5"/>
  <c r="U42" i="5"/>
  <c r="W47" i="5"/>
  <c r="W57" i="5"/>
  <c r="U66" i="5"/>
  <c r="U84" i="5"/>
  <c r="W89" i="5"/>
  <c r="U98" i="5"/>
  <c r="W111" i="5"/>
  <c r="U124" i="5"/>
  <c r="U129" i="5"/>
  <c r="W159" i="5"/>
  <c r="W191" i="5"/>
  <c r="W127" i="5"/>
  <c r="U10" i="5"/>
  <c r="W23" i="5"/>
  <c r="W33" i="5"/>
  <c r="U52" i="5"/>
  <c r="U62" i="5"/>
  <c r="W71" i="5"/>
  <c r="U94" i="5"/>
  <c r="U116" i="5"/>
  <c r="W142" i="5"/>
  <c r="U146" i="5"/>
  <c r="U164" i="5"/>
  <c r="W169" i="5"/>
  <c r="U178" i="5"/>
  <c r="U28" i="5"/>
  <c r="U76" i="5"/>
  <c r="W103" i="5"/>
  <c r="W121" i="5"/>
  <c r="W134" i="5"/>
  <c r="W151" i="5"/>
  <c r="U78" i="5"/>
  <c r="W87" i="5"/>
  <c r="W105" i="5"/>
  <c r="W7" i="5"/>
  <c r="U21" i="5"/>
  <c r="U77" i="5"/>
  <c r="U181" i="5"/>
  <c r="U5" i="5"/>
  <c r="U13" i="5"/>
  <c r="U29" i="5"/>
  <c r="U69" i="5"/>
  <c r="U101" i="5"/>
  <c r="U173" i="5"/>
  <c r="U16" i="5"/>
  <c r="W37" i="5"/>
  <c r="U40" i="5"/>
  <c r="W45" i="5"/>
  <c r="U48" i="5"/>
  <c r="W53" i="5"/>
  <c r="W61" i="5"/>
  <c r="U72" i="5"/>
  <c r="U80" i="5"/>
  <c r="W85" i="5"/>
  <c r="U88" i="5"/>
  <c r="W93" i="5"/>
  <c r="U96" i="5"/>
  <c r="U104" i="5"/>
  <c r="W109" i="5"/>
  <c r="U112" i="5"/>
  <c r="W117" i="5"/>
  <c r="U120" i="5"/>
  <c r="W125" i="5"/>
  <c r="U128" i="5"/>
  <c r="W133" i="5"/>
  <c r="U136" i="5"/>
  <c r="W141" i="5"/>
  <c r="U144" i="5"/>
  <c r="W149" i="5"/>
  <c r="U152" i="5"/>
  <c r="W157" i="5"/>
  <c r="U160" i="5"/>
  <c r="W165" i="5"/>
  <c r="U168" i="5"/>
  <c r="U176" i="5"/>
  <c r="U184" i="5"/>
  <c r="W189" i="5"/>
  <c r="U192" i="5"/>
  <c r="U8" i="5"/>
  <c r="U24" i="5"/>
  <c r="U64" i="5"/>
  <c r="U3" i="5"/>
  <c r="U11" i="5"/>
  <c r="U19" i="5"/>
  <c r="U27" i="5"/>
  <c r="W32" i="5"/>
  <c r="U35" i="5"/>
  <c r="U43" i="5"/>
  <c r="U51" i="5"/>
  <c r="W56" i="5"/>
  <c r="U59" i="5"/>
  <c r="U67" i="5"/>
  <c r="U75" i="5"/>
  <c r="U83" i="5"/>
  <c r="U91" i="5"/>
  <c r="U99" i="5"/>
  <c r="U107" i="5"/>
  <c r="U115" i="5"/>
  <c r="U123" i="5"/>
  <c r="U131" i="5"/>
  <c r="U139" i="5"/>
  <c r="U147" i="5"/>
  <c r="U155" i="5"/>
  <c r="U163" i="5"/>
  <c r="U171" i="5"/>
  <c r="U179" i="5"/>
  <c r="U187" i="5"/>
  <c r="U30" i="5"/>
  <c r="U38" i="5"/>
  <c r="U46" i="5"/>
  <c r="U54" i="5"/>
  <c r="U150" i="5"/>
  <c r="U158" i="5"/>
  <c r="U166" i="5"/>
  <c r="U174" i="5"/>
  <c r="U182" i="5"/>
  <c r="U190" i="5"/>
  <c r="P18" i="4"/>
  <c r="Q18" i="4" s="1"/>
  <c r="P2" i="4"/>
  <c r="Q2" i="4" s="1"/>
  <c r="Q10" i="4"/>
  <c r="P10" i="4"/>
  <c r="Q6" i="4"/>
  <c r="Q3" i="4"/>
  <c r="P6" i="4"/>
  <c r="Q11" i="4"/>
  <c r="P14" i="4"/>
  <c r="Q14" i="4" s="1"/>
  <c r="T5" i="4" s="1"/>
  <c r="Q19" i="4"/>
  <c r="T6" i="4" s="1"/>
  <c r="P22" i="4"/>
  <c r="Q22" i="4" s="1"/>
  <c r="P4" i="4"/>
  <c r="Q4" i="4" s="1"/>
  <c r="P12" i="4"/>
  <c r="Q12" i="4" s="1"/>
  <c r="P20" i="4"/>
  <c r="Q20" i="4" s="1"/>
  <c r="R3" i="6"/>
  <c r="Q5" i="6"/>
  <c r="R5" i="6" s="1"/>
  <c r="K5" i="6"/>
  <c r="N6" i="6"/>
  <c r="L16" i="6"/>
  <c r="M16" i="6"/>
  <c r="O16" i="6"/>
  <c r="H181" i="5"/>
  <c r="J190" i="5"/>
  <c r="J182" i="5"/>
  <c r="J178" i="5"/>
  <c r="H193" i="5"/>
  <c r="H180" i="5"/>
  <c r="H188" i="5"/>
  <c r="H183" i="5"/>
  <c r="H191" i="5"/>
  <c r="H179" i="5"/>
  <c r="J184" i="5"/>
  <c r="H187" i="5"/>
  <c r="J192" i="5"/>
  <c r="H177" i="5"/>
  <c r="J174" i="5"/>
  <c r="J170" i="5"/>
  <c r="H169" i="5"/>
  <c r="J166" i="5"/>
  <c r="H165" i="5"/>
  <c r="J162" i="5"/>
  <c r="J153" i="5"/>
  <c r="J152" i="5"/>
  <c r="H151" i="5"/>
  <c r="H164" i="5"/>
  <c r="H172" i="5"/>
  <c r="H167" i="5"/>
  <c r="H175" i="5"/>
  <c r="H176" i="5"/>
  <c r="H163" i="5"/>
  <c r="J168" i="5"/>
  <c r="H171" i="5"/>
  <c r="H147" i="5"/>
  <c r="H159" i="5"/>
  <c r="H155" i="5"/>
  <c r="H156" i="5"/>
  <c r="J160" i="5"/>
  <c r="H161" i="5"/>
  <c r="H154" i="5"/>
  <c r="J146" i="5"/>
  <c r="H149" i="5"/>
  <c r="H157" i="5"/>
  <c r="H150" i="5"/>
  <c r="H158" i="5"/>
  <c r="J145" i="5"/>
  <c r="J140" i="5"/>
  <c r="H139" i="5"/>
  <c r="J131" i="5"/>
  <c r="H132" i="5"/>
  <c r="J137" i="5"/>
  <c r="H142" i="5"/>
  <c r="H134" i="5"/>
  <c r="H143" i="5"/>
  <c r="H130" i="5"/>
  <c r="J135" i="5"/>
  <c r="H138" i="5"/>
  <c r="H133" i="5"/>
  <c r="H136" i="5"/>
  <c r="J141" i="5"/>
  <c r="H144" i="5"/>
  <c r="E21" i="4"/>
  <c r="F21" i="4" s="1"/>
  <c r="E22" i="4"/>
  <c r="F22" i="4" s="1"/>
  <c r="J129" i="5"/>
  <c r="J120" i="5"/>
  <c r="J118" i="5"/>
  <c r="J121" i="5"/>
  <c r="J126" i="5"/>
  <c r="H123" i="5"/>
  <c r="J116" i="5"/>
  <c r="J124" i="5"/>
  <c r="H114" i="5"/>
  <c r="J127" i="5"/>
  <c r="H117" i="5"/>
  <c r="J122" i="5"/>
  <c r="H125" i="5"/>
  <c r="H128" i="5"/>
  <c r="H119" i="5"/>
  <c r="J110" i="5"/>
  <c r="H106" i="5"/>
  <c r="J98" i="5"/>
  <c r="H99" i="5"/>
  <c r="J111" i="5"/>
  <c r="J103" i="5"/>
  <c r="J112" i="5"/>
  <c r="H113" i="5"/>
  <c r="J102" i="5"/>
  <c r="H100" i="5"/>
  <c r="H108" i="5"/>
  <c r="H101" i="5"/>
  <c r="H109" i="5"/>
  <c r="J97" i="5"/>
  <c r="J88" i="5"/>
  <c r="J84" i="5"/>
  <c r="H91" i="5"/>
  <c r="J96" i="5"/>
  <c r="H83" i="5"/>
  <c r="H82" i="5"/>
  <c r="J87" i="5"/>
  <c r="J95" i="5"/>
  <c r="H85" i="5"/>
  <c r="J90" i="5"/>
  <c r="H93" i="5"/>
  <c r="H86" i="5"/>
  <c r="H94" i="5"/>
  <c r="J81" i="5"/>
  <c r="J80" i="5"/>
  <c r="J72" i="5"/>
  <c r="J78" i="5"/>
  <c r="J73" i="5"/>
  <c r="J70" i="5"/>
  <c r="H67" i="5"/>
  <c r="H75" i="5"/>
  <c r="H68" i="5"/>
  <c r="H71" i="5"/>
  <c r="J76" i="5"/>
  <c r="J79" i="5"/>
  <c r="J66" i="5"/>
  <c r="H69" i="5"/>
  <c r="J74" i="5"/>
  <c r="H77" i="5"/>
  <c r="J62" i="5"/>
  <c r="J59" i="5"/>
  <c r="J54" i="5"/>
  <c r="J51" i="5"/>
  <c r="J50" i="5"/>
  <c r="J57" i="5"/>
  <c r="J65" i="5"/>
  <c r="J63" i="5"/>
  <c r="J55" i="5"/>
  <c r="H52" i="5"/>
  <c r="H60" i="5"/>
  <c r="H53" i="5"/>
  <c r="H61" i="5"/>
  <c r="H56" i="5"/>
  <c r="H64" i="5"/>
  <c r="J40" i="5"/>
  <c r="H35" i="5"/>
  <c r="J44" i="5"/>
  <c r="H47" i="5"/>
  <c r="H39" i="5"/>
  <c r="J36" i="5"/>
  <c r="H43" i="5"/>
  <c r="J34" i="5"/>
  <c r="H37" i="5"/>
  <c r="J42" i="5"/>
  <c r="H45" i="5"/>
  <c r="H48" i="5"/>
  <c r="H38" i="5"/>
  <c r="H46" i="5"/>
  <c r="H49" i="5"/>
  <c r="H33" i="5"/>
  <c r="J28" i="5"/>
  <c r="J24" i="5"/>
  <c r="J29" i="5"/>
  <c r="J27" i="5"/>
  <c r="J21" i="5"/>
  <c r="J25" i="5"/>
  <c r="J30" i="5"/>
  <c r="J22" i="5"/>
  <c r="H32" i="5"/>
  <c r="J23" i="5"/>
  <c r="J31" i="5"/>
  <c r="J18" i="5"/>
  <c r="H21" i="5"/>
  <c r="J26" i="5"/>
  <c r="H29" i="5"/>
  <c r="H19" i="5"/>
  <c r="H27" i="5"/>
  <c r="DF17" i="3"/>
  <c r="DH17" i="3" s="1"/>
  <c r="DF16" i="3"/>
  <c r="DF15" i="3"/>
  <c r="DH15" i="3" s="1"/>
  <c r="DF14" i="3"/>
  <c r="DH14" i="3" s="1"/>
  <c r="DF13" i="3"/>
  <c r="DF12" i="3"/>
  <c r="DF11" i="3"/>
  <c r="DH11" i="3" s="1"/>
  <c r="DF10" i="3"/>
  <c r="DH10" i="3" s="1"/>
  <c r="DF9" i="3"/>
  <c r="DH9" i="3" s="1"/>
  <c r="DF8" i="3"/>
  <c r="DH8" i="3" s="1"/>
  <c r="DF7" i="3"/>
  <c r="DH7" i="3" s="1"/>
  <c r="DF6" i="3"/>
  <c r="DH6" i="3" s="1"/>
  <c r="DF5" i="3"/>
  <c r="DH5" i="3" s="1"/>
  <c r="DF4" i="3"/>
  <c r="DH4" i="3" s="1"/>
  <c r="DF3" i="3"/>
  <c r="DH3" i="3" s="1"/>
  <c r="DF2" i="3"/>
  <c r="DH2" i="3" s="1"/>
  <c r="FC4" i="2"/>
  <c r="FC5" i="2"/>
  <c r="FD5" i="2" s="1"/>
  <c r="FC6" i="2"/>
  <c r="FD6" i="2" s="1"/>
  <c r="FC7" i="2"/>
  <c r="FC8" i="2"/>
  <c r="FC9" i="2"/>
  <c r="FD9" i="2" s="1"/>
  <c r="FC10" i="2"/>
  <c r="FD10" i="2" s="1"/>
  <c r="FC11" i="2"/>
  <c r="FD11" i="2" s="1"/>
  <c r="FC12" i="2"/>
  <c r="FD12" i="2" s="1"/>
  <c r="FC13" i="2"/>
  <c r="FD13" i="2" s="1"/>
  <c r="FC14" i="2"/>
  <c r="FD14" i="2" s="1"/>
  <c r="FC15" i="2"/>
  <c r="FD15" i="2" s="1"/>
  <c r="FC16" i="2"/>
  <c r="FD16" i="2" s="1"/>
  <c r="FC17" i="2"/>
  <c r="FD17" i="2" s="1"/>
  <c r="FC18" i="2"/>
  <c r="FD18" i="2" s="1"/>
  <c r="FC3" i="2"/>
  <c r="FD3" i="2" s="1"/>
  <c r="FD8" i="2"/>
  <c r="FD7" i="2"/>
  <c r="FD4" i="2"/>
  <c r="CX17" i="3"/>
  <c r="CZ17" i="3" s="1"/>
  <c r="CX16" i="3"/>
  <c r="CZ16" i="3" s="1"/>
  <c r="CX15" i="3"/>
  <c r="CZ15" i="3" s="1"/>
  <c r="CX14" i="3"/>
  <c r="CZ14" i="3" s="1"/>
  <c r="CX13" i="3"/>
  <c r="CZ13" i="3" s="1"/>
  <c r="CX12" i="3"/>
  <c r="CZ12" i="3" s="1"/>
  <c r="CX11" i="3"/>
  <c r="CZ11" i="3" s="1"/>
  <c r="CX10" i="3"/>
  <c r="CZ10" i="3" s="1"/>
  <c r="CX9" i="3"/>
  <c r="CZ9" i="3" s="1"/>
  <c r="CX8" i="3"/>
  <c r="CZ8" i="3" s="1"/>
  <c r="CX7" i="3"/>
  <c r="CZ7" i="3" s="1"/>
  <c r="CX6" i="3"/>
  <c r="CZ6" i="3" s="1"/>
  <c r="CX5" i="3"/>
  <c r="CZ5" i="3" s="1"/>
  <c r="CX4" i="3"/>
  <c r="CZ4" i="3" s="1"/>
  <c r="CX3" i="3"/>
  <c r="CZ3" i="3" s="1"/>
  <c r="CX2" i="3"/>
  <c r="CZ2" i="3" s="1"/>
  <c r="EV4" i="2"/>
  <c r="EW4" i="2" s="1"/>
  <c r="EV5" i="2"/>
  <c r="EW5" i="2" s="1"/>
  <c r="EV6" i="2"/>
  <c r="EV7" i="2"/>
  <c r="EV8" i="2"/>
  <c r="EW8" i="2" s="1"/>
  <c r="EV9" i="2"/>
  <c r="EV10" i="2"/>
  <c r="EV11" i="2"/>
  <c r="EV12" i="2"/>
  <c r="EW12" i="2" s="1"/>
  <c r="EV13" i="2"/>
  <c r="EW13" i="2" s="1"/>
  <c r="EV14" i="2"/>
  <c r="EV15" i="2"/>
  <c r="EV16" i="2"/>
  <c r="EW16" i="2" s="1"/>
  <c r="EV17" i="2"/>
  <c r="EV18" i="2"/>
  <c r="EV3" i="2"/>
  <c r="EW18" i="2"/>
  <c r="EW17" i="2"/>
  <c r="EW15" i="2"/>
  <c r="EW14" i="2"/>
  <c r="EW11" i="2"/>
  <c r="EW10" i="2"/>
  <c r="EW9" i="2"/>
  <c r="EW7" i="2"/>
  <c r="EW6" i="2"/>
  <c r="EW3" i="2"/>
  <c r="EO4" i="2"/>
  <c r="EO5" i="2"/>
  <c r="EO6" i="2"/>
  <c r="EP6" i="2" s="1"/>
  <c r="EO7" i="2"/>
  <c r="EP7" i="2" s="1"/>
  <c r="EO8" i="2"/>
  <c r="EP8" i="2" s="1"/>
  <c r="EO9" i="2"/>
  <c r="EO10" i="2"/>
  <c r="EP10" i="2" s="1"/>
  <c r="EO11" i="2"/>
  <c r="EP11" i="2" s="1"/>
  <c r="EO12" i="2"/>
  <c r="EP12" i="2" s="1"/>
  <c r="EO13" i="2"/>
  <c r="EP13" i="2" s="1"/>
  <c r="EO14" i="2"/>
  <c r="EP14" i="2" s="1"/>
  <c r="EO15" i="2"/>
  <c r="EO16" i="2"/>
  <c r="EP16" i="2" s="1"/>
  <c r="EO17" i="2"/>
  <c r="EP17" i="2" s="1"/>
  <c r="EO18" i="2"/>
  <c r="EO3" i="2"/>
  <c r="EP3" i="2" s="1"/>
  <c r="EP18" i="2"/>
  <c r="EP15" i="2"/>
  <c r="EP9" i="2"/>
  <c r="EP5" i="2"/>
  <c r="EP4" i="2"/>
  <c r="CP17" i="3"/>
  <c r="CP16" i="3"/>
  <c r="CP15" i="3"/>
  <c r="CP14" i="3"/>
  <c r="CR14" i="3" s="1"/>
  <c r="CP13" i="3"/>
  <c r="CR13" i="3" s="1"/>
  <c r="CP12" i="3"/>
  <c r="CR12" i="3" s="1"/>
  <c r="CP11" i="3"/>
  <c r="CP10" i="3"/>
  <c r="CR10" i="3" s="1"/>
  <c r="CP9" i="3"/>
  <c r="CP8" i="3"/>
  <c r="CP7" i="3"/>
  <c r="CP6" i="3"/>
  <c r="CR6" i="3" s="1"/>
  <c r="CP5" i="3"/>
  <c r="CR5" i="3" s="1"/>
  <c r="CP4" i="3"/>
  <c r="CR4" i="3" s="1"/>
  <c r="CP3" i="3"/>
  <c r="CP2" i="3"/>
  <c r="CR2" i="3" s="1"/>
  <c r="CH17" i="3"/>
  <c r="CH16" i="3"/>
  <c r="CH15" i="3"/>
  <c r="CJ15" i="3" s="1"/>
  <c r="CH14" i="3"/>
  <c r="CH13" i="3"/>
  <c r="CJ13" i="3" s="1"/>
  <c r="CH12" i="3"/>
  <c r="CJ12" i="3" s="1"/>
  <c r="CH11" i="3"/>
  <c r="CJ11" i="3" s="1"/>
  <c r="CH10" i="3"/>
  <c r="CJ10" i="3" s="1"/>
  <c r="CH9" i="3"/>
  <c r="CJ9" i="3" s="1"/>
  <c r="CH8" i="3"/>
  <c r="CJ8" i="3" s="1"/>
  <c r="CH7" i="3"/>
  <c r="CJ7" i="3" s="1"/>
  <c r="CH6" i="3"/>
  <c r="CH5" i="3"/>
  <c r="CJ5" i="3" s="1"/>
  <c r="CH4" i="3"/>
  <c r="CJ4" i="3" s="1"/>
  <c r="CH3" i="3"/>
  <c r="CJ3" i="3" s="1"/>
  <c r="CH2" i="3"/>
  <c r="CJ2" i="3" s="1"/>
  <c r="EH4" i="2"/>
  <c r="EH5" i="2"/>
  <c r="EH6" i="2"/>
  <c r="EI6" i="2" s="1"/>
  <c r="EH7" i="2"/>
  <c r="EH8" i="2"/>
  <c r="EH9" i="2"/>
  <c r="EI9" i="2" s="1"/>
  <c r="EH10" i="2"/>
  <c r="EI10" i="2" s="1"/>
  <c r="EH11" i="2"/>
  <c r="EH12" i="2"/>
  <c r="EH13" i="2"/>
  <c r="EH14" i="2"/>
  <c r="EI14" i="2" s="1"/>
  <c r="EH15" i="2"/>
  <c r="EH16" i="2"/>
  <c r="EH17" i="2"/>
  <c r="EI17" i="2" s="1"/>
  <c r="EH18" i="2"/>
  <c r="EI18" i="2" s="1"/>
  <c r="EH3" i="2"/>
  <c r="EI3" i="2" s="1"/>
  <c r="EI16" i="2"/>
  <c r="EI15" i="2"/>
  <c r="EI13" i="2"/>
  <c r="EI12" i="2"/>
  <c r="EI11" i="2"/>
  <c r="EI8" i="2"/>
  <c r="EI7" i="2"/>
  <c r="EI5" i="2"/>
  <c r="EI4" i="2"/>
  <c r="CB2" i="3"/>
  <c r="BZ17" i="3"/>
  <c r="BZ16" i="3"/>
  <c r="CB16" i="3" s="1"/>
  <c r="BZ15" i="3"/>
  <c r="CB15" i="3" s="1"/>
  <c r="CB14" i="3"/>
  <c r="BZ14" i="3"/>
  <c r="BZ13" i="3"/>
  <c r="CB13" i="3" s="1"/>
  <c r="BZ12" i="3"/>
  <c r="BZ11" i="3"/>
  <c r="CB11" i="3" s="1"/>
  <c r="CB10" i="3"/>
  <c r="BZ10" i="3"/>
  <c r="BZ9" i="3"/>
  <c r="BZ8" i="3"/>
  <c r="BZ7" i="3"/>
  <c r="CB7" i="3" s="1"/>
  <c r="CB6" i="3"/>
  <c r="BZ6" i="3"/>
  <c r="BZ5" i="3"/>
  <c r="CB5" i="3" s="1"/>
  <c r="BZ4" i="3"/>
  <c r="CB4" i="3" s="1"/>
  <c r="BZ3" i="3"/>
  <c r="CB3" i="3" s="1"/>
  <c r="BZ2" i="3"/>
  <c r="EA4" i="2"/>
  <c r="EA5" i="2"/>
  <c r="EA6" i="2"/>
  <c r="EB6" i="2" s="1"/>
  <c r="EA7" i="2"/>
  <c r="EA8" i="2"/>
  <c r="EA9" i="2"/>
  <c r="EB9" i="2" s="1"/>
  <c r="EA10" i="2"/>
  <c r="EA11" i="2"/>
  <c r="EA12" i="2"/>
  <c r="EA13" i="2"/>
  <c r="EA14" i="2"/>
  <c r="EB14" i="2" s="1"/>
  <c r="EA15" i="2"/>
  <c r="EA16" i="2"/>
  <c r="EA17" i="2"/>
  <c r="EB17" i="2" s="1"/>
  <c r="EA18" i="2"/>
  <c r="EB18" i="2" s="1"/>
  <c r="EA3" i="2"/>
  <c r="EB16" i="2"/>
  <c r="EB15" i="2"/>
  <c r="EB13" i="2"/>
  <c r="EB12" i="2"/>
  <c r="EB11" i="2"/>
  <c r="EB10" i="2"/>
  <c r="EB8" i="2"/>
  <c r="EB7" i="2"/>
  <c r="EB5" i="2"/>
  <c r="EB4" i="2"/>
  <c r="EB3" i="2"/>
  <c r="BT15" i="3"/>
  <c r="BT9" i="3"/>
  <c r="BT7" i="3"/>
  <c r="BT3" i="3"/>
  <c r="BT17" i="3"/>
  <c r="BR17" i="3"/>
  <c r="BR16" i="3"/>
  <c r="BT16" i="3" s="1"/>
  <c r="BR15" i="3"/>
  <c r="BR14" i="3"/>
  <c r="BT14" i="3" s="1"/>
  <c r="BT13" i="3"/>
  <c r="BR13" i="3"/>
  <c r="BR12" i="3"/>
  <c r="BT12" i="3" s="1"/>
  <c r="BT11" i="3"/>
  <c r="BR11" i="3"/>
  <c r="BR10" i="3"/>
  <c r="BT10" i="3" s="1"/>
  <c r="BR9" i="3"/>
  <c r="BR8" i="3"/>
  <c r="BR7" i="3"/>
  <c r="BR6" i="3"/>
  <c r="BT6" i="3" s="1"/>
  <c r="BT5" i="3"/>
  <c r="BR5" i="3"/>
  <c r="BR4" i="3"/>
  <c r="BR3" i="3"/>
  <c r="BR2" i="3"/>
  <c r="BT2" i="3" s="1"/>
  <c r="DT4" i="2"/>
  <c r="DU4" i="2" s="1"/>
  <c r="DT5" i="2"/>
  <c r="DU5" i="2" s="1"/>
  <c r="DT6" i="2"/>
  <c r="DT7" i="2"/>
  <c r="DT8" i="2"/>
  <c r="DU8" i="2" s="1"/>
  <c r="DT9" i="2"/>
  <c r="DT10" i="2"/>
  <c r="DT11" i="2"/>
  <c r="DU11" i="2" s="1"/>
  <c r="DT12" i="2"/>
  <c r="DU12" i="2" s="1"/>
  <c r="DT13" i="2"/>
  <c r="DU13" i="2" s="1"/>
  <c r="DT14" i="2"/>
  <c r="DT15" i="2"/>
  <c r="DT16" i="2"/>
  <c r="DU16" i="2" s="1"/>
  <c r="DT17" i="2"/>
  <c r="DT18" i="2"/>
  <c r="DT3" i="2"/>
  <c r="DU3" i="2" s="1"/>
  <c r="DU18" i="2"/>
  <c r="DU17" i="2"/>
  <c r="DU15" i="2"/>
  <c r="DU14" i="2"/>
  <c r="DU10" i="2"/>
  <c r="DU9" i="2"/>
  <c r="DU7" i="2"/>
  <c r="DU6" i="2"/>
  <c r="C15" i="6"/>
  <c r="C16" i="6" s="1"/>
  <c r="I14" i="6"/>
  <c r="H14" i="6"/>
  <c r="H15" i="6" s="1"/>
  <c r="G14" i="6"/>
  <c r="G15" i="6" s="1"/>
  <c r="F14" i="6"/>
  <c r="F15" i="6" s="1"/>
  <c r="E14" i="6"/>
  <c r="E15" i="6" s="1"/>
  <c r="D14" i="6"/>
  <c r="D15" i="6" s="1"/>
  <c r="D16" i="6" s="1"/>
  <c r="C14" i="6"/>
  <c r="L6" i="6" l="1"/>
  <c r="Q6" i="6"/>
  <c r="R6" i="6" s="1"/>
  <c r="N7" i="6"/>
  <c r="K6" i="6"/>
  <c r="DH16" i="3"/>
  <c r="DH12" i="3"/>
  <c r="DH13" i="3"/>
  <c r="CR7" i="3"/>
  <c r="CR15" i="3"/>
  <c r="CR8" i="3"/>
  <c r="CR16" i="3"/>
  <c r="CR9" i="3"/>
  <c r="CR17" i="3"/>
  <c r="CR3" i="3"/>
  <c r="CR11" i="3"/>
  <c r="CJ14" i="3"/>
  <c r="CJ16" i="3"/>
  <c r="CJ17" i="3"/>
  <c r="CJ6" i="3"/>
  <c r="CB17" i="3"/>
  <c r="CB12" i="3"/>
  <c r="CB8" i="3"/>
  <c r="CB9" i="3"/>
  <c r="BT8" i="3"/>
  <c r="BT4" i="3"/>
  <c r="E16" i="6"/>
  <c r="F16" i="6"/>
  <c r="I15" i="6"/>
  <c r="I16" i="6" s="1"/>
  <c r="G16" i="6"/>
  <c r="H16" i="6"/>
  <c r="G7" i="6"/>
  <c r="G6" i="6"/>
  <c r="G5" i="6"/>
  <c r="G4" i="6"/>
  <c r="G3" i="6"/>
  <c r="E3" i="6"/>
  <c r="C3" i="6"/>
  <c r="G2" i="6"/>
  <c r="C2" i="6"/>
  <c r="B2" i="6"/>
  <c r="Q7" i="6" l="1"/>
  <c r="R7" i="6" s="1"/>
  <c r="K7" i="6"/>
  <c r="L7" i="6"/>
  <c r="H3" i="6"/>
  <c r="I3" i="6" s="1"/>
  <c r="B3" i="6"/>
  <c r="E4" i="6"/>
  <c r="H2" i="6"/>
  <c r="I2" i="6" s="1"/>
  <c r="H4" i="6" l="1"/>
  <c r="I4" i="6" s="1"/>
  <c r="C4" i="6"/>
  <c r="E5" i="6"/>
  <c r="B4" i="6"/>
  <c r="E6" i="6" l="1"/>
  <c r="B5" i="6"/>
  <c r="H5" i="6"/>
  <c r="I5" i="6" s="1"/>
  <c r="C5" i="6"/>
  <c r="C6" i="6" l="1"/>
  <c r="E7" i="6"/>
  <c r="B6" i="6"/>
  <c r="H6" i="6"/>
  <c r="I6" i="6" s="1"/>
  <c r="H7" i="6" l="1"/>
  <c r="I7" i="6" s="1"/>
  <c r="C7" i="6"/>
  <c r="B7" i="6"/>
  <c r="J17" i="5" l="1"/>
  <c r="J16" i="5"/>
  <c r="J15" i="5"/>
  <c r="J14" i="5"/>
  <c r="J13" i="5"/>
  <c r="J11" i="5"/>
  <c r="J10" i="5"/>
  <c r="J9" i="5"/>
  <c r="J7" i="5"/>
  <c r="J6" i="5"/>
  <c r="J5" i="5"/>
  <c r="J3" i="5"/>
  <c r="J2" i="5"/>
  <c r="D23" i="4"/>
  <c r="E23" i="4" s="1"/>
  <c r="F23" i="4" s="1"/>
  <c r="D19" i="4"/>
  <c r="D18" i="4"/>
  <c r="D17" i="4"/>
  <c r="D16" i="4"/>
  <c r="E16" i="4" s="1"/>
  <c r="F16" i="4" s="1"/>
  <c r="D15" i="4"/>
  <c r="E15" i="4" s="1"/>
  <c r="D14" i="4"/>
  <c r="D13" i="4"/>
  <c r="D12" i="4"/>
  <c r="E12" i="4" s="1"/>
  <c r="F12" i="4" s="1"/>
  <c r="D11" i="4"/>
  <c r="D10" i="4"/>
  <c r="E10" i="4" s="1"/>
  <c r="D9" i="4"/>
  <c r="E9" i="4" s="1"/>
  <c r="F9" i="4" s="1"/>
  <c r="D8" i="4"/>
  <c r="E8" i="4" s="1"/>
  <c r="F8" i="4" s="1"/>
  <c r="D7" i="4"/>
  <c r="E7" i="4" s="1"/>
  <c r="D6" i="4"/>
  <c r="D5" i="4"/>
  <c r="D4" i="4"/>
  <c r="E4" i="4" s="1"/>
  <c r="F4" i="4" s="1"/>
  <c r="D3" i="4"/>
  <c r="D2" i="4"/>
  <c r="E2" i="4" s="1"/>
  <c r="BJ17" i="3"/>
  <c r="BL17" i="3" s="1"/>
  <c r="BJ16" i="3"/>
  <c r="BJ15" i="3"/>
  <c r="BJ14" i="3"/>
  <c r="BL14" i="3" s="1"/>
  <c r="BJ13" i="3"/>
  <c r="BL13" i="3" s="1"/>
  <c r="BJ12" i="3"/>
  <c r="BJ11" i="3"/>
  <c r="BL11" i="3" s="1"/>
  <c r="BJ10" i="3"/>
  <c r="BL10" i="3" s="1"/>
  <c r="BJ9" i="3"/>
  <c r="BL9" i="3" s="1"/>
  <c r="BJ8" i="3"/>
  <c r="BJ7" i="3"/>
  <c r="BL7" i="3" s="1"/>
  <c r="BJ6" i="3"/>
  <c r="BL6" i="3" s="1"/>
  <c r="BJ5" i="3"/>
  <c r="BL5" i="3" s="1"/>
  <c r="BJ4" i="3"/>
  <c r="BL4" i="3" s="1"/>
  <c r="BJ3" i="3"/>
  <c r="BL3" i="3" s="1"/>
  <c r="BJ2" i="3"/>
  <c r="BL2" i="3" s="1"/>
  <c r="DM4" i="2"/>
  <c r="DM5" i="2"/>
  <c r="DN5" i="2" s="1"/>
  <c r="DM6" i="2"/>
  <c r="DM7" i="2"/>
  <c r="DM8" i="2"/>
  <c r="DM9" i="2"/>
  <c r="DM10" i="2"/>
  <c r="DN10" i="2" s="1"/>
  <c r="DM11" i="2"/>
  <c r="DN11" i="2" s="1"/>
  <c r="DM12" i="2"/>
  <c r="DM13" i="2"/>
  <c r="DN13" i="2" s="1"/>
  <c r="DM14" i="2"/>
  <c r="DM15" i="2"/>
  <c r="DM16" i="2"/>
  <c r="DM17" i="2"/>
  <c r="DM18" i="2"/>
  <c r="DN18" i="2" s="1"/>
  <c r="DM3" i="2"/>
  <c r="DN3" i="2" s="1"/>
  <c r="DN17" i="2"/>
  <c r="DN16" i="2"/>
  <c r="DN15" i="2"/>
  <c r="DN14" i="2"/>
  <c r="DN12" i="2"/>
  <c r="DN9" i="2"/>
  <c r="DN8" i="2"/>
  <c r="DN7" i="2"/>
  <c r="DN6" i="2"/>
  <c r="DN4" i="2"/>
  <c r="BD9" i="3"/>
  <c r="BD2" i="3"/>
  <c r="BB17" i="3"/>
  <c r="BB16" i="3"/>
  <c r="BD16" i="3" s="1"/>
  <c r="BB15" i="3"/>
  <c r="BD15" i="3" s="1"/>
  <c r="BD14" i="3"/>
  <c r="BB14" i="3"/>
  <c r="BB13" i="3"/>
  <c r="BB12" i="3"/>
  <c r="BB11" i="3"/>
  <c r="BD10" i="3"/>
  <c r="BB10" i="3"/>
  <c r="BB9" i="3"/>
  <c r="BB8" i="3"/>
  <c r="BD8" i="3" s="1"/>
  <c r="BB7" i="3"/>
  <c r="BD7" i="3" s="1"/>
  <c r="BD6" i="3"/>
  <c r="BB6" i="3"/>
  <c r="BB5" i="3"/>
  <c r="BD5" i="3" s="1"/>
  <c r="BB4" i="3"/>
  <c r="BB3" i="3"/>
  <c r="BB2" i="3"/>
  <c r="DF4" i="2"/>
  <c r="DF5" i="2"/>
  <c r="DF6" i="2"/>
  <c r="DF7" i="2"/>
  <c r="DF8" i="2"/>
  <c r="DF9" i="2"/>
  <c r="DF10" i="2"/>
  <c r="DF11" i="2"/>
  <c r="DG11" i="2" s="1"/>
  <c r="DF12" i="2"/>
  <c r="DF13" i="2"/>
  <c r="DF14" i="2"/>
  <c r="DF15" i="2"/>
  <c r="DF16" i="2"/>
  <c r="DF17" i="2"/>
  <c r="DG17" i="2" s="1"/>
  <c r="DF18" i="2"/>
  <c r="DF3" i="2"/>
  <c r="DG3" i="2" s="1"/>
  <c r="DG4" i="2"/>
  <c r="DG5" i="2"/>
  <c r="DG6" i="2"/>
  <c r="DG7" i="2"/>
  <c r="DG8" i="2"/>
  <c r="DG9" i="2"/>
  <c r="DG10" i="2"/>
  <c r="DG12" i="2"/>
  <c r="DG13" i="2"/>
  <c r="DG14" i="2"/>
  <c r="DG15" i="2"/>
  <c r="DG16" i="2"/>
  <c r="DG18" i="2"/>
  <c r="AV14" i="3"/>
  <c r="AV11" i="3"/>
  <c r="AV6" i="3"/>
  <c r="AV3" i="3"/>
  <c r="AV2" i="3"/>
  <c r="AT17" i="3"/>
  <c r="AV16" i="3"/>
  <c r="AT16" i="3"/>
  <c r="AT15" i="3"/>
  <c r="AV15" i="3" s="1"/>
  <c r="AT14" i="3"/>
  <c r="AT13" i="3"/>
  <c r="AV13" i="3" s="1"/>
  <c r="AV12" i="3"/>
  <c r="AT12" i="3"/>
  <c r="AT11" i="3"/>
  <c r="AV10" i="3"/>
  <c r="AT10" i="3"/>
  <c r="AT9" i="3"/>
  <c r="AV8" i="3"/>
  <c r="AT8" i="3"/>
  <c r="AV7" i="3"/>
  <c r="AT7" i="3"/>
  <c r="AT6" i="3"/>
  <c r="AT5" i="3"/>
  <c r="AV5" i="3" s="1"/>
  <c r="AV4" i="3"/>
  <c r="AT4" i="3"/>
  <c r="AT3" i="3"/>
  <c r="AT2" i="3"/>
  <c r="CY4" i="2"/>
  <c r="CY5" i="2"/>
  <c r="CY6" i="2"/>
  <c r="CY7" i="2"/>
  <c r="CY8" i="2"/>
  <c r="CY9" i="2"/>
  <c r="CY10" i="2"/>
  <c r="CZ10" i="2" s="1"/>
  <c r="CY11" i="2"/>
  <c r="CZ11" i="2" s="1"/>
  <c r="CY12" i="2"/>
  <c r="CY13" i="2"/>
  <c r="CY14" i="2"/>
  <c r="CY15" i="2"/>
  <c r="CY16" i="2"/>
  <c r="CY17" i="2"/>
  <c r="CY18" i="2"/>
  <c r="CZ18" i="2" s="1"/>
  <c r="CY3" i="2"/>
  <c r="CZ17" i="2"/>
  <c r="CZ16" i="2"/>
  <c r="CZ15" i="2"/>
  <c r="CZ14" i="2"/>
  <c r="CZ13" i="2"/>
  <c r="CZ12" i="2"/>
  <c r="CZ9" i="2"/>
  <c r="CZ8" i="2"/>
  <c r="CZ7" i="2"/>
  <c r="CZ6" i="2"/>
  <c r="CZ5" i="2"/>
  <c r="CZ4" i="2"/>
  <c r="CZ3" i="2"/>
  <c r="AL17" i="3"/>
  <c r="AN17" i="3" s="1"/>
  <c r="AL16" i="3"/>
  <c r="AN16" i="3" s="1"/>
  <c r="AL15" i="3"/>
  <c r="AN15" i="3" s="1"/>
  <c r="AL14" i="3"/>
  <c r="AN14" i="3" s="1"/>
  <c r="AL13" i="3"/>
  <c r="AN13" i="3" s="1"/>
  <c r="AL12" i="3"/>
  <c r="AN12" i="3" s="1"/>
  <c r="AL11" i="3"/>
  <c r="AL10" i="3"/>
  <c r="AL9" i="3"/>
  <c r="AN9" i="3" s="1"/>
  <c r="AN8" i="3"/>
  <c r="AL8" i="3"/>
  <c r="AL7" i="3"/>
  <c r="AL6" i="3"/>
  <c r="AN6" i="3" s="1"/>
  <c r="AL5" i="3"/>
  <c r="AL4" i="3"/>
  <c r="AN4" i="3" s="1"/>
  <c r="AL3" i="3"/>
  <c r="AN3" i="3" s="1"/>
  <c r="AL2" i="3"/>
  <c r="CR4" i="2"/>
  <c r="CS4" i="2" s="1"/>
  <c r="CR5" i="2"/>
  <c r="CS5" i="2" s="1"/>
  <c r="CR6" i="2"/>
  <c r="CR7" i="2"/>
  <c r="CR8" i="2"/>
  <c r="CR9" i="2"/>
  <c r="CR10" i="2"/>
  <c r="CR11" i="2"/>
  <c r="CS11" i="2" s="1"/>
  <c r="CR12" i="2"/>
  <c r="CS12" i="2" s="1"/>
  <c r="CR13" i="2"/>
  <c r="CS13" i="2" s="1"/>
  <c r="CR14" i="2"/>
  <c r="CR15" i="2"/>
  <c r="CR16" i="2"/>
  <c r="CR17" i="2"/>
  <c r="CR18" i="2"/>
  <c r="CR3" i="2"/>
  <c r="CS3" i="2" s="1"/>
  <c r="CS18" i="2"/>
  <c r="CS17" i="2"/>
  <c r="CS16" i="2"/>
  <c r="CS15" i="2"/>
  <c r="CS14" i="2"/>
  <c r="CS10" i="2"/>
  <c r="CS9" i="2"/>
  <c r="CS8" i="2"/>
  <c r="CS7" i="2"/>
  <c r="CS6" i="2"/>
  <c r="AF4" i="3"/>
  <c r="AF10" i="3"/>
  <c r="AF12" i="3"/>
  <c r="AE9" i="3"/>
  <c r="AF9" i="3" s="1"/>
  <c r="AE16" i="3"/>
  <c r="AF16" i="3" s="1"/>
  <c r="AE17" i="3"/>
  <c r="AF17" i="3" s="1"/>
  <c r="AC17" i="3"/>
  <c r="AC16" i="3"/>
  <c r="AC15" i="3"/>
  <c r="AE15" i="3" s="1"/>
  <c r="AF15" i="3" s="1"/>
  <c r="AC14" i="3"/>
  <c r="AE14" i="3" s="1"/>
  <c r="AF14" i="3" s="1"/>
  <c r="AC13" i="3"/>
  <c r="AE13" i="3" s="1"/>
  <c r="AF13" i="3" s="1"/>
  <c r="AC12" i="3"/>
  <c r="AE12" i="3" s="1"/>
  <c r="AC11" i="3"/>
  <c r="AE11" i="3" s="1"/>
  <c r="AF11" i="3" s="1"/>
  <c r="AC10" i="3"/>
  <c r="AE10" i="3" s="1"/>
  <c r="AC9" i="3"/>
  <c r="AC8" i="3"/>
  <c r="AE8" i="3" s="1"/>
  <c r="AF8" i="3" s="1"/>
  <c r="AC7" i="3"/>
  <c r="AE7" i="3" s="1"/>
  <c r="AF7" i="3" s="1"/>
  <c r="AC6" i="3"/>
  <c r="AE6" i="3" s="1"/>
  <c r="AF6" i="3" s="1"/>
  <c r="AC5" i="3"/>
  <c r="AE5" i="3" s="1"/>
  <c r="AF5" i="3" s="1"/>
  <c r="AC4" i="3"/>
  <c r="AE4" i="3" s="1"/>
  <c r="AC3" i="3"/>
  <c r="AE3" i="3" s="1"/>
  <c r="AF3" i="3" s="1"/>
  <c r="AC2" i="3"/>
  <c r="AE2" i="3" s="1"/>
  <c r="AF2" i="3" s="1"/>
  <c r="CK4" i="2"/>
  <c r="CL4" i="2" s="1"/>
  <c r="CK5" i="2"/>
  <c r="CL5" i="2" s="1"/>
  <c r="CK6" i="2"/>
  <c r="CK7" i="2"/>
  <c r="CK8" i="2"/>
  <c r="CK9" i="2"/>
  <c r="CK10" i="2"/>
  <c r="CK11" i="2"/>
  <c r="CL11" i="2" s="1"/>
  <c r="CK12" i="2"/>
  <c r="CL12" i="2" s="1"/>
  <c r="CK13" i="2"/>
  <c r="CL13" i="2" s="1"/>
  <c r="CK14" i="2"/>
  <c r="CL14" i="2" s="1"/>
  <c r="CK15" i="2"/>
  <c r="CK16" i="2"/>
  <c r="CK17" i="2"/>
  <c r="CK18" i="2"/>
  <c r="CL18" i="2" s="1"/>
  <c r="CK3" i="2"/>
  <c r="CL3" i="2" s="1"/>
  <c r="CL17" i="2"/>
  <c r="CL16" i="2"/>
  <c r="CL15" i="2"/>
  <c r="CL10" i="2"/>
  <c r="CL9" i="2"/>
  <c r="CL8" i="2"/>
  <c r="CL7" i="2"/>
  <c r="CL6" i="2"/>
  <c r="T17" i="3"/>
  <c r="V17" i="3" s="1"/>
  <c r="T16" i="3"/>
  <c r="V16" i="3" s="1"/>
  <c r="T15" i="3"/>
  <c r="T14" i="3"/>
  <c r="V14" i="3" s="1"/>
  <c r="T13" i="3"/>
  <c r="V13" i="3" s="1"/>
  <c r="T12" i="3"/>
  <c r="V12" i="3" s="1"/>
  <c r="T11" i="3"/>
  <c r="T10" i="3"/>
  <c r="V10" i="3" s="1"/>
  <c r="T9" i="3"/>
  <c r="V9" i="3" s="1"/>
  <c r="T8" i="3"/>
  <c r="V8" i="3" s="1"/>
  <c r="T7" i="3"/>
  <c r="T6" i="3"/>
  <c r="V6" i="3" s="1"/>
  <c r="T5" i="3"/>
  <c r="V5" i="3" s="1"/>
  <c r="T4" i="3"/>
  <c r="V4" i="3" s="1"/>
  <c r="T3" i="3"/>
  <c r="T2" i="3"/>
  <c r="V2" i="3" s="1"/>
  <c r="CD4" i="2"/>
  <c r="CD5" i="2"/>
  <c r="CD6" i="2"/>
  <c r="CD7" i="2"/>
  <c r="CE7" i="2" s="1"/>
  <c r="CD8" i="2"/>
  <c r="CD9" i="2"/>
  <c r="CE9" i="2" s="1"/>
  <c r="CD10" i="2"/>
  <c r="CD11" i="2"/>
  <c r="CD12" i="2"/>
  <c r="CD13" i="2"/>
  <c r="CE13" i="2" s="1"/>
  <c r="CD14" i="2"/>
  <c r="CD15" i="2"/>
  <c r="CD16" i="2"/>
  <c r="CD17" i="2"/>
  <c r="CE17" i="2" s="1"/>
  <c r="CD18" i="2"/>
  <c r="CD3" i="2"/>
  <c r="CE5" i="2"/>
  <c r="K17" i="3"/>
  <c r="M17" i="3" s="1"/>
  <c r="K16" i="3"/>
  <c r="M16" i="3" s="1"/>
  <c r="K15" i="3"/>
  <c r="M15" i="3" s="1"/>
  <c r="K14" i="3"/>
  <c r="M14" i="3" s="1"/>
  <c r="K13" i="3"/>
  <c r="M13" i="3" s="1"/>
  <c r="K12" i="3"/>
  <c r="M12" i="3" s="1"/>
  <c r="K11" i="3"/>
  <c r="M11" i="3" s="1"/>
  <c r="K10" i="3"/>
  <c r="M10" i="3" s="1"/>
  <c r="K9" i="3"/>
  <c r="M9" i="3" s="1"/>
  <c r="K8" i="3"/>
  <c r="M8" i="3" s="1"/>
  <c r="K7" i="3"/>
  <c r="M7" i="3" s="1"/>
  <c r="K6" i="3"/>
  <c r="M6" i="3" s="1"/>
  <c r="K5" i="3"/>
  <c r="M5" i="3" s="1"/>
  <c r="K4" i="3"/>
  <c r="M4" i="3" s="1"/>
  <c r="K3" i="3"/>
  <c r="M3" i="3" s="1"/>
  <c r="K2" i="3"/>
  <c r="M2" i="3" s="1"/>
  <c r="BU4" i="2"/>
  <c r="BU5" i="2"/>
  <c r="BW5" i="2" s="1"/>
  <c r="BU6" i="2"/>
  <c r="BU7" i="2"/>
  <c r="BU8" i="2"/>
  <c r="BU9" i="2"/>
  <c r="BV9" i="2" s="1"/>
  <c r="BU10" i="2"/>
  <c r="BU11" i="2"/>
  <c r="BU12" i="2"/>
  <c r="BV12" i="2" s="1"/>
  <c r="BU13" i="2"/>
  <c r="BV13" i="2" s="1"/>
  <c r="BU14" i="2"/>
  <c r="BU15" i="2"/>
  <c r="BU16" i="2"/>
  <c r="BU17" i="2"/>
  <c r="BV17" i="2" s="1"/>
  <c r="BU18" i="2"/>
  <c r="BU3" i="2"/>
  <c r="BV3" i="2" s="1"/>
  <c r="BV15" i="2"/>
  <c r="BW14" i="2"/>
  <c r="BV7" i="2"/>
  <c r="BM4" i="2"/>
  <c r="BM5" i="2"/>
  <c r="BN5" i="2" s="1"/>
  <c r="BM6" i="2"/>
  <c r="BW6" i="2" s="1"/>
  <c r="BM7" i="2"/>
  <c r="BN7" i="2" s="1"/>
  <c r="BM8" i="2"/>
  <c r="BM9" i="2"/>
  <c r="BN9" i="2" s="1"/>
  <c r="BM10" i="2"/>
  <c r="BM11" i="2"/>
  <c r="BM12" i="2"/>
  <c r="BM13" i="2"/>
  <c r="BN13" i="2" s="1"/>
  <c r="BM14" i="2"/>
  <c r="BM15" i="2"/>
  <c r="BN15" i="2" s="1"/>
  <c r="BM16" i="2"/>
  <c r="BM17" i="2"/>
  <c r="BM18" i="2"/>
  <c r="BN18" i="2" s="1"/>
  <c r="BM3" i="2"/>
  <c r="BN4" i="2"/>
  <c r="C3" i="3"/>
  <c r="E3" i="3" s="1"/>
  <c r="C4" i="3"/>
  <c r="E4" i="3" s="1"/>
  <c r="C5" i="3"/>
  <c r="E5" i="3" s="1"/>
  <c r="C6" i="3"/>
  <c r="E6" i="3" s="1"/>
  <c r="C7" i="3"/>
  <c r="E7" i="3" s="1"/>
  <c r="C8" i="3"/>
  <c r="E8" i="3" s="1"/>
  <c r="C9" i="3"/>
  <c r="E9" i="3" s="1"/>
  <c r="C10" i="3"/>
  <c r="E10" i="3" s="1"/>
  <c r="C11" i="3"/>
  <c r="E11" i="3" s="1"/>
  <c r="C12" i="3"/>
  <c r="E12" i="3" s="1"/>
  <c r="C13" i="3"/>
  <c r="E13" i="3" s="1"/>
  <c r="C14" i="3"/>
  <c r="E14" i="3" s="1"/>
  <c r="C15" i="3"/>
  <c r="E15" i="3" s="1"/>
  <c r="C16" i="3"/>
  <c r="E16" i="3" s="1"/>
  <c r="C17" i="3"/>
  <c r="E17" i="3" s="1"/>
  <c r="C2" i="3"/>
  <c r="E2" i="3" s="1"/>
  <c r="E17" i="4" l="1"/>
  <c r="F17" i="4" s="1"/>
  <c r="E18" i="4"/>
  <c r="F18" i="4" s="1"/>
  <c r="F10" i="4"/>
  <c r="J4" i="5"/>
  <c r="F2" i="4"/>
  <c r="J12" i="5"/>
  <c r="J8" i="5"/>
  <c r="F7" i="4"/>
  <c r="F15" i="4"/>
  <c r="E5" i="4"/>
  <c r="F5" i="4" s="1"/>
  <c r="E13" i="4"/>
  <c r="F13" i="4" s="1"/>
  <c r="E3" i="4"/>
  <c r="F3" i="4" s="1"/>
  <c r="E11" i="4"/>
  <c r="F11" i="4" s="1"/>
  <c r="E19" i="4"/>
  <c r="F19" i="4" s="1"/>
  <c r="E6" i="4"/>
  <c r="F6" i="4" s="1"/>
  <c r="E14" i="4"/>
  <c r="F14" i="4" s="1"/>
  <c r="BL8" i="3"/>
  <c r="BL12" i="3"/>
  <c r="BL15" i="3"/>
  <c r="BL16" i="3"/>
  <c r="BD17" i="3"/>
  <c r="BD11" i="3"/>
  <c r="BD12" i="3"/>
  <c r="BD13" i="3"/>
  <c r="BD3" i="3"/>
  <c r="BD4" i="3"/>
  <c r="AV9" i="3"/>
  <c r="AV17" i="3"/>
  <c r="AN10" i="3"/>
  <c r="AN5" i="3"/>
  <c r="AN7" i="3"/>
  <c r="AN11" i="3"/>
  <c r="AN2" i="3"/>
  <c r="BW4" i="2"/>
  <c r="V7" i="3"/>
  <c r="V3" i="3"/>
  <c r="V11" i="3"/>
  <c r="V15" i="3"/>
  <c r="BW11" i="2"/>
  <c r="BW18" i="2"/>
  <c r="BW10" i="2"/>
  <c r="BN12" i="2"/>
  <c r="BW16" i="2"/>
  <c r="BW8" i="2"/>
  <c r="CE12" i="2"/>
  <c r="CE6" i="2"/>
  <c r="CE4" i="2"/>
  <c r="CE14" i="2"/>
  <c r="CE8" i="2"/>
  <c r="CE16" i="2"/>
  <c r="CE3" i="2"/>
  <c r="CE11" i="2"/>
  <c r="CE15" i="2"/>
  <c r="CE10" i="2"/>
  <c r="CE18" i="2"/>
  <c r="BW15" i="2"/>
  <c r="BW12" i="2"/>
  <c r="BW9" i="2"/>
  <c r="BW3" i="2"/>
  <c r="BW7" i="2"/>
  <c r="BV11" i="2"/>
  <c r="BV4" i="2"/>
  <c r="BW17" i="2"/>
  <c r="BV10" i="2"/>
  <c r="BV6" i="2"/>
  <c r="BV18" i="2"/>
  <c r="BV14" i="2"/>
  <c r="BV5" i="2"/>
  <c r="BV8" i="2"/>
  <c r="BW13" i="2"/>
  <c r="BV16" i="2"/>
  <c r="BN8" i="2"/>
  <c r="BN17" i="2"/>
  <c r="BO5" i="2"/>
  <c r="BN16" i="2"/>
  <c r="BN3" i="2"/>
  <c r="BN11" i="2"/>
  <c r="BN6" i="2"/>
  <c r="BN14" i="2"/>
  <c r="BN10" i="2"/>
  <c r="BE4" i="2"/>
  <c r="BE5" i="2"/>
  <c r="BE6" i="2"/>
  <c r="BO6" i="2" s="1"/>
  <c r="BE7" i="2"/>
  <c r="BE8" i="2"/>
  <c r="BO8" i="2" s="1"/>
  <c r="BE9" i="2"/>
  <c r="BF9" i="2" s="1"/>
  <c r="BE10" i="2"/>
  <c r="BO10" i="2" s="1"/>
  <c r="BE11" i="2"/>
  <c r="BE12" i="2"/>
  <c r="BE13" i="2"/>
  <c r="BF13" i="2" s="1"/>
  <c r="BE14" i="2"/>
  <c r="BE15" i="2"/>
  <c r="BO15" i="2" s="1"/>
  <c r="BE16" i="2"/>
  <c r="BO16" i="2" s="1"/>
  <c r="BE17" i="2"/>
  <c r="BO17" i="2" s="1"/>
  <c r="BE18" i="2"/>
  <c r="BG18" i="2" s="1"/>
  <c r="BE3" i="2"/>
  <c r="BF5" i="2"/>
  <c r="AW4" i="2"/>
  <c r="AY4" i="2" s="1"/>
  <c r="AW5" i="2"/>
  <c r="AX5" i="2" s="1"/>
  <c r="AW6" i="2"/>
  <c r="BG6" i="2" s="1"/>
  <c r="AW7" i="2"/>
  <c r="AW8" i="2"/>
  <c r="AW9" i="2"/>
  <c r="AW10" i="2"/>
  <c r="AW11" i="2"/>
  <c r="AY11" i="2" s="1"/>
  <c r="AW12" i="2"/>
  <c r="AY12" i="2" s="1"/>
  <c r="AW13" i="2"/>
  <c r="AX13" i="2" s="1"/>
  <c r="AW14" i="2"/>
  <c r="AW15" i="2"/>
  <c r="AW16" i="2"/>
  <c r="AW17" i="2"/>
  <c r="AW18" i="2"/>
  <c r="AW3" i="2"/>
  <c r="AX3" i="2" s="1"/>
  <c r="AY15" i="2"/>
  <c r="AY7" i="2"/>
  <c r="AO4" i="2"/>
  <c r="AO5" i="2"/>
  <c r="AP5" i="2" s="1"/>
  <c r="AO6" i="2"/>
  <c r="AY6" i="2" s="1"/>
  <c r="AO7" i="2"/>
  <c r="AQ7" i="2" s="1"/>
  <c r="AO8" i="2"/>
  <c r="AO9" i="2"/>
  <c r="AO10" i="2"/>
  <c r="AO11" i="2"/>
  <c r="AP11" i="2" s="1"/>
  <c r="AO12" i="2"/>
  <c r="AO13" i="2"/>
  <c r="AO14" i="2"/>
  <c r="AO15" i="2"/>
  <c r="AQ15" i="2" s="1"/>
  <c r="AO16" i="2"/>
  <c r="AO17" i="2"/>
  <c r="AO18" i="2"/>
  <c r="AO3" i="2"/>
  <c r="AP3" i="2" s="1"/>
  <c r="AG4" i="2"/>
  <c r="AG5" i="2"/>
  <c r="AI5" i="2" s="1"/>
  <c r="AG6" i="2"/>
  <c r="AI6" i="2" s="1"/>
  <c r="AG7" i="2"/>
  <c r="AI7" i="2" s="1"/>
  <c r="AG8" i="2"/>
  <c r="AG9" i="2"/>
  <c r="AH9" i="2" s="1"/>
  <c r="AG10" i="2"/>
  <c r="AH10" i="2" s="1"/>
  <c r="AG11" i="2"/>
  <c r="AH11" i="2" s="1"/>
  <c r="AG12" i="2"/>
  <c r="AG13" i="2"/>
  <c r="AI13" i="2" s="1"/>
  <c r="AG14" i="2"/>
  <c r="AI14" i="2" s="1"/>
  <c r="AG15" i="2"/>
  <c r="AI15" i="2" s="1"/>
  <c r="AG16" i="2"/>
  <c r="AG17" i="2"/>
  <c r="AI17" i="2" s="1"/>
  <c r="AG18" i="2"/>
  <c r="AG3" i="2"/>
  <c r="AH3" i="2" s="1"/>
  <c r="AH13" i="2"/>
  <c r="Y4" i="2"/>
  <c r="Y5" i="2"/>
  <c r="Y6" i="2"/>
  <c r="Z6" i="2" s="1"/>
  <c r="Y7" i="2"/>
  <c r="Y8" i="2"/>
  <c r="Y9" i="2"/>
  <c r="Z9" i="2" s="1"/>
  <c r="Y10" i="2"/>
  <c r="Z10" i="2" s="1"/>
  <c r="Y11" i="2"/>
  <c r="Y12" i="2"/>
  <c r="Y13" i="2"/>
  <c r="Y14" i="2"/>
  <c r="Z14" i="2" s="1"/>
  <c r="Y15" i="2"/>
  <c r="Z15" i="2" s="1"/>
  <c r="Y16" i="2"/>
  <c r="Y17" i="2"/>
  <c r="Z17" i="2" s="1"/>
  <c r="Y18" i="2"/>
  <c r="Y3" i="2"/>
  <c r="Z18" i="2"/>
  <c r="S9" i="2"/>
  <c r="R4" i="2"/>
  <c r="S4" i="2" s="1"/>
  <c r="R5" i="2"/>
  <c r="S5" i="2" s="1"/>
  <c r="R6" i="2"/>
  <c r="S6" i="2" s="1"/>
  <c r="R7" i="2"/>
  <c r="S7" i="2" s="1"/>
  <c r="R8" i="2"/>
  <c r="S8" i="2" s="1"/>
  <c r="R9" i="2"/>
  <c r="R10" i="2"/>
  <c r="S10" i="2" s="1"/>
  <c r="R11" i="2"/>
  <c r="S11" i="2" s="1"/>
  <c r="R12" i="2"/>
  <c r="S12" i="2" s="1"/>
  <c r="R13" i="2"/>
  <c r="S13" i="2" s="1"/>
  <c r="R14" i="2"/>
  <c r="S14" i="2" s="1"/>
  <c r="R15" i="2"/>
  <c r="S15" i="2" s="1"/>
  <c r="R16" i="2"/>
  <c r="S16" i="2" s="1"/>
  <c r="R17" i="2"/>
  <c r="S17" i="2" s="1"/>
  <c r="R18" i="2"/>
  <c r="S18" i="2" s="1"/>
  <c r="R3" i="2"/>
  <c r="S3" i="2" s="1"/>
  <c r="L4" i="2"/>
  <c r="L5" i="2"/>
  <c r="L6" i="2"/>
  <c r="L7" i="2"/>
  <c r="M7" i="2" s="1"/>
  <c r="L8" i="2"/>
  <c r="L9" i="2"/>
  <c r="L10" i="2"/>
  <c r="L11" i="2"/>
  <c r="L12" i="2"/>
  <c r="L13" i="2"/>
  <c r="L14" i="2"/>
  <c r="L15" i="2"/>
  <c r="L16" i="2"/>
  <c r="L17" i="2"/>
  <c r="L18" i="2"/>
  <c r="L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3" i="2"/>
  <c r="BO9" i="2" l="1"/>
  <c r="AH15" i="2"/>
  <c r="AI12" i="2"/>
  <c r="AI4" i="2"/>
  <c r="AQ14" i="2"/>
  <c r="AQ13" i="2"/>
  <c r="AY17" i="2"/>
  <c r="AY9" i="2"/>
  <c r="BG8" i="2"/>
  <c r="BG14" i="2"/>
  <c r="AI18" i="2"/>
  <c r="AY16" i="2"/>
  <c r="AY8" i="2"/>
  <c r="BO18" i="2"/>
  <c r="AH7" i="2"/>
  <c r="BG12" i="2"/>
  <c r="BG4" i="2"/>
  <c r="AI16" i="2"/>
  <c r="AI8" i="2"/>
  <c r="AQ18" i="2"/>
  <c r="AQ10" i="2"/>
  <c r="BG3" i="2"/>
  <c r="M4" i="2"/>
  <c r="BG15" i="2"/>
  <c r="BF7" i="2"/>
  <c r="BO7" i="2"/>
  <c r="M3" i="2"/>
  <c r="M11" i="2"/>
  <c r="AI3" i="2"/>
  <c r="AI11" i="2"/>
  <c r="AQ17" i="2"/>
  <c r="BG16" i="2"/>
  <c r="BO13" i="2"/>
  <c r="M17" i="2"/>
  <c r="AI9" i="2"/>
  <c r="M12" i="2"/>
  <c r="M18" i="2"/>
  <c r="M10" i="2"/>
  <c r="AI10" i="2"/>
  <c r="AQ6" i="2"/>
  <c r="AQ12" i="2"/>
  <c r="AQ4" i="2"/>
  <c r="AY18" i="2"/>
  <c r="AY10" i="2"/>
  <c r="BG17" i="2"/>
  <c r="M15" i="2"/>
  <c r="BG10" i="2"/>
  <c r="BO14" i="2"/>
  <c r="M9" i="2"/>
  <c r="M16" i="2"/>
  <c r="M14" i="2"/>
  <c r="AQ16" i="2"/>
  <c r="AQ8" i="2"/>
  <c r="AY14" i="2"/>
  <c r="BO4" i="2"/>
  <c r="BO3" i="2"/>
  <c r="M8" i="2"/>
  <c r="AQ9" i="2"/>
  <c r="BG11" i="2"/>
  <c r="BO11" i="2"/>
  <c r="M6" i="2"/>
  <c r="M13" i="2"/>
  <c r="M5" i="2"/>
  <c r="BO12" i="2"/>
  <c r="BF11" i="2"/>
  <c r="BF4" i="2"/>
  <c r="BF8" i="2"/>
  <c r="BF18" i="2"/>
  <c r="BF12" i="2"/>
  <c r="BG9" i="2"/>
  <c r="BF10" i="2"/>
  <c r="BG7" i="2"/>
  <c r="BF3" i="2"/>
  <c r="BG5" i="2"/>
  <c r="BG13" i="2"/>
  <c r="BF16" i="2"/>
  <c r="BF6" i="2"/>
  <c r="BF14" i="2"/>
  <c r="BF17" i="2"/>
  <c r="BF15" i="2"/>
  <c r="AX10" i="2"/>
  <c r="AY5" i="2"/>
  <c r="AX16" i="2"/>
  <c r="AX9" i="2"/>
  <c r="AX17" i="2"/>
  <c r="AX8" i="2"/>
  <c r="AY13" i="2"/>
  <c r="AX18" i="2"/>
  <c r="AX11" i="2"/>
  <c r="AY3" i="2"/>
  <c r="AX6" i="2"/>
  <c r="AX14" i="2"/>
  <c r="AX12" i="2"/>
  <c r="AX4" i="2"/>
  <c r="AX7" i="2"/>
  <c r="AX15" i="2"/>
  <c r="AQ5" i="2"/>
  <c r="AP9" i="2"/>
  <c r="AP8" i="2"/>
  <c r="AP13" i="2"/>
  <c r="AP16" i="2"/>
  <c r="AP17" i="2"/>
  <c r="AQ3" i="2"/>
  <c r="AP6" i="2"/>
  <c r="AQ11" i="2"/>
  <c r="AP14" i="2"/>
  <c r="AP4" i="2"/>
  <c r="AP12" i="2"/>
  <c r="AP7" i="2"/>
  <c r="AP15" i="2"/>
  <c r="AP10" i="2"/>
  <c r="AP18" i="2"/>
  <c r="AH18" i="2"/>
  <c r="AH14" i="2"/>
  <c r="AH6" i="2"/>
  <c r="AH5" i="2"/>
  <c r="AH8" i="2"/>
  <c r="AH16" i="2"/>
  <c r="AH17" i="2"/>
  <c r="AH4" i="2"/>
  <c r="AH12" i="2"/>
  <c r="Z16" i="2"/>
  <c r="AA16" i="2"/>
  <c r="AA7" i="2"/>
  <c r="AA14" i="2"/>
  <c r="AA6" i="2"/>
  <c r="Z13" i="2"/>
  <c r="AA13" i="2"/>
  <c r="Z5" i="2"/>
  <c r="AA5" i="2"/>
  <c r="Z12" i="2"/>
  <c r="AA12" i="2"/>
  <c r="Z4" i="2"/>
  <c r="AA4" i="2"/>
  <c r="AA15" i="2"/>
  <c r="Z3" i="2"/>
  <c r="AA3" i="2"/>
  <c r="Z11" i="2"/>
  <c r="AA11" i="2"/>
  <c r="Z7" i="2"/>
  <c r="AA18" i="2"/>
  <c r="AA10" i="2"/>
  <c r="Z8" i="2"/>
  <c r="AA8" i="2"/>
  <c r="AA17" i="2"/>
  <c r="AA9" i="2"/>
</calcChain>
</file>

<file path=xl/sharedStrings.xml><?xml version="1.0" encoding="utf-8"?>
<sst xmlns="http://schemas.openxmlformats.org/spreadsheetml/2006/main" count="829" uniqueCount="134">
  <si>
    <t>Bench 1</t>
  </si>
  <si>
    <t>Bench 2</t>
  </si>
  <si>
    <t>Bench 3</t>
  </si>
  <si>
    <t>Bench 4</t>
  </si>
  <si>
    <t>CV1</t>
  </si>
  <si>
    <t>CV2</t>
  </si>
  <si>
    <t>CV4</t>
  </si>
  <si>
    <t>CV3</t>
  </si>
  <si>
    <t>PI398245</t>
  </si>
  <si>
    <t xml:space="preserve">PI567488B </t>
  </si>
  <si>
    <t>PI377574</t>
  </si>
  <si>
    <t>PI424397</t>
  </si>
  <si>
    <t>Q1</t>
  </si>
  <si>
    <t>Q2</t>
  </si>
  <si>
    <t>Q3</t>
  </si>
  <si>
    <t>Q4</t>
  </si>
  <si>
    <t>Pots number</t>
  </si>
  <si>
    <t>Genotype</t>
  </si>
  <si>
    <t>Pot number</t>
  </si>
  <si>
    <t>Pot + lid + rocks (g)</t>
  </si>
  <si>
    <t>Tare</t>
  </si>
  <si>
    <t>Date</t>
  </si>
  <si>
    <t>First weight</t>
  </si>
  <si>
    <t>100% pot cap</t>
  </si>
  <si>
    <t>Soil+water (g)</t>
  </si>
  <si>
    <t>Current soil + water</t>
  </si>
  <si>
    <t>% pot cap</t>
  </si>
  <si>
    <t>Weight Day 10/02 (g)</t>
  </si>
  <si>
    <t>Weight Day 10/07 (g)</t>
  </si>
  <si>
    <t>Weight Day 10/08 (g)</t>
  </si>
  <si>
    <t>% difference</t>
  </si>
  <si>
    <t>Phenology</t>
  </si>
  <si>
    <t>V2</t>
  </si>
  <si>
    <t>V1</t>
  </si>
  <si>
    <t>Weight Day 10/09 (g)</t>
  </si>
  <si>
    <t>Hour: 08:27</t>
  </si>
  <si>
    <t>Weight Day 10/10 (g)</t>
  </si>
  <si>
    <t>Hour: 09:30</t>
  </si>
  <si>
    <t>V3</t>
  </si>
  <si>
    <t>Hour: 12:10</t>
  </si>
  <si>
    <t>V4</t>
  </si>
  <si>
    <t>Hour: 08:09</t>
  </si>
  <si>
    <t>Up to 70% (ml)</t>
  </si>
  <si>
    <t>Time</t>
  </si>
  <si>
    <t>Irrigation date</t>
  </si>
  <si>
    <t>70% pot cap</t>
  </si>
  <si>
    <t>Hour: 08:14</t>
  </si>
  <si>
    <t>Weight Day 10/11 (g)</t>
  </si>
  <si>
    <t>Weight Day 10/14 (g)</t>
  </si>
  <si>
    <t>Weight Day 10/15 (g)</t>
  </si>
  <si>
    <t>Hour: 08:17</t>
  </si>
  <si>
    <t>Ml added</t>
  </si>
  <si>
    <t>Weight Day 10/16 (g)</t>
  </si>
  <si>
    <t>Weight Day 10/17 (g)</t>
  </si>
  <si>
    <t>Weight Day 10/18 (g)</t>
  </si>
  <si>
    <t>V5</t>
  </si>
  <si>
    <t>V6</t>
  </si>
  <si>
    <t>Hour: 08:11</t>
  </si>
  <si>
    <t>Ml water</t>
  </si>
  <si>
    <t>V7</t>
  </si>
  <si>
    <t>Hour: 08:23</t>
  </si>
  <si>
    <t>Weight Day 10/21 (g)</t>
  </si>
  <si>
    <t>Start</t>
  </si>
  <si>
    <t>Finished</t>
  </si>
  <si>
    <t>Weight Day 10/22 (g)</t>
  </si>
  <si>
    <t>Hour: 14:22</t>
  </si>
  <si>
    <t>V8</t>
  </si>
  <si>
    <t>Hour: 08:19</t>
  </si>
  <si>
    <t>Weight Day 10/23(g)</t>
  </si>
  <si>
    <t>Weight Day 10/24(g)</t>
  </si>
  <si>
    <t>Hour: 08:20</t>
  </si>
  <si>
    <t>RH</t>
  </si>
  <si>
    <t>Temperature</t>
  </si>
  <si>
    <t>Vpsat</t>
  </si>
  <si>
    <t>Vpactual</t>
  </si>
  <si>
    <t>VPD</t>
  </si>
  <si>
    <t>Legend</t>
  </si>
  <si>
    <t>T1</t>
  </si>
  <si>
    <t>T2</t>
  </si>
  <si>
    <t>T3</t>
  </si>
  <si>
    <t>T4</t>
  </si>
  <si>
    <t>T5</t>
  </si>
  <si>
    <t>T6</t>
  </si>
  <si>
    <t>Pots</t>
  </si>
  <si>
    <t>Total weight (tare) g</t>
  </si>
  <si>
    <t>Soil+water (g) 100%</t>
  </si>
  <si>
    <t>Soil+water (g) 70%</t>
  </si>
  <si>
    <t>T</t>
  </si>
  <si>
    <t>Treatment</t>
  </si>
  <si>
    <t>Range</t>
  </si>
  <si>
    <t>Variable</t>
  </si>
  <si>
    <t>Conditions prior to R1</t>
  </si>
  <si>
    <t>RH, %</t>
  </si>
  <si>
    <t>Temperature, °C</t>
  </si>
  <si>
    <t>VPsat, kPa</t>
  </si>
  <si>
    <t>VPactual, kPa</t>
  </si>
  <si>
    <t xml:space="preserve">VPD, kPa </t>
  </si>
  <si>
    <t>R1</t>
  </si>
  <si>
    <t>V9</t>
  </si>
  <si>
    <t>Weight Day 10/25(g)</t>
  </si>
  <si>
    <t>Hour: 13:35</t>
  </si>
  <si>
    <t>Hour: 14:46</t>
  </si>
  <si>
    <t>Weight Day 10/26(g)</t>
  </si>
  <si>
    <t>Weight Day 10/27(g)</t>
  </si>
  <si>
    <t>Hour: 16:08</t>
  </si>
  <si>
    <t>R2</t>
  </si>
  <si>
    <t>Hour: 10:16</t>
  </si>
  <si>
    <t>Hour: 13:26</t>
  </si>
  <si>
    <t>Weight Day 10/29(g)</t>
  </si>
  <si>
    <t>Weight Day 10/28(g)</t>
  </si>
  <si>
    <t>Hour: 07:39</t>
  </si>
  <si>
    <t>Weight Day 10/30(g)</t>
  </si>
  <si>
    <t>Start T1</t>
  </si>
  <si>
    <t>Finished T1</t>
  </si>
  <si>
    <t>Started T2</t>
  </si>
  <si>
    <t>Finished T2</t>
  </si>
  <si>
    <t>Started T3</t>
  </si>
  <si>
    <t>Finished T3</t>
  </si>
  <si>
    <t>Started T4</t>
  </si>
  <si>
    <t>Finished T4</t>
  </si>
  <si>
    <t>Started T5</t>
  </si>
  <si>
    <t>Finished T5</t>
  </si>
  <si>
    <t>Started T6</t>
  </si>
  <si>
    <t>Finished T6</t>
  </si>
  <si>
    <t>Average</t>
  </si>
  <si>
    <t>DAY 1 - 10/30</t>
  </si>
  <si>
    <t>DAY 2 - 10/31</t>
  </si>
  <si>
    <t>Hour: 07:43</t>
  </si>
  <si>
    <t>Weight Day 10/31(g)</t>
  </si>
  <si>
    <t xml:space="preserve">Weight Day 2 (g)  </t>
  </si>
  <si>
    <t xml:space="preserve">Weight Day 1 (g)  </t>
  </si>
  <si>
    <t>VPD treatments Day 1 - Beggining (10/30)</t>
  </si>
  <si>
    <t>VPD treatments Day 2 - Beggining (10/31)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</si>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</sst>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16" fontId="0" fillId="5" borderId="0" xfId="0" applyNumberFormat="1" applyFill="1" applyAlignment="1">
      <alignment horizontal="center" vertical="center"/>
    </xf>
    <xf numFmtId="20" fontId="0" fillId="5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6" fontId="0" fillId="6" borderId="0" xfId="0" applyNumberFormat="1" applyFill="1" applyAlignment="1">
      <alignment horizontal="center" vertical="center"/>
    </xf>
    <xf numFmtId="20" fontId="0" fillId="6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5" borderId="0" xfId="0" applyFill="1"/>
    <xf numFmtId="0" fontId="1" fillId="8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64" fontId="0" fillId="11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64" fontId="0" fillId="12" borderId="1" xfId="0" applyNumberFormat="1" applyFill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164" fontId="0" fillId="13" borderId="1" xfId="0" applyNumberForma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64" fontId="0" fillId="15" borderId="1" xfId="0" applyNumberForma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16" borderId="3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1" fontId="0" fillId="3" borderId="9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1" fontId="0" fillId="3" borderId="10" xfId="0" applyNumberForma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1" fontId="0" fillId="3" borderId="1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20" fontId="0" fillId="3" borderId="1" xfId="0" applyNumberFormat="1" applyFill="1" applyBorder="1" applyAlignment="1">
      <alignment horizontal="center"/>
    </xf>
    <xf numFmtId="2" fontId="0" fillId="17" borderId="4" xfId="0" applyNumberFormat="1" applyFill="1" applyBorder="1" applyAlignment="1">
      <alignment horizontal="center" vertical="center"/>
    </xf>
    <xf numFmtId="2" fontId="0" fillId="17" borderId="0" xfId="0" applyNumberFormat="1" applyFill="1" applyAlignment="1">
      <alignment horizontal="center" vertical="center"/>
    </xf>
    <xf numFmtId="2" fontId="0" fillId="17" borderId="2" xfId="0" applyNumberForma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/>
    </xf>
    <xf numFmtId="0" fontId="1" fillId="9" borderId="13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1" fillId="11" borderId="13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13" borderId="13" xfId="0" applyFont="1" applyFill="1" applyBorder="1" applyAlignment="1">
      <alignment horizontal="center"/>
    </xf>
    <xf numFmtId="1" fontId="0" fillId="9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64" fontId="0" fillId="9" borderId="4" xfId="0" applyNumberFormat="1" applyFill="1" applyBorder="1" applyAlignment="1">
      <alignment horizontal="center" vertical="center"/>
    </xf>
    <xf numFmtId="1" fontId="0" fillId="9" borderId="10" xfId="0" applyNumberFormat="1" applyFill="1" applyBorder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1" fontId="0" fillId="9" borderId="1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 vertical="center"/>
    </xf>
    <xf numFmtId="2" fontId="0" fillId="9" borderId="5" xfId="0" applyNumberFormat="1" applyFill="1" applyBorder="1" applyAlignment="1">
      <alignment horizontal="center" vertical="center"/>
    </xf>
    <xf numFmtId="2" fontId="0" fillId="9" borderId="7" xfId="0" applyNumberFormat="1" applyFill="1" applyBorder="1" applyAlignment="1">
      <alignment horizontal="center" vertical="center"/>
    </xf>
    <xf numFmtId="2" fontId="0" fillId="9" borderId="12" xfId="0" applyNumberFormat="1" applyFill="1" applyBorder="1" applyAlignment="1">
      <alignment horizontal="center" vertical="center"/>
    </xf>
    <xf numFmtId="20" fontId="0" fillId="9" borderId="1" xfId="0" applyNumberFormat="1" applyFill="1" applyBorder="1" applyAlignment="1">
      <alignment horizontal="center"/>
    </xf>
    <xf numFmtId="1" fontId="0" fillId="10" borderId="9" xfId="0" applyNumberForma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164" fontId="0" fillId="10" borderId="4" xfId="0" applyNumberFormat="1" applyFill="1" applyBorder="1" applyAlignment="1">
      <alignment horizontal="center" vertical="center"/>
    </xf>
    <xf numFmtId="2" fontId="0" fillId="10" borderId="5" xfId="0" applyNumberFormat="1" applyFill="1" applyBorder="1" applyAlignment="1">
      <alignment horizontal="center" vertical="center"/>
    </xf>
    <xf numFmtId="1" fontId="0" fillId="10" borderId="10" xfId="0" applyNumberFormat="1" applyFill="1" applyBorder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2" fontId="0" fillId="10" borderId="7" xfId="0" applyNumberFormat="1" applyFill="1" applyBorder="1" applyAlignment="1">
      <alignment horizontal="center" vertical="center"/>
    </xf>
    <xf numFmtId="1" fontId="0" fillId="10" borderId="11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64" fontId="0" fillId="10" borderId="2" xfId="0" applyNumberFormat="1" applyFill="1" applyBorder="1" applyAlignment="1">
      <alignment horizontal="center" vertical="center"/>
    </xf>
    <xf numFmtId="2" fontId="0" fillId="10" borderId="12" xfId="0" applyNumberFormat="1" applyFill="1" applyBorder="1" applyAlignment="1">
      <alignment horizontal="center" vertical="center"/>
    </xf>
    <xf numFmtId="20" fontId="0" fillId="10" borderId="1" xfId="0" applyNumberFormat="1" applyFill="1" applyBorder="1" applyAlignment="1">
      <alignment horizontal="center"/>
    </xf>
    <xf numFmtId="1" fontId="0" fillId="11" borderId="9" xfId="0" applyNumberFormat="1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164" fontId="0" fillId="11" borderId="4" xfId="0" applyNumberFormat="1" applyFill="1" applyBorder="1" applyAlignment="1">
      <alignment horizontal="center" vertical="center"/>
    </xf>
    <xf numFmtId="2" fontId="0" fillId="11" borderId="5" xfId="0" applyNumberFormat="1" applyFill="1" applyBorder="1" applyAlignment="1">
      <alignment horizontal="center" vertical="center"/>
    </xf>
    <xf numFmtId="1" fontId="0" fillId="11" borderId="10" xfId="0" applyNumberFormat="1" applyFill="1" applyBorder="1" applyAlignment="1">
      <alignment horizontal="center" vertical="center"/>
    </xf>
    <xf numFmtId="164" fontId="0" fillId="11" borderId="0" xfId="0" applyNumberFormat="1" applyFill="1" applyAlignment="1">
      <alignment horizontal="center" vertical="center"/>
    </xf>
    <xf numFmtId="2" fontId="0" fillId="11" borderId="7" xfId="0" applyNumberFormat="1" applyFill="1" applyBorder="1" applyAlignment="1">
      <alignment horizontal="center" vertical="center"/>
    </xf>
    <xf numFmtId="1" fontId="0" fillId="11" borderId="11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164" fontId="0" fillId="11" borderId="2" xfId="0" applyNumberFormat="1" applyFill="1" applyBorder="1" applyAlignment="1">
      <alignment horizontal="center" vertical="center"/>
    </xf>
    <xf numFmtId="2" fontId="0" fillId="11" borderId="12" xfId="0" applyNumberFormat="1" applyFill="1" applyBorder="1" applyAlignment="1">
      <alignment horizontal="center" vertical="center"/>
    </xf>
    <xf numFmtId="20" fontId="0" fillId="11" borderId="1" xfId="0" applyNumberFormat="1" applyFill="1" applyBorder="1" applyAlignment="1">
      <alignment horizontal="center"/>
    </xf>
    <xf numFmtId="1" fontId="0" fillId="12" borderId="9" xfId="0" applyNumberFormat="1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164" fontId="0" fillId="12" borderId="4" xfId="0" applyNumberFormat="1" applyFill="1" applyBorder="1" applyAlignment="1">
      <alignment horizontal="center" vertical="center"/>
    </xf>
    <xf numFmtId="2" fontId="0" fillId="12" borderId="5" xfId="0" applyNumberFormat="1" applyFill="1" applyBorder="1" applyAlignment="1">
      <alignment horizontal="center" vertical="center"/>
    </xf>
    <xf numFmtId="1" fontId="0" fillId="12" borderId="10" xfId="0" applyNumberFormat="1" applyFill="1" applyBorder="1" applyAlignment="1">
      <alignment horizontal="center" vertical="center"/>
    </xf>
    <xf numFmtId="164" fontId="0" fillId="12" borderId="0" xfId="0" applyNumberFormat="1" applyFill="1" applyAlignment="1">
      <alignment horizontal="center" vertical="center"/>
    </xf>
    <xf numFmtId="2" fontId="0" fillId="12" borderId="7" xfId="0" applyNumberFormat="1" applyFill="1" applyBorder="1" applyAlignment="1">
      <alignment horizontal="center" vertical="center"/>
    </xf>
    <xf numFmtId="1" fontId="0" fillId="12" borderId="11" xfId="0" applyNumberFormat="1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164" fontId="0" fillId="12" borderId="2" xfId="0" applyNumberFormat="1" applyFill="1" applyBorder="1" applyAlignment="1">
      <alignment horizontal="center" vertical="center"/>
    </xf>
    <xf numFmtId="2" fontId="0" fillId="12" borderId="12" xfId="0" applyNumberFormat="1" applyFill="1" applyBorder="1" applyAlignment="1">
      <alignment horizontal="center" vertical="center"/>
    </xf>
    <xf numFmtId="20" fontId="0" fillId="12" borderId="1" xfId="0" applyNumberFormat="1" applyFill="1" applyBorder="1" applyAlignment="1">
      <alignment horizontal="center"/>
    </xf>
    <xf numFmtId="1" fontId="0" fillId="13" borderId="9" xfId="0" applyNumberForma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164" fontId="0" fillId="13" borderId="4" xfId="0" applyNumberFormat="1" applyFill="1" applyBorder="1" applyAlignment="1">
      <alignment horizontal="center" vertical="center"/>
    </xf>
    <xf numFmtId="2" fontId="0" fillId="13" borderId="5" xfId="0" applyNumberFormat="1" applyFill="1" applyBorder="1" applyAlignment="1">
      <alignment horizontal="center" vertical="center"/>
    </xf>
    <xf numFmtId="1" fontId="0" fillId="13" borderId="10" xfId="0" applyNumberFormat="1" applyFill="1" applyBorder="1" applyAlignment="1">
      <alignment horizontal="center" vertical="center"/>
    </xf>
    <xf numFmtId="164" fontId="0" fillId="13" borderId="0" xfId="0" applyNumberFormat="1" applyFill="1" applyAlignment="1">
      <alignment horizontal="center" vertical="center"/>
    </xf>
    <xf numFmtId="2" fontId="0" fillId="13" borderId="7" xfId="0" applyNumberFormat="1" applyFill="1" applyBorder="1" applyAlignment="1">
      <alignment horizontal="center" vertical="center"/>
    </xf>
    <xf numFmtId="1" fontId="0" fillId="13" borderId="11" xfId="0" applyNumberForma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164" fontId="0" fillId="13" borderId="2" xfId="0" applyNumberFormat="1" applyFill="1" applyBorder="1" applyAlignment="1">
      <alignment horizontal="center" vertical="center"/>
    </xf>
    <xf numFmtId="2" fontId="0" fillId="13" borderId="12" xfId="0" applyNumberFormat="1" applyFill="1" applyBorder="1" applyAlignment="1">
      <alignment horizontal="center" vertical="center"/>
    </xf>
    <xf numFmtId="20" fontId="0" fillId="13" borderId="1" xfId="0" applyNumberFormat="1" applyFill="1" applyBorder="1" applyAlignment="1">
      <alignment horizontal="center"/>
    </xf>
    <xf numFmtId="164" fontId="0" fillId="0" borderId="0" xfId="0" applyNumberFormat="1"/>
    <xf numFmtId="0" fontId="1" fillId="8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20" fontId="0" fillId="12" borderId="3" xfId="0" applyNumberFormat="1" applyFill="1" applyBorder="1" applyAlignment="1">
      <alignment horizontal="center" vertical="center"/>
    </xf>
    <xf numFmtId="20" fontId="0" fillId="12" borderId="6" xfId="0" applyNumberFormat="1" applyFill="1" applyBorder="1" applyAlignment="1">
      <alignment horizontal="center" vertical="center"/>
    </xf>
    <xf numFmtId="20" fontId="0" fillId="12" borderId="8" xfId="0" applyNumberFormat="1" applyFill="1" applyBorder="1" applyAlignment="1">
      <alignment horizontal="center" vertical="center"/>
    </xf>
    <xf numFmtId="20" fontId="0" fillId="12" borderId="3" xfId="0" applyNumberFormat="1" applyFill="1" applyBorder="1" applyAlignment="1">
      <alignment horizontal="center" vertical="center" wrapText="1"/>
    </xf>
    <xf numFmtId="20" fontId="0" fillId="12" borderId="6" xfId="0" applyNumberFormat="1" applyFill="1" applyBorder="1" applyAlignment="1">
      <alignment horizontal="center" vertical="center" wrapText="1"/>
    </xf>
    <xf numFmtId="20" fontId="0" fillId="12" borderId="8" xfId="0" applyNumberFormat="1" applyFill="1" applyBorder="1" applyAlignment="1">
      <alignment horizontal="center" vertical="center" wrapText="1"/>
    </xf>
    <xf numFmtId="20" fontId="0" fillId="13" borderId="3" xfId="0" applyNumberFormat="1" applyFill="1" applyBorder="1" applyAlignment="1">
      <alignment horizontal="center" vertical="center"/>
    </xf>
    <xf numFmtId="20" fontId="0" fillId="13" borderId="6" xfId="0" applyNumberFormat="1" applyFill="1" applyBorder="1" applyAlignment="1">
      <alignment horizontal="center" vertical="center"/>
    </xf>
    <xf numFmtId="20" fontId="0" fillId="13" borderId="8" xfId="0" applyNumberFormat="1" applyFill="1" applyBorder="1" applyAlignment="1">
      <alignment horizontal="center" vertical="center"/>
    </xf>
    <xf numFmtId="20" fontId="0" fillId="13" borderId="3" xfId="0" applyNumberFormat="1" applyFill="1" applyBorder="1" applyAlignment="1">
      <alignment horizontal="center" vertical="center" wrapText="1"/>
    </xf>
    <xf numFmtId="20" fontId="0" fillId="13" borderId="6" xfId="0" applyNumberFormat="1" applyFill="1" applyBorder="1" applyAlignment="1">
      <alignment horizontal="center" vertical="center" wrapText="1"/>
    </xf>
    <xf numFmtId="20" fontId="0" fillId="13" borderId="8" xfId="0" applyNumberFormat="1" applyFill="1" applyBorder="1" applyAlignment="1">
      <alignment horizontal="center" vertical="center" wrapText="1"/>
    </xf>
    <xf numFmtId="20" fontId="0" fillId="11" borderId="3" xfId="0" applyNumberFormat="1" applyFill="1" applyBorder="1" applyAlignment="1">
      <alignment horizontal="center" vertical="center"/>
    </xf>
    <xf numFmtId="20" fontId="0" fillId="11" borderId="6" xfId="0" applyNumberFormat="1" applyFill="1" applyBorder="1" applyAlignment="1">
      <alignment horizontal="center" vertical="center"/>
    </xf>
    <xf numFmtId="20" fontId="0" fillId="11" borderId="8" xfId="0" applyNumberFormat="1" applyFill="1" applyBorder="1" applyAlignment="1">
      <alignment horizontal="center" vertical="center"/>
    </xf>
    <xf numFmtId="20" fontId="0" fillId="11" borderId="3" xfId="0" applyNumberFormat="1" applyFill="1" applyBorder="1" applyAlignment="1">
      <alignment horizontal="center" vertical="center" wrapText="1"/>
    </xf>
    <xf numFmtId="20" fontId="0" fillId="11" borderId="6" xfId="0" applyNumberFormat="1" applyFill="1" applyBorder="1" applyAlignment="1">
      <alignment horizontal="center" vertical="center" wrapText="1"/>
    </xf>
    <xf numFmtId="20" fontId="0" fillId="11" borderId="8" xfId="0" applyNumberFormat="1" applyFill="1" applyBorder="1" applyAlignment="1">
      <alignment horizontal="center" vertical="center" wrapText="1"/>
    </xf>
    <xf numFmtId="20" fontId="0" fillId="9" borderId="3" xfId="0" applyNumberFormat="1" applyFill="1" applyBorder="1" applyAlignment="1">
      <alignment horizontal="center" vertical="center"/>
    </xf>
    <xf numFmtId="20" fontId="0" fillId="9" borderId="6" xfId="0" applyNumberFormat="1" applyFill="1" applyBorder="1" applyAlignment="1">
      <alignment horizontal="center" vertical="center"/>
    </xf>
    <xf numFmtId="20" fontId="0" fillId="9" borderId="8" xfId="0" applyNumberFormat="1" applyFill="1" applyBorder="1" applyAlignment="1">
      <alignment horizontal="center" vertical="center"/>
    </xf>
    <xf numFmtId="20" fontId="0" fillId="9" borderId="3" xfId="0" applyNumberFormat="1" applyFill="1" applyBorder="1" applyAlignment="1">
      <alignment horizontal="center" vertical="center" wrapText="1"/>
    </xf>
    <xf numFmtId="20" fontId="0" fillId="9" borderId="6" xfId="0" applyNumberFormat="1" applyFill="1" applyBorder="1" applyAlignment="1">
      <alignment horizontal="center" vertical="center" wrapText="1"/>
    </xf>
    <xf numFmtId="20" fontId="0" fillId="9" borderId="8" xfId="0" applyNumberFormat="1" applyFill="1" applyBorder="1" applyAlignment="1">
      <alignment horizontal="center" vertical="center" wrapText="1"/>
    </xf>
    <xf numFmtId="20" fontId="0" fillId="10" borderId="3" xfId="0" applyNumberFormat="1" applyFill="1" applyBorder="1" applyAlignment="1">
      <alignment horizontal="center" vertical="center"/>
    </xf>
    <xf numFmtId="20" fontId="0" fillId="10" borderId="6" xfId="0" applyNumberFormat="1" applyFill="1" applyBorder="1" applyAlignment="1">
      <alignment horizontal="center" vertical="center"/>
    </xf>
    <xf numFmtId="20" fontId="0" fillId="10" borderId="8" xfId="0" applyNumberFormat="1" applyFill="1" applyBorder="1" applyAlignment="1">
      <alignment horizontal="center" vertical="center"/>
    </xf>
    <xf numFmtId="20" fontId="0" fillId="10" borderId="3" xfId="0" applyNumberFormat="1" applyFill="1" applyBorder="1" applyAlignment="1">
      <alignment horizontal="center" vertical="center" wrapText="1"/>
    </xf>
    <xf numFmtId="20" fontId="0" fillId="10" borderId="6" xfId="0" applyNumberFormat="1" applyFill="1" applyBorder="1" applyAlignment="1">
      <alignment horizontal="center" vertical="center" wrapText="1"/>
    </xf>
    <xf numFmtId="20" fontId="0" fillId="10" borderId="8" xfId="0" applyNumberFormat="1" applyFill="1" applyBorder="1" applyAlignment="1">
      <alignment horizontal="center" vertical="center" wrapText="1"/>
    </xf>
    <xf numFmtId="20" fontId="0" fillId="3" borderId="3" xfId="0" applyNumberFormat="1" applyFill="1" applyBorder="1" applyAlignment="1">
      <alignment horizontal="center" vertical="center"/>
    </xf>
    <xf numFmtId="20" fontId="0" fillId="3" borderId="6" xfId="0" applyNumberFormat="1" applyFill="1" applyBorder="1" applyAlignment="1">
      <alignment horizontal="center" vertical="center"/>
    </xf>
    <xf numFmtId="20" fontId="0" fillId="3" borderId="8" xfId="0" applyNumberFormat="1" applyFill="1" applyBorder="1" applyAlignment="1">
      <alignment horizontal="center" vertical="center"/>
    </xf>
    <xf numFmtId="20" fontId="0" fillId="3" borderId="3" xfId="0" applyNumberFormat="1" applyFill="1" applyBorder="1" applyAlignment="1">
      <alignment horizontal="center" vertical="center" wrapText="1"/>
    </xf>
    <xf numFmtId="20" fontId="0" fillId="3" borderId="6" xfId="0" applyNumberFormat="1" applyFill="1" applyBorder="1" applyAlignment="1">
      <alignment horizontal="center" vertical="center" wrapText="1"/>
    </xf>
    <xf numFmtId="20" fontId="0" fillId="3" borderId="8" xfId="0" applyNumberForma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2F9D8-05A8-4C98-83EA-730A730B4B35}">
  <dimension ref="B5:V18"/>
  <sheetViews>
    <sheetView topLeftCell="D1" workbookViewId="0">
      <selection activeCell="K18" sqref="K18"/>
    </sheetView>
  </sheetViews>
  <sheetFormatPr defaultRowHeight="15" x14ac:dyDescent="0.25"/>
  <cols>
    <col min="8" max="8" width="11" bestFit="1" customWidth="1"/>
    <col min="12" max="12" width="9.85546875" bestFit="1" customWidth="1"/>
    <col min="13" max="13" width="11.42578125" bestFit="1" customWidth="1"/>
    <col min="15" max="15" width="9.85546875" bestFit="1" customWidth="1"/>
    <col min="16" max="16" width="11.42578125" bestFit="1" customWidth="1"/>
    <col min="18" max="18" width="9.85546875" bestFit="1" customWidth="1"/>
    <col min="19" max="19" width="11.42578125" bestFit="1" customWidth="1"/>
    <col min="21" max="21" width="9.85546875" bestFit="1" customWidth="1"/>
    <col min="22" max="22" width="11.42578125" bestFit="1" customWidth="1"/>
  </cols>
  <sheetData>
    <row r="5" spans="2:22" x14ac:dyDescent="0.25">
      <c r="B5" s="1" t="s">
        <v>0</v>
      </c>
      <c r="C5" s="2" t="s">
        <v>1</v>
      </c>
      <c r="D5" s="3" t="s">
        <v>2</v>
      </c>
      <c r="E5" s="4" t="s">
        <v>3</v>
      </c>
      <c r="K5" s="1" t="s">
        <v>0</v>
      </c>
      <c r="L5" s="1" t="s">
        <v>17</v>
      </c>
      <c r="M5" s="1" t="s">
        <v>18</v>
      </c>
      <c r="N5" s="2" t="s">
        <v>1</v>
      </c>
      <c r="O5" s="2" t="s">
        <v>17</v>
      </c>
      <c r="P5" s="2" t="s">
        <v>18</v>
      </c>
      <c r="Q5" s="3" t="s">
        <v>2</v>
      </c>
      <c r="R5" s="3" t="s">
        <v>17</v>
      </c>
      <c r="S5" s="3" t="s">
        <v>18</v>
      </c>
      <c r="T5" s="4" t="s">
        <v>3</v>
      </c>
      <c r="U5" s="4" t="s">
        <v>17</v>
      </c>
      <c r="V5" s="4" t="s">
        <v>18</v>
      </c>
    </row>
    <row r="6" spans="2:22" x14ac:dyDescent="0.25">
      <c r="B6" s="5"/>
      <c r="C6" s="6"/>
      <c r="D6" s="7"/>
      <c r="E6" s="8"/>
      <c r="K6" s="5"/>
      <c r="L6" s="5"/>
      <c r="M6" s="5"/>
      <c r="N6" s="6"/>
      <c r="O6" s="6"/>
      <c r="P6" s="6"/>
      <c r="Q6" s="7"/>
      <c r="R6" s="7"/>
      <c r="S6" s="7"/>
      <c r="T6" s="8"/>
      <c r="U6" s="8"/>
      <c r="V6" s="8"/>
    </row>
    <row r="7" spans="2:22" x14ac:dyDescent="0.25">
      <c r="B7" s="5" t="s">
        <v>4</v>
      </c>
      <c r="C7" s="6" t="s">
        <v>5</v>
      </c>
      <c r="D7" s="7" t="s">
        <v>6</v>
      </c>
      <c r="E7" s="8" t="s">
        <v>7</v>
      </c>
      <c r="G7" s="9" t="s">
        <v>4</v>
      </c>
      <c r="H7" s="9" t="s">
        <v>8</v>
      </c>
      <c r="I7" s="9" t="s">
        <v>12</v>
      </c>
      <c r="K7" s="5" t="s">
        <v>4</v>
      </c>
      <c r="L7" s="5" t="s">
        <v>8</v>
      </c>
      <c r="M7" s="5">
        <v>1</v>
      </c>
      <c r="N7" s="6" t="s">
        <v>5</v>
      </c>
      <c r="O7" s="6" t="s">
        <v>9</v>
      </c>
      <c r="P7" s="6">
        <v>5</v>
      </c>
      <c r="Q7" s="7" t="s">
        <v>6</v>
      </c>
      <c r="R7" s="7" t="s">
        <v>11</v>
      </c>
      <c r="S7" s="7">
        <v>9</v>
      </c>
      <c r="T7" s="8" t="s">
        <v>7</v>
      </c>
      <c r="U7" s="8" t="s">
        <v>10</v>
      </c>
      <c r="V7" s="8">
        <v>13</v>
      </c>
    </row>
    <row r="8" spans="2:22" x14ac:dyDescent="0.25">
      <c r="B8" s="5" t="s">
        <v>5</v>
      </c>
      <c r="C8" s="6" t="s">
        <v>7</v>
      </c>
      <c r="D8" s="7" t="s">
        <v>5</v>
      </c>
      <c r="E8" s="8" t="s">
        <v>4</v>
      </c>
      <c r="G8" s="9" t="s">
        <v>5</v>
      </c>
      <c r="H8" s="9" t="s">
        <v>9</v>
      </c>
      <c r="I8" s="9" t="s">
        <v>13</v>
      </c>
      <c r="K8" s="5" t="s">
        <v>5</v>
      </c>
      <c r="L8" s="5" t="s">
        <v>9</v>
      </c>
      <c r="M8" s="5">
        <v>2</v>
      </c>
      <c r="N8" s="6" t="s">
        <v>7</v>
      </c>
      <c r="O8" s="6" t="s">
        <v>10</v>
      </c>
      <c r="P8" s="6">
        <v>6</v>
      </c>
      <c r="Q8" s="7" t="s">
        <v>5</v>
      </c>
      <c r="R8" s="7" t="s">
        <v>9</v>
      </c>
      <c r="S8" s="7">
        <v>10</v>
      </c>
      <c r="T8" s="8" t="s">
        <v>4</v>
      </c>
      <c r="U8" s="8" t="s">
        <v>8</v>
      </c>
      <c r="V8" s="8">
        <v>14</v>
      </c>
    </row>
    <row r="9" spans="2:22" x14ac:dyDescent="0.25">
      <c r="B9" s="5" t="s">
        <v>7</v>
      </c>
      <c r="C9" s="6" t="s">
        <v>4</v>
      </c>
      <c r="D9" s="7" t="s">
        <v>7</v>
      </c>
      <c r="E9" s="8" t="s">
        <v>6</v>
      </c>
      <c r="G9" s="9" t="s">
        <v>7</v>
      </c>
      <c r="H9" s="9" t="s">
        <v>10</v>
      </c>
      <c r="I9" s="9" t="s">
        <v>14</v>
      </c>
      <c r="K9" s="5" t="s">
        <v>7</v>
      </c>
      <c r="L9" s="5" t="s">
        <v>10</v>
      </c>
      <c r="M9" s="5">
        <v>3</v>
      </c>
      <c r="N9" s="6" t="s">
        <v>4</v>
      </c>
      <c r="O9" s="6" t="s">
        <v>8</v>
      </c>
      <c r="P9" s="6">
        <v>7</v>
      </c>
      <c r="Q9" s="7" t="s">
        <v>7</v>
      </c>
      <c r="R9" s="7" t="s">
        <v>10</v>
      </c>
      <c r="S9" s="7">
        <v>11</v>
      </c>
      <c r="T9" s="8" t="s">
        <v>6</v>
      </c>
      <c r="U9" s="8" t="s">
        <v>11</v>
      </c>
      <c r="V9" s="8">
        <v>15</v>
      </c>
    </row>
    <row r="10" spans="2:22" x14ac:dyDescent="0.25">
      <c r="B10" s="5" t="s">
        <v>6</v>
      </c>
      <c r="C10" s="6" t="s">
        <v>6</v>
      </c>
      <c r="D10" s="7" t="s">
        <v>4</v>
      </c>
      <c r="E10" s="8" t="s">
        <v>5</v>
      </c>
      <c r="G10" s="9" t="s">
        <v>6</v>
      </c>
      <c r="H10" s="9" t="s">
        <v>11</v>
      </c>
      <c r="I10" s="9" t="s">
        <v>15</v>
      </c>
      <c r="K10" s="5" t="s">
        <v>6</v>
      </c>
      <c r="L10" s="5" t="s">
        <v>11</v>
      </c>
      <c r="M10" s="5">
        <v>4</v>
      </c>
      <c r="N10" s="6" t="s">
        <v>6</v>
      </c>
      <c r="O10" s="6" t="s">
        <v>11</v>
      </c>
      <c r="P10" s="6">
        <v>8</v>
      </c>
      <c r="Q10" s="7" t="s">
        <v>4</v>
      </c>
      <c r="R10" s="7" t="s">
        <v>8</v>
      </c>
      <c r="S10" s="7">
        <v>12</v>
      </c>
      <c r="T10" s="8" t="s">
        <v>5</v>
      </c>
      <c r="U10" s="8" t="s">
        <v>9</v>
      </c>
      <c r="V10" s="8">
        <v>16</v>
      </c>
    </row>
    <row r="12" spans="2:22" x14ac:dyDescent="0.25">
      <c r="B12" s="161" t="s">
        <v>16</v>
      </c>
      <c r="C12" s="161"/>
      <c r="D12" s="161"/>
      <c r="E12" s="161"/>
    </row>
    <row r="13" spans="2:22" x14ac:dyDescent="0.25">
      <c r="B13" s="1" t="s">
        <v>0</v>
      </c>
      <c r="C13" s="2" t="s">
        <v>1</v>
      </c>
      <c r="D13" s="3" t="s">
        <v>2</v>
      </c>
      <c r="E13" s="4" t="s">
        <v>3</v>
      </c>
    </row>
    <row r="14" spans="2:22" x14ac:dyDescent="0.25">
      <c r="B14" s="5"/>
      <c r="C14" s="6"/>
      <c r="D14" s="7"/>
      <c r="E14" s="8"/>
    </row>
    <row r="15" spans="2:22" x14ac:dyDescent="0.25">
      <c r="B15" s="5">
        <v>1</v>
      </c>
      <c r="C15" s="6">
        <v>5</v>
      </c>
      <c r="D15" s="7">
        <v>9</v>
      </c>
      <c r="E15" s="8">
        <v>13</v>
      </c>
    </row>
    <row r="16" spans="2:22" x14ac:dyDescent="0.25">
      <c r="B16" s="5">
        <v>2</v>
      </c>
      <c r="C16" s="6">
        <v>6</v>
      </c>
      <c r="D16" s="7">
        <v>10</v>
      </c>
      <c r="E16" s="8">
        <v>14</v>
      </c>
    </row>
    <row r="17" spans="2:5" x14ac:dyDescent="0.25">
      <c r="B17" s="5">
        <v>3</v>
      </c>
      <c r="C17" s="6">
        <v>7</v>
      </c>
      <c r="D17" s="7">
        <v>11</v>
      </c>
      <c r="E17" s="8">
        <v>15</v>
      </c>
    </row>
    <row r="18" spans="2:5" x14ac:dyDescent="0.25">
      <c r="B18" s="5">
        <v>4</v>
      </c>
      <c r="C18" s="6">
        <v>8</v>
      </c>
      <c r="D18" s="7">
        <v>12</v>
      </c>
      <c r="E18" s="8">
        <v>16</v>
      </c>
    </row>
  </sheetData>
  <mergeCells count="1">
    <mergeCell ref="B12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3D307-8602-4C60-AA18-92BE987EC8FB}">
  <dimension ref="A1:FK18"/>
  <sheetViews>
    <sheetView topLeftCell="EX1" workbookViewId="0">
      <selection activeCell="FM15" sqref="FM15"/>
    </sheetView>
  </sheetViews>
  <sheetFormatPr defaultRowHeight="15" x14ac:dyDescent="0.25"/>
  <cols>
    <col min="1" max="1" width="11.42578125" bestFit="1" customWidth="1"/>
    <col min="2" max="2" width="11.7109375" customWidth="1"/>
    <col min="5" max="5" width="11.42578125" bestFit="1" customWidth="1"/>
    <col min="9" max="9" width="11.42578125" bestFit="1" customWidth="1"/>
    <col min="10" max="10" width="11.42578125" customWidth="1"/>
    <col min="11" max="11" width="12.5703125" bestFit="1" customWidth="1"/>
    <col min="12" max="12" width="11.42578125" customWidth="1"/>
    <col min="13" max="13" width="14.85546875" customWidth="1"/>
    <col min="15" max="15" width="11.42578125" bestFit="1" customWidth="1"/>
    <col min="16" max="16" width="11.28515625" bestFit="1" customWidth="1"/>
    <col min="17" max="17" width="12.5703125" bestFit="1" customWidth="1"/>
    <col min="18" max="18" width="11.140625" bestFit="1" customWidth="1"/>
    <col min="19" max="19" width="10.5703125" customWidth="1"/>
    <col min="21" max="21" width="11.42578125" bestFit="1" customWidth="1"/>
    <col min="22" max="22" width="11.42578125" customWidth="1"/>
    <col min="23" max="23" width="11.28515625" bestFit="1" customWidth="1"/>
    <col min="24" max="24" width="12.5703125" bestFit="1" customWidth="1"/>
    <col min="25" max="25" width="11.140625" bestFit="1" customWidth="1"/>
    <col min="26" max="26" width="9.85546875" customWidth="1"/>
    <col min="27" max="27" width="10.42578125" bestFit="1" customWidth="1"/>
    <col min="28" max="28" width="8.28515625" customWidth="1"/>
    <col min="29" max="29" width="11.42578125" bestFit="1" customWidth="1"/>
    <col min="30" max="30" width="10.42578125" bestFit="1" customWidth="1"/>
    <col min="31" max="31" width="11.28515625" bestFit="1" customWidth="1"/>
    <col min="32" max="32" width="12.5703125" bestFit="1" customWidth="1"/>
    <col min="33" max="33" width="11.140625" bestFit="1" customWidth="1"/>
    <col min="34" max="34" width="11.5703125" customWidth="1"/>
    <col min="35" max="35" width="10.42578125" bestFit="1" customWidth="1"/>
    <col min="37" max="37" width="11.42578125" bestFit="1" customWidth="1"/>
    <col min="38" max="38" width="10.42578125" bestFit="1" customWidth="1"/>
    <col min="39" max="39" width="11.28515625" bestFit="1" customWidth="1"/>
    <col min="40" max="40" width="12.5703125" bestFit="1" customWidth="1"/>
    <col min="41" max="41" width="11.140625" bestFit="1" customWidth="1"/>
    <col min="42" max="42" width="11.5703125" customWidth="1"/>
    <col min="43" max="43" width="10.42578125" bestFit="1" customWidth="1"/>
    <col min="45" max="45" width="11.42578125" bestFit="1" customWidth="1"/>
    <col min="46" max="46" width="10.42578125" bestFit="1" customWidth="1"/>
    <col min="47" max="47" width="11.28515625" bestFit="1" customWidth="1"/>
    <col min="48" max="48" width="12.5703125" bestFit="1" customWidth="1"/>
    <col min="49" max="49" width="11.140625" bestFit="1" customWidth="1"/>
    <col min="50" max="50" width="11.140625" customWidth="1"/>
    <col min="51" max="51" width="10.42578125" bestFit="1" customWidth="1"/>
    <col min="53" max="53" width="11.42578125" bestFit="1" customWidth="1"/>
    <col min="54" max="54" width="10.42578125" bestFit="1" customWidth="1"/>
    <col min="55" max="55" width="11.28515625" bestFit="1" customWidth="1"/>
    <col min="56" max="56" width="12.5703125" bestFit="1" customWidth="1"/>
    <col min="57" max="57" width="11.140625" bestFit="1" customWidth="1"/>
    <col min="58" max="58" width="10.140625" customWidth="1"/>
    <col min="59" max="59" width="10.42578125" bestFit="1" customWidth="1"/>
    <col min="61" max="61" width="11.42578125" bestFit="1" customWidth="1"/>
    <col min="62" max="62" width="10.42578125" bestFit="1" customWidth="1"/>
    <col min="63" max="63" width="11.28515625" bestFit="1" customWidth="1"/>
    <col min="64" max="64" width="12.5703125" bestFit="1" customWidth="1"/>
    <col min="65" max="65" width="11.140625" bestFit="1" customWidth="1"/>
    <col min="66" max="66" width="12.5703125" customWidth="1"/>
    <col min="67" max="67" width="10.42578125" bestFit="1" customWidth="1"/>
    <col min="69" max="69" width="11.42578125" bestFit="1" customWidth="1"/>
    <col min="70" max="70" width="10.42578125" bestFit="1" customWidth="1"/>
    <col min="71" max="71" width="11.28515625" bestFit="1" customWidth="1"/>
    <col min="72" max="72" width="12.5703125" bestFit="1" customWidth="1"/>
    <col min="73" max="73" width="11.140625" bestFit="1" customWidth="1"/>
    <col min="74" max="74" width="9.85546875" customWidth="1"/>
    <col min="75" max="75" width="10.42578125" bestFit="1" customWidth="1"/>
    <col min="78" max="78" width="11.42578125" bestFit="1" customWidth="1"/>
    <col min="79" max="79" width="10.42578125" bestFit="1" customWidth="1"/>
    <col min="80" max="80" width="11.28515625" bestFit="1" customWidth="1"/>
    <col min="81" max="81" width="12.5703125" bestFit="1" customWidth="1"/>
    <col min="82" max="82" width="11.140625" bestFit="1" customWidth="1"/>
    <col min="83" max="83" width="11.140625" customWidth="1"/>
    <col min="85" max="85" width="11.42578125" bestFit="1" customWidth="1"/>
    <col min="86" max="86" width="10.42578125" bestFit="1" customWidth="1"/>
    <col min="87" max="87" width="11.28515625" bestFit="1" customWidth="1"/>
    <col min="88" max="88" width="12.5703125" bestFit="1" customWidth="1"/>
    <col min="89" max="89" width="11.140625" bestFit="1" customWidth="1"/>
    <col min="90" max="90" width="12.28515625" customWidth="1"/>
    <col min="92" max="92" width="11.42578125" bestFit="1" customWidth="1"/>
    <col min="93" max="93" width="10.42578125" bestFit="1" customWidth="1"/>
    <col min="94" max="94" width="11.28515625" bestFit="1" customWidth="1"/>
    <col min="95" max="95" width="12.5703125" bestFit="1" customWidth="1"/>
    <col min="96" max="96" width="11.140625" bestFit="1" customWidth="1"/>
    <col min="97" max="97" width="11.85546875" customWidth="1"/>
    <col min="99" max="99" width="11.42578125" bestFit="1" customWidth="1"/>
    <col min="100" max="100" width="10.42578125" bestFit="1" customWidth="1"/>
    <col min="101" max="101" width="11.28515625" bestFit="1" customWidth="1"/>
    <col min="102" max="102" width="12.5703125" bestFit="1" customWidth="1"/>
    <col min="103" max="103" width="11.140625" bestFit="1" customWidth="1"/>
    <col min="104" max="104" width="12.7109375" customWidth="1"/>
    <col min="106" max="106" width="11.42578125" bestFit="1" customWidth="1"/>
    <col min="107" max="107" width="10.42578125" bestFit="1" customWidth="1"/>
    <col min="108" max="108" width="11.28515625" bestFit="1" customWidth="1"/>
    <col min="109" max="109" width="12.5703125" bestFit="1" customWidth="1"/>
    <col min="110" max="110" width="11.140625" bestFit="1" customWidth="1"/>
    <col min="111" max="111" width="12.85546875" customWidth="1"/>
    <col min="113" max="113" width="11.42578125" bestFit="1" customWidth="1"/>
    <col min="114" max="114" width="10.42578125" bestFit="1" customWidth="1"/>
    <col min="115" max="115" width="11.28515625" bestFit="1" customWidth="1"/>
    <col min="116" max="116" width="12.5703125" bestFit="1" customWidth="1"/>
    <col min="117" max="117" width="11.85546875" customWidth="1"/>
    <col min="118" max="118" width="11.5703125" customWidth="1"/>
    <col min="120" max="120" width="11.42578125" bestFit="1" customWidth="1"/>
    <col min="121" max="121" width="10.42578125" bestFit="1" customWidth="1"/>
    <col min="122" max="122" width="11.28515625" bestFit="1" customWidth="1"/>
    <col min="123" max="123" width="12.5703125" bestFit="1" customWidth="1"/>
    <col min="124" max="124" width="11.85546875" customWidth="1"/>
    <col min="125" max="125" width="12" customWidth="1"/>
    <col min="127" max="127" width="11.42578125" bestFit="1" customWidth="1"/>
    <col min="128" max="128" width="10.42578125" bestFit="1" customWidth="1"/>
    <col min="129" max="129" width="11.28515625" bestFit="1" customWidth="1"/>
    <col min="130" max="130" width="12.5703125" bestFit="1" customWidth="1"/>
    <col min="131" max="131" width="11.140625" bestFit="1" customWidth="1"/>
    <col min="132" max="132" width="12.28515625" customWidth="1"/>
    <col min="134" max="134" width="11.42578125" bestFit="1" customWidth="1"/>
    <col min="135" max="135" width="11.140625" customWidth="1"/>
    <col min="136" max="136" width="11.28515625" bestFit="1" customWidth="1"/>
    <col min="137" max="137" width="12.5703125" bestFit="1" customWidth="1"/>
    <col min="138" max="138" width="11.140625" bestFit="1" customWidth="1"/>
    <col min="139" max="139" width="14" customWidth="1"/>
    <col min="141" max="141" width="11.42578125" bestFit="1" customWidth="1"/>
    <col min="142" max="142" width="10.42578125" bestFit="1" customWidth="1"/>
    <col min="143" max="143" width="11.28515625" bestFit="1" customWidth="1"/>
    <col min="144" max="144" width="12.5703125" bestFit="1" customWidth="1"/>
    <col min="145" max="145" width="11.140625" bestFit="1" customWidth="1"/>
    <col min="146" max="146" width="13.5703125" customWidth="1"/>
    <col min="148" max="148" width="11.42578125" bestFit="1" customWidth="1"/>
    <col min="149" max="149" width="10.42578125" bestFit="1" customWidth="1"/>
    <col min="150" max="150" width="11.28515625" bestFit="1" customWidth="1"/>
    <col min="151" max="151" width="12.5703125" bestFit="1" customWidth="1"/>
    <col min="152" max="152" width="11.140625" bestFit="1" customWidth="1"/>
    <col min="155" max="155" width="11.42578125" bestFit="1" customWidth="1"/>
    <col min="156" max="156" width="10.42578125" bestFit="1" customWidth="1"/>
    <col min="157" max="157" width="11.28515625" bestFit="1" customWidth="1"/>
    <col min="158" max="158" width="12.5703125" bestFit="1" customWidth="1"/>
    <col min="159" max="159" width="12.85546875" customWidth="1"/>
    <col min="160" max="160" width="15.42578125" customWidth="1"/>
    <col min="162" max="162" width="11.42578125" bestFit="1" customWidth="1"/>
    <col min="163" max="163" width="10.42578125" bestFit="1" customWidth="1"/>
    <col min="164" max="164" width="11.28515625" bestFit="1" customWidth="1"/>
    <col min="165" max="165" width="12.5703125" bestFit="1" customWidth="1"/>
    <col min="166" max="166" width="13.5703125" customWidth="1"/>
    <col min="167" max="167" width="12.28515625" customWidth="1"/>
  </cols>
  <sheetData>
    <row r="1" spans="1:167" x14ac:dyDescent="0.25">
      <c r="B1" s="12" t="s">
        <v>20</v>
      </c>
      <c r="J1" s="11"/>
      <c r="K1" s="14" t="s">
        <v>23</v>
      </c>
      <c r="L1" s="11"/>
      <c r="M1" s="11"/>
      <c r="P1" s="11"/>
      <c r="Q1" s="14" t="s">
        <v>23</v>
      </c>
      <c r="R1" s="11"/>
      <c r="S1" s="11"/>
      <c r="W1" s="11"/>
      <c r="X1" s="14" t="s">
        <v>23</v>
      </c>
      <c r="Y1" s="11"/>
      <c r="Z1" s="11"/>
      <c r="AE1" s="11" t="s">
        <v>35</v>
      </c>
      <c r="AF1" s="14" t="s">
        <v>23</v>
      </c>
      <c r="AG1" s="11"/>
      <c r="AH1" s="11"/>
      <c r="AM1" s="11" t="s">
        <v>37</v>
      </c>
      <c r="AN1" s="14" t="s">
        <v>23</v>
      </c>
      <c r="AO1" s="11"/>
      <c r="AP1" s="11"/>
      <c r="AU1" s="11" t="s">
        <v>39</v>
      </c>
      <c r="AV1" s="14" t="s">
        <v>23</v>
      </c>
      <c r="AW1" s="11"/>
      <c r="AX1" s="11"/>
      <c r="BC1" s="11" t="s">
        <v>41</v>
      </c>
      <c r="BD1" s="14" t="s">
        <v>23</v>
      </c>
      <c r="BE1" s="11"/>
      <c r="BF1" s="11"/>
      <c r="BK1" s="11" t="s">
        <v>46</v>
      </c>
      <c r="BL1" s="14" t="s">
        <v>23</v>
      </c>
      <c r="BM1" s="11"/>
      <c r="BN1" s="11"/>
      <c r="BS1" s="11" t="s">
        <v>50</v>
      </c>
      <c r="BT1" s="14" t="s">
        <v>23</v>
      </c>
      <c r="BU1" s="11"/>
      <c r="BV1" s="11"/>
      <c r="CB1" s="11" t="s">
        <v>50</v>
      </c>
      <c r="CC1" s="14" t="s">
        <v>23</v>
      </c>
      <c r="CD1" s="11"/>
      <c r="CE1" s="11"/>
      <c r="CI1" s="11" t="s">
        <v>57</v>
      </c>
      <c r="CJ1" s="14" t="s">
        <v>23</v>
      </c>
      <c r="CK1" s="11"/>
      <c r="CL1" s="11"/>
      <c r="CP1" s="11" t="s">
        <v>60</v>
      </c>
      <c r="CQ1" s="14" t="s">
        <v>23</v>
      </c>
      <c r="CR1" s="11"/>
      <c r="CS1" s="11"/>
      <c r="CW1" s="11" t="s">
        <v>65</v>
      </c>
      <c r="CX1" s="14" t="s">
        <v>23</v>
      </c>
      <c r="CY1" s="11"/>
      <c r="CZ1" s="11"/>
      <c r="DD1" s="11" t="s">
        <v>67</v>
      </c>
      <c r="DE1" s="14" t="s">
        <v>23</v>
      </c>
      <c r="DF1" s="11"/>
      <c r="DG1" s="11"/>
      <c r="DK1" s="11" t="s">
        <v>70</v>
      </c>
      <c r="DL1" s="14" t="s">
        <v>23</v>
      </c>
      <c r="DM1" s="11"/>
      <c r="DN1" s="11"/>
      <c r="DR1" s="11" t="s">
        <v>100</v>
      </c>
      <c r="DS1" s="14" t="s">
        <v>23</v>
      </c>
      <c r="DT1" s="11"/>
      <c r="DU1" s="11"/>
      <c r="DY1" s="11" t="s">
        <v>101</v>
      </c>
      <c r="DZ1" s="14" t="s">
        <v>23</v>
      </c>
      <c r="EA1" s="11"/>
      <c r="EB1" s="11"/>
      <c r="EF1" s="11" t="s">
        <v>104</v>
      </c>
      <c r="EG1" s="14" t="s">
        <v>23</v>
      </c>
      <c r="EH1" s="11"/>
      <c r="EI1" s="11"/>
      <c r="EM1" s="11" t="s">
        <v>106</v>
      </c>
      <c r="EN1" s="14" t="s">
        <v>23</v>
      </c>
      <c r="EO1" s="11"/>
      <c r="EP1" s="11"/>
      <c r="ET1" s="11" t="s">
        <v>107</v>
      </c>
      <c r="EU1" s="14" t="s">
        <v>23</v>
      </c>
      <c r="EV1" s="11"/>
      <c r="EW1" s="11"/>
      <c r="FA1" s="11" t="s">
        <v>110</v>
      </c>
      <c r="FB1" s="14" t="s">
        <v>23</v>
      </c>
      <c r="FC1" s="11"/>
      <c r="FD1" s="11"/>
      <c r="FH1" s="11" t="s">
        <v>127</v>
      </c>
      <c r="FI1" s="14" t="s">
        <v>23</v>
      </c>
      <c r="FJ1" s="11"/>
      <c r="FK1" s="11"/>
    </row>
    <row r="2" spans="1:167" ht="32.25" customHeight="1" x14ac:dyDescent="0.25">
      <c r="A2" s="3" t="s">
        <v>18</v>
      </c>
      <c r="B2" s="10" t="s">
        <v>19</v>
      </c>
      <c r="C2" s="10" t="s">
        <v>21</v>
      </c>
      <c r="E2" s="3" t="s">
        <v>18</v>
      </c>
      <c r="F2" s="10" t="s">
        <v>22</v>
      </c>
      <c r="G2" s="10" t="s">
        <v>21</v>
      </c>
      <c r="I2" s="3" t="s">
        <v>18</v>
      </c>
      <c r="J2" s="10" t="s">
        <v>27</v>
      </c>
      <c r="K2" s="10" t="s">
        <v>24</v>
      </c>
      <c r="L2" s="10" t="s">
        <v>25</v>
      </c>
      <c r="M2" s="10" t="s">
        <v>26</v>
      </c>
      <c r="O2" s="3" t="s">
        <v>18</v>
      </c>
      <c r="P2" s="10" t="s">
        <v>28</v>
      </c>
      <c r="Q2" s="10" t="s">
        <v>24</v>
      </c>
      <c r="R2" s="10" t="s">
        <v>25</v>
      </c>
      <c r="S2" s="10" t="s">
        <v>26</v>
      </c>
      <c r="U2" s="3" t="s">
        <v>18</v>
      </c>
      <c r="V2" s="3" t="s">
        <v>31</v>
      </c>
      <c r="W2" s="10" t="s">
        <v>29</v>
      </c>
      <c r="X2" s="10" t="s">
        <v>24</v>
      </c>
      <c r="Y2" s="10" t="s">
        <v>25</v>
      </c>
      <c r="Z2" s="10" t="s">
        <v>26</v>
      </c>
      <c r="AA2" s="10" t="s">
        <v>30</v>
      </c>
      <c r="AC2" s="3" t="s">
        <v>18</v>
      </c>
      <c r="AD2" s="3" t="s">
        <v>31</v>
      </c>
      <c r="AE2" s="10" t="s">
        <v>34</v>
      </c>
      <c r="AF2" s="10" t="s">
        <v>24</v>
      </c>
      <c r="AG2" s="10" t="s">
        <v>25</v>
      </c>
      <c r="AH2" s="10" t="s">
        <v>26</v>
      </c>
      <c r="AI2" s="10" t="s">
        <v>30</v>
      </c>
      <c r="AK2" s="3" t="s">
        <v>18</v>
      </c>
      <c r="AL2" s="3" t="s">
        <v>31</v>
      </c>
      <c r="AM2" s="10" t="s">
        <v>36</v>
      </c>
      <c r="AN2" s="10" t="s">
        <v>24</v>
      </c>
      <c r="AO2" s="10" t="s">
        <v>25</v>
      </c>
      <c r="AP2" s="10" t="s">
        <v>26</v>
      </c>
      <c r="AQ2" s="10" t="s">
        <v>30</v>
      </c>
      <c r="AS2" s="3" t="s">
        <v>18</v>
      </c>
      <c r="AT2" s="3" t="s">
        <v>31</v>
      </c>
      <c r="AU2" s="10" t="s">
        <v>47</v>
      </c>
      <c r="AV2" s="10" t="s">
        <v>24</v>
      </c>
      <c r="AW2" s="10" t="s">
        <v>25</v>
      </c>
      <c r="AX2" s="10" t="s">
        <v>26</v>
      </c>
      <c r="AY2" s="10" t="s">
        <v>30</v>
      </c>
      <c r="BA2" s="3" t="s">
        <v>18</v>
      </c>
      <c r="BB2" s="3" t="s">
        <v>31</v>
      </c>
      <c r="BC2" s="10" t="s">
        <v>48</v>
      </c>
      <c r="BD2" s="10" t="s">
        <v>24</v>
      </c>
      <c r="BE2" s="10" t="s">
        <v>25</v>
      </c>
      <c r="BF2" s="10" t="s">
        <v>26</v>
      </c>
      <c r="BG2" s="10" t="s">
        <v>30</v>
      </c>
      <c r="BI2" s="3" t="s">
        <v>18</v>
      </c>
      <c r="BJ2" s="3" t="s">
        <v>31</v>
      </c>
      <c r="BK2" s="10" t="s">
        <v>49</v>
      </c>
      <c r="BL2" s="10" t="s">
        <v>24</v>
      </c>
      <c r="BM2" s="10" t="s">
        <v>25</v>
      </c>
      <c r="BN2" s="10" t="s">
        <v>26</v>
      </c>
      <c r="BO2" s="10" t="s">
        <v>30</v>
      </c>
      <c r="BQ2" s="3" t="s">
        <v>18</v>
      </c>
      <c r="BR2" s="3" t="s">
        <v>31</v>
      </c>
      <c r="BS2" s="10" t="s">
        <v>52</v>
      </c>
      <c r="BT2" s="10" t="s">
        <v>24</v>
      </c>
      <c r="BU2" s="10" t="s">
        <v>25</v>
      </c>
      <c r="BV2" s="10" t="s">
        <v>26</v>
      </c>
      <c r="BW2" s="10" t="s">
        <v>30</v>
      </c>
      <c r="BZ2" s="3" t="s">
        <v>18</v>
      </c>
      <c r="CA2" s="3" t="s">
        <v>31</v>
      </c>
      <c r="CB2" s="10" t="s">
        <v>53</v>
      </c>
      <c r="CC2" s="10" t="s">
        <v>24</v>
      </c>
      <c r="CD2" s="10" t="s">
        <v>25</v>
      </c>
      <c r="CE2" s="10" t="s">
        <v>26</v>
      </c>
      <c r="CG2" s="3" t="s">
        <v>18</v>
      </c>
      <c r="CH2" s="3" t="s">
        <v>31</v>
      </c>
      <c r="CI2" s="10" t="s">
        <v>54</v>
      </c>
      <c r="CJ2" s="10" t="s">
        <v>24</v>
      </c>
      <c r="CK2" s="10" t="s">
        <v>25</v>
      </c>
      <c r="CL2" s="10" t="s">
        <v>26</v>
      </c>
      <c r="CN2" s="3" t="s">
        <v>18</v>
      </c>
      <c r="CO2" s="3" t="s">
        <v>31</v>
      </c>
      <c r="CP2" s="10" t="s">
        <v>61</v>
      </c>
      <c r="CQ2" s="10" t="s">
        <v>24</v>
      </c>
      <c r="CR2" s="10" t="s">
        <v>25</v>
      </c>
      <c r="CS2" s="10" t="s">
        <v>26</v>
      </c>
      <c r="CU2" s="3" t="s">
        <v>18</v>
      </c>
      <c r="CV2" s="3" t="s">
        <v>31</v>
      </c>
      <c r="CW2" s="10" t="s">
        <v>64</v>
      </c>
      <c r="CX2" s="10" t="s">
        <v>24</v>
      </c>
      <c r="CY2" s="10" t="s">
        <v>25</v>
      </c>
      <c r="CZ2" s="10" t="s">
        <v>26</v>
      </c>
      <c r="DB2" s="3" t="s">
        <v>18</v>
      </c>
      <c r="DC2" s="3" t="s">
        <v>31</v>
      </c>
      <c r="DD2" s="10" t="s">
        <v>68</v>
      </c>
      <c r="DE2" s="10" t="s">
        <v>24</v>
      </c>
      <c r="DF2" s="10" t="s">
        <v>25</v>
      </c>
      <c r="DG2" s="10" t="s">
        <v>26</v>
      </c>
      <c r="DI2" s="3" t="s">
        <v>18</v>
      </c>
      <c r="DJ2" s="3" t="s">
        <v>31</v>
      </c>
      <c r="DK2" s="10" t="s">
        <v>69</v>
      </c>
      <c r="DL2" s="10" t="s">
        <v>24</v>
      </c>
      <c r="DM2" s="10" t="s">
        <v>25</v>
      </c>
      <c r="DN2" s="10" t="s">
        <v>26</v>
      </c>
      <c r="DP2" s="3" t="s">
        <v>18</v>
      </c>
      <c r="DQ2" s="3" t="s">
        <v>31</v>
      </c>
      <c r="DR2" s="10" t="s">
        <v>99</v>
      </c>
      <c r="DS2" s="10" t="s">
        <v>24</v>
      </c>
      <c r="DT2" s="10" t="s">
        <v>25</v>
      </c>
      <c r="DU2" s="10" t="s">
        <v>26</v>
      </c>
      <c r="DW2" s="3" t="s">
        <v>18</v>
      </c>
      <c r="DX2" s="3" t="s">
        <v>31</v>
      </c>
      <c r="DY2" s="10" t="s">
        <v>102</v>
      </c>
      <c r="DZ2" s="10" t="s">
        <v>24</v>
      </c>
      <c r="EA2" s="10" t="s">
        <v>25</v>
      </c>
      <c r="EB2" s="10" t="s">
        <v>26</v>
      </c>
      <c r="ED2" s="3" t="s">
        <v>18</v>
      </c>
      <c r="EE2" s="3" t="s">
        <v>31</v>
      </c>
      <c r="EF2" s="10" t="s">
        <v>103</v>
      </c>
      <c r="EG2" s="10" t="s">
        <v>24</v>
      </c>
      <c r="EH2" s="10" t="s">
        <v>25</v>
      </c>
      <c r="EI2" s="10" t="s">
        <v>26</v>
      </c>
      <c r="EK2" s="3" t="s">
        <v>18</v>
      </c>
      <c r="EL2" s="3" t="s">
        <v>31</v>
      </c>
      <c r="EM2" s="10" t="s">
        <v>109</v>
      </c>
      <c r="EN2" s="10" t="s">
        <v>24</v>
      </c>
      <c r="EO2" s="10" t="s">
        <v>25</v>
      </c>
      <c r="EP2" s="10" t="s">
        <v>26</v>
      </c>
      <c r="ER2" s="3" t="s">
        <v>18</v>
      </c>
      <c r="ES2" s="3" t="s">
        <v>31</v>
      </c>
      <c r="ET2" s="10" t="s">
        <v>108</v>
      </c>
      <c r="EU2" s="10" t="s">
        <v>24</v>
      </c>
      <c r="EV2" s="10" t="s">
        <v>25</v>
      </c>
      <c r="EW2" s="10" t="s">
        <v>26</v>
      </c>
      <c r="EY2" s="3" t="s">
        <v>18</v>
      </c>
      <c r="EZ2" s="3" t="s">
        <v>31</v>
      </c>
      <c r="FA2" s="10" t="s">
        <v>111</v>
      </c>
      <c r="FB2" s="10" t="s">
        <v>24</v>
      </c>
      <c r="FC2" s="10" t="s">
        <v>25</v>
      </c>
      <c r="FD2" s="10" t="s">
        <v>26</v>
      </c>
      <c r="FF2" s="3" t="s">
        <v>18</v>
      </c>
      <c r="FG2" s="3" t="s">
        <v>31</v>
      </c>
      <c r="FH2" s="10" t="s">
        <v>128</v>
      </c>
      <c r="FI2" s="10" t="s">
        <v>24</v>
      </c>
      <c r="FJ2" s="10" t="s">
        <v>25</v>
      </c>
      <c r="FK2" s="10" t="s">
        <v>26</v>
      </c>
    </row>
    <row r="3" spans="1:167" x14ac:dyDescent="0.25">
      <c r="A3" s="11">
        <v>1</v>
      </c>
      <c r="B3" s="11">
        <v>1603.6</v>
      </c>
      <c r="C3" s="13">
        <v>43344</v>
      </c>
      <c r="E3" s="11">
        <v>1</v>
      </c>
      <c r="F3" s="11">
        <v>2919.9</v>
      </c>
      <c r="G3" s="13">
        <v>44075</v>
      </c>
      <c r="I3" s="11">
        <v>1</v>
      </c>
      <c r="J3" s="11">
        <v>2818.7</v>
      </c>
      <c r="K3" s="11">
        <f>F3-B3</f>
        <v>1316.3000000000002</v>
      </c>
      <c r="L3" s="11">
        <f>J3-B3</f>
        <v>1215.0999999999999</v>
      </c>
      <c r="M3" s="15">
        <f>(L3/K3)*100</f>
        <v>92.311783028185047</v>
      </c>
      <c r="O3" s="11">
        <v>1</v>
      </c>
      <c r="P3" s="11">
        <v>2762.99</v>
      </c>
      <c r="Q3" s="11">
        <v>1316.3000000000002</v>
      </c>
      <c r="R3" s="11">
        <f>P3-B3</f>
        <v>1159.3899999999999</v>
      </c>
      <c r="S3" s="15">
        <f>(R3/Q3)*100</f>
        <v>88.079465167514982</v>
      </c>
      <c r="U3" s="11">
        <v>1</v>
      </c>
      <c r="V3" s="11" t="s">
        <v>32</v>
      </c>
      <c r="W3" s="11">
        <v>2744.73</v>
      </c>
      <c r="X3" s="11">
        <v>1316.3000000000002</v>
      </c>
      <c r="Y3" s="11">
        <f>W3-B3</f>
        <v>1141.1300000000001</v>
      </c>
      <c r="Z3" s="15">
        <f>(Y3/X3)*100</f>
        <v>86.692243409557094</v>
      </c>
      <c r="AA3" s="16">
        <f>(Y3/R3)*100</f>
        <v>98.425033854009456</v>
      </c>
      <c r="AC3" s="11">
        <v>1</v>
      </c>
      <c r="AD3" s="11" t="s">
        <v>32</v>
      </c>
      <c r="AE3" s="11">
        <v>2721.96</v>
      </c>
      <c r="AF3" s="11">
        <v>1316.3000000000002</v>
      </c>
      <c r="AG3" s="11">
        <f>AE3-B3</f>
        <v>1118.3600000000001</v>
      </c>
      <c r="AH3" s="15">
        <f>(AG3/AF3)*100</f>
        <v>84.962394590898725</v>
      </c>
      <c r="AI3" s="16">
        <f>(AG3/Y3)*100</f>
        <v>98.004609466055584</v>
      </c>
      <c r="AK3" s="11">
        <v>1</v>
      </c>
      <c r="AL3" s="11" t="s">
        <v>32</v>
      </c>
      <c r="AM3" s="11">
        <v>2695.43</v>
      </c>
      <c r="AN3" s="11">
        <v>1316.3000000000002</v>
      </c>
      <c r="AO3" s="11">
        <f>AM3-B3</f>
        <v>1091.83</v>
      </c>
      <c r="AP3" s="15">
        <f>(AO3/AN3)*100</f>
        <v>82.946896604117583</v>
      </c>
      <c r="AQ3" s="16">
        <f>(AO3/AG3)*100</f>
        <v>97.627776386852162</v>
      </c>
      <c r="AS3" s="11">
        <v>1</v>
      </c>
      <c r="AT3" s="11" t="s">
        <v>38</v>
      </c>
      <c r="AU3" s="11">
        <v>2651.64</v>
      </c>
      <c r="AV3" s="11">
        <v>1316.3000000000002</v>
      </c>
      <c r="AW3" s="11">
        <f>AU3-B3</f>
        <v>1048.04</v>
      </c>
      <c r="AX3" s="15">
        <f>(AW3/AV3)*100</f>
        <v>79.62014738281546</v>
      </c>
      <c r="AY3" s="16">
        <f>(AW3/AO3)*100</f>
        <v>95.989302363921126</v>
      </c>
      <c r="BA3" s="11">
        <v>1</v>
      </c>
      <c r="BB3" s="11" t="s">
        <v>38</v>
      </c>
      <c r="BC3" s="11">
        <v>2549.11</v>
      </c>
      <c r="BD3" s="11">
        <v>1316.3000000000002</v>
      </c>
      <c r="BE3" s="11">
        <f>BC3-B3</f>
        <v>945.51000000000022</v>
      </c>
      <c r="BF3" s="15">
        <f>(BE3/BD3)*100</f>
        <v>71.830889614829445</v>
      </c>
      <c r="BG3" s="16">
        <f>(BE3/AW3)*100</f>
        <v>90.216976451280502</v>
      </c>
      <c r="BI3" s="11">
        <v>1</v>
      </c>
      <c r="BJ3" s="11" t="s">
        <v>38</v>
      </c>
      <c r="BK3" s="11">
        <v>2498.34</v>
      </c>
      <c r="BL3" s="11">
        <v>1316.3000000000002</v>
      </c>
      <c r="BM3" s="11">
        <f>BK3-B3</f>
        <v>894.74000000000024</v>
      </c>
      <c r="BN3" s="15">
        <f>(BM3/BL3)*100</f>
        <v>67.973866139937712</v>
      </c>
      <c r="BO3" s="16">
        <f>(BM3/BE3)*100</f>
        <v>94.630411100887358</v>
      </c>
      <c r="BQ3" s="11">
        <v>1</v>
      </c>
      <c r="BR3" s="11" t="s">
        <v>40</v>
      </c>
      <c r="BS3" s="11">
        <v>2439.61</v>
      </c>
      <c r="BT3" s="11">
        <v>1316.3000000000002</v>
      </c>
      <c r="BU3" s="11">
        <f>BS3-B3</f>
        <v>836.01000000000022</v>
      </c>
      <c r="BV3" s="15">
        <f>(BU3/BT3)*100</f>
        <v>63.512117298488192</v>
      </c>
      <c r="BW3" s="16">
        <f>(BU3/BM3)*100</f>
        <v>93.43608199029886</v>
      </c>
      <c r="BX3">
        <v>58</v>
      </c>
      <c r="BZ3" s="11">
        <v>1</v>
      </c>
      <c r="CA3" s="11" t="s">
        <v>40</v>
      </c>
      <c r="CB3" s="11">
        <v>2417.7800000000002</v>
      </c>
      <c r="CC3" s="11">
        <v>1316.3000000000002</v>
      </c>
      <c r="CD3" s="11">
        <f>CB3-B3</f>
        <v>814.18000000000029</v>
      </c>
      <c r="CE3" s="15">
        <f>(CD3/CC3)*100</f>
        <v>61.853680771860532</v>
      </c>
      <c r="CG3" s="11">
        <v>1</v>
      </c>
      <c r="CH3" s="11" t="s">
        <v>40</v>
      </c>
      <c r="CI3" s="11">
        <v>2343.67</v>
      </c>
      <c r="CJ3" s="11">
        <v>1316.3000000000002</v>
      </c>
      <c r="CK3" s="11">
        <f>CI3-B3</f>
        <v>740.07000000000016</v>
      </c>
      <c r="CL3" s="15">
        <f>(CK3/CJ3)*100</f>
        <v>56.223505279951382</v>
      </c>
      <c r="CN3" s="11">
        <v>1</v>
      </c>
      <c r="CO3" s="11" t="s">
        <v>55</v>
      </c>
      <c r="CP3" s="11">
        <v>2255.1</v>
      </c>
      <c r="CQ3" s="11">
        <v>1316.3000000000002</v>
      </c>
      <c r="CR3" s="11">
        <f>CP3-B3</f>
        <v>651.5</v>
      </c>
      <c r="CS3" s="15">
        <f>(CR3/CQ3)*100</f>
        <v>49.494796019144566</v>
      </c>
      <c r="CU3" s="11">
        <v>1</v>
      </c>
      <c r="CV3" s="11" t="s">
        <v>55</v>
      </c>
      <c r="CW3" s="11">
        <v>2381.06</v>
      </c>
      <c r="CX3" s="11">
        <v>1316.3000000000002</v>
      </c>
      <c r="CY3" s="11">
        <f>CW3-B3</f>
        <v>777.46</v>
      </c>
      <c r="CZ3" s="15">
        <f>(CY3/CX3)*100</f>
        <v>59.064043151257309</v>
      </c>
      <c r="DB3" s="11">
        <v>1</v>
      </c>
      <c r="DC3" s="11" t="s">
        <v>55</v>
      </c>
      <c r="DD3" s="11">
        <v>2440.0100000000002</v>
      </c>
      <c r="DE3" s="11">
        <v>1316.3000000000002</v>
      </c>
      <c r="DF3" s="11">
        <f>DD3-B3</f>
        <v>836.41000000000031</v>
      </c>
      <c r="DG3" s="15">
        <f>(DF3/DE3)*100</f>
        <v>63.54250550786297</v>
      </c>
      <c r="DI3" s="11">
        <v>1</v>
      </c>
      <c r="DJ3" s="11" t="s">
        <v>56</v>
      </c>
      <c r="DK3" s="11">
        <v>2378.2600000000002</v>
      </c>
      <c r="DL3" s="11">
        <v>1316.3000000000002</v>
      </c>
      <c r="DM3" s="11">
        <f>DK3-B3</f>
        <v>774.66000000000031</v>
      </c>
      <c r="DN3" s="15">
        <f>(DM3/DL3)*100</f>
        <v>58.851325685633995</v>
      </c>
      <c r="DP3" s="11">
        <v>1</v>
      </c>
      <c r="DQ3" s="11" t="s">
        <v>97</v>
      </c>
      <c r="DR3" s="11">
        <v>2292.92</v>
      </c>
      <c r="DS3" s="11">
        <v>1316.3000000000002</v>
      </c>
      <c r="DT3" s="11">
        <f>DR3-B3</f>
        <v>689.32000000000016</v>
      </c>
      <c r="DU3" s="15">
        <f>(DT3/DS3)*100</f>
        <v>52.36800121552838</v>
      </c>
      <c r="DW3" s="11">
        <v>1</v>
      </c>
      <c r="DX3" s="11" t="s">
        <v>97</v>
      </c>
      <c r="DY3" s="11">
        <v>2309.38</v>
      </c>
      <c r="DZ3" s="11">
        <v>1316.3000000000002</v>
      </c>
      <c r="EA3" s="11">
        <f>DY3-B3</f>
        <v>705.7800000000002</v>
      </c>
      <c r="EB3" s="15">
        <f>(EA3/DZ3)*100</f>
        <v>53.618476031299863</v>
      </c>
      <c r="ED3" s="11">
        <v>1</v>
      </c>
      <c r="EE3" s="11"/>
      <c r="EF3" s="11">
        <v>2279.5300000000002</v>
      </c>
      <c r="EG3" s="11">
        <v>1316.3000000000002</v>
      </c>
      <c r="EH3" s="11">
        <f>EF3-B3</f>
        <v>675.93000000000029</v>
      </c>
      <c r="EI3" s="15">
        <f>(EH3/EG3)*100</f>
        <v>51.350755906708216</v>
      </c>
      <c r="EK3" s="11">
        <v>1</v>
      </c>
      <c r="EL3" s="11" t="s">
        <v>105</v>
      </c>
      <c r="EM3" s="11">
        <v>2386.4</v>
      </c>
      <c r="EN3" s="11">
        <v>1316.3000000000002</v>
      </c>
      <c r="EO3" s="11">
        <f>EM3-B3</f>
        <v>782.80000000000018</v>
      </c>
      <c r="EP3" s="15">
        <f>(EO3/EN3)*100</f>
        <v>59.469725746410397</v>
      </c>
      <c r="ER3" s="11">
        <v>1</v>
      </c>
      <c r="ES3" s="11" t="s">
        <v>105</v>
      </c>
      <c r="ET3" s="11">
        <v>2247.98</v>
      </c>
      <c r="EU3" s="11">
        <v>1316.3000000000002</v>
      </c>
      <c r="EV3" s="11">
        <f>ET3-B3</f>
        <v>644.38000000000011</v>
      </c>
      <c r="EW3" s="15">
        <f>(EV3/EU3)*100</f>
        <v>48.953885892273803</v>
      </c>
      <c r="EY3" s="11">
        <v>1</v>
      </c>
      <c r="EZ3" s="11" t="s">
        <v>105</v>
      </c>
      <c r="FA3" s="11">
        <v>2415.44</v>
      </c>
      <c r="FB3" s="11">
        <v>1316.3000000000002</v>
      </c>
      <c r="FC3" s="11">
        <f>FA3-B3</f>
        <v>811.84000000000015</v>
      </c>
      <c r="FD3" s="15">
        <f>(FC3/FB3)*100</f>
        <v>61.675909747018167</v>
      </c>
      <c r="FF3" s="11">
        <v>1</v>
      </c>
      <c r="FG3" s="11" t="s">
        <v>105</v>
      </c>
      <c r="FH3" s="11">
        <v>2402.48</v>
      </c>
      <c r="FI3" s="11">
        <v>1316.3000000000002</v>
      </c>
      <c r="FJ3" s="11">
        <f>FH3-B3</f>
        <v>798.88000000000011</v>
      </c>
      <c r="FK3" s="15">
        <f>(FJ3/FI3)*100</f>
        <v>60.691331763275848</v>
      </c>
    </row>
    <row r="4" spans="1:167" x14ac:dyDescent="0.25">
      <c r="A4" s="11">
        <v>2</v>
      </c>
      <c r="B4" s="11">
        <v>1758.6</v>
      </c>
      <c r="E4" s="11">
        <v>2</v>
      </c>
      <c r="F4" s="11">
        <v>3101.2</v>
      </c>
      <c r="I4" s="11">
        <v>2</v>
      </c>
      <c r="J4" s="11">
        <v>2998</v>
      </c>
      <c r="K4" s="11">
        <f t="shared" ref="K4:K18" si="0">F4-B4</f>
        <v>1342.6</v>
      </c>
      <c r="L4" s="11">
        <f t="shared" ref="L4:L18" si="1">J4-B4</f>
        <v>1239.4000000000001</v>
      </c>
      <c r="M4" s="15">
        <f t="shared" ref="M4:M18" si="2">(L4/K4)*100</f>
        <v>92.313421719052599</v>
      </c>
      <c r="O4" s="11">
        <v>2</v>
      </c>
      <c r="P4" s="11">
        <v>2960.89</v>
      </c>
      <c r="Q4" s="11">
        <v>1342.6</v>
      </c>
      <c r="R4" s="11">
        <f t="shared" ref="R4:R18" si="3">P4-B4</f>
        <v>1202.29</v>
      </c>
      <c r="S4" s="15">
        <f t="shared" ref="S4:S18" si="4">(R4/Q4)*100</f>
        <v>89.549381796514226</v>
      </c>
      <c r="U4" s="11">
        <v>2</v>
      </c>
      <c r="V4" s="11" t="s">
        <v>32</v>
      </c>
      <c r="W4" s="11">
        <v>2947.77</v>
      </c>
      <c r="X4" s="11">
        <v>1342.6</v>
      </c>
      <c r="Y4" s="11">
        <f t="shared" ref="Y4:Y18" si="5">W4-B4</f>
        <v>1189.17</v>
      </c>
      <c r="Z4" s="15">
        <f t="shared" ref="Z4:Z18" si="6">(Y4/X4)*100</f>
        <v>88.57217339490542</v>
      </c>
      <c r="AA4" s="16">
        <f t="shared" ref="AA4:AA18" si="7">(Y4/R4)*100</f>
        <v>98.908749137063438</v>
      </c>
      <c r="AC4" s="11">
        <v>2</v>
      </c>
      <c r="AD4" s="11" t="s">
        <v>32</v>
      </c>
      <c r="AE4" s="11">
        <v>2926.28</v>
      </c>
      <c r="AF4" s="11">
        <v>1342.6</v>
      </c>
      <c r="AG4" s="11">
        <f t="shared" ref="AG4:AG18" si="8">AE4-B4</f>
        <v>1167.6800000000003</v>
      </c>
      <c r="AH4" s="15">
        <f t="shared" ref="AH4:AH18" si="9">(AG4/AF4)*100</f>
        <v>86.9715477431849</v>
      </c>
      <c r="AI4" s="16">
        <f t="shared" ref="AI4:AI18" si="10">(AG4/Y4)*100</f>
        <v>98.192857202923065</v>
      </c>
      <c r="AK4" s="11">
        <v>2</v>
      </c>
      <c r="AL4" s="11" t="s">
        <v>32</v>
      </c>
      <c r="AM4" s="11">
        <v>2901.83</v>
      </c>
      <c r="AN4" s="11">
        <v>1342.6</v>
      </c>
      <c r="AO4" s="11">
        <f t="shared" ref="AO4:AO18" si="11">AM4-B4</f>
        <v>1143.23</v>
      </c>
      <c r="AP4" s="15">
        <f t="shared" ref="AP4:AP18" si="12">(AO4/AN4)*100</f>
        <v>85.150454342320884</v>
      </c>
      <c r="AQ4" s="16">
        <f t="shared" ref="AQ4:AQ18" si="13">(AO4/AG4)*100</f>
        <v>97.906104412167693</v>
      </c>
      <c r="AS4" s="11">
        <v>2</v>
      </c>
      <c r="AT4" s="11" t="s">
        <v>38</v>
      </c>
      <c r="AU4" s="11">
        <v>2857.62</v>
      </c>
      <c r="AV4" s="11">
        <v>1342.6</v>
      </c>
      <c r="AW4" s="11">
        <f t="shared" ref="AW4:AW18" si="14">AU4-B4</f>
        <v>1099.02</v>
      </c>
      <c r="AX4" s="15">
        <f t="shared" ref="AX4:AX18" si="15">(AW4/AV4)*100</f>
        <v>81.857589751228971</v>
      </c>
      <c r="AY4" s="16">
        <f t="shared" ref="AY4:AY18" si="16">(AW4/AO4)*100</f>
        <v>96.13288664573183</v>
      </c>
      <c r="BA4" s="11">
        <v>2</v>
      </c>
      <c r="BB4" s="11" t="s">
        <v>40</v>
      </c>
      <c r="BC4" s="11">
        <v>2747.58</v>
      </c>
      <c r="BD4" s="11">
        <v>1342.6</v>
      </c>
      <c r="BE4" s="11">
        <f t="shared" ref="BE4:BE18" si="17">BC4-B4</f>
        <v>988.98</v>
      </c>
      <c r="BF4" s="15">
        <f t="shared" ref="BF4:BF18" si="18">(BE4/BD4)*100</f>
        <v>73.661552212125741</v>
      </c>
      <c r="BG4" s="16">
        <f t="shared" ref="BG4:BG18" si="19">(BE4/AW4)*100</f>
        <v>89.98744335862861</v>
      </c>
      <c r="BI4" s="11">
        <v>2</v>
      </c>
      <c r="BJ4" s="11" t="s">
        <v>40</v>
      </c>
      <c r="BK4" s="11">
        <v>2688.58</v>
      </c>
      <c r="BL4" s="11">
        <v>1342.6</v>
      </c>
      <c r="BM4" s="11">
        <f t="shared" ref="BM4:BM18" si="20">BK4-B4</f>
        <v>929.98</v>
      </c>
      <c r="BN4" s="15">
        <f t="shared" ref="BN4:BN18" si="21">(BM4/BL4)*100</f>
        <v>69.267093698793389</v>
      </c>
      <c r="BO4" s="16">
        <f t="shared" ref="BO4:BO18" si="22">(BM4/BE4)*100</f>
        <v>94.034257517846669</v>
      </c>
      <c r="BQ4" s="11">
        <v>2</v>
      </c>
      <c r="BR4" s="11" t="s">
        <v>40</v>
      </c>
      <c r="BS4" s="11">
        <v>2621.36</v>
      </c>
      <c r="BT4" s="11">
        <v>1342.6</v>
      </c>
      <c r="BU4" s="11">
        <f t="shared" ref="BU4:BU18" si="23">BS4-B4</f>
        <v>862.76000000000022</v>
      </c>
      <c r="BV4" s="15">
        <f t="shared" ref="BV4:BV18" si="24">(BU4/BT4)*100</f>
        <v>64.260390287501878</v>
      </c>
      <c r="BW4" s="16">
        <f t="shared" ref="BW4:BW18" si="25">(BU4/BM4)*100</f>
        <v>92.771887567474593</v>
      </c>
      <c r="BX4">
        <v>59</v>
      </c>
      <c r="BZ4" s="11">
        <v>2</v>
      </c>
      <c r="CA4" s="11" t="s">
        <v>40</v>
      </c>
      <c r="CB4" s="11">
        <v>2603.41</v>
      </c>
      <c r="CC4" s="11">
        <v>1342.6</v>
      </c>
      <c r="CD4" s="11">
        <f t="shared" ref="CD4:CD18" si="26">CB4-B4</f>
        <v>844.81</v>
      </c>
      <c r="CE4" s="15">
        <f t="shared" ref="CE4:CE18" si="27">(CD4/CC4)*100</f>
        <v>62.923432146581263</v>
      </c>
      <c r="CG4" s="11">
        <v>2</v>
      </c>
      <c r="CH4" s="11" t="s">
        <v>55</v>
      </c>
      <c r="CI4" s="11">
        <v>2529</v>
      </c>
      <c r="CJ4" s="11">
        <v>1342.6</v>
      </c>
      <c r="CK4" s="11">
        <f t="shared" ref="CK4:CK18" si="28">CI4-B4</f>
        <v>770.40000000000009</v>
      </c>
      <c r="CL4" s="15">
        <f t="shared" ref="CL4:CL18" si="29">(CK4/CJ4)*100</f>
        <v>57.381200655444673</v>
      </c>
      <c r="CN4" s="11">
        <v>2</v>
      </c>
      <c r="CO4" s="11" t="s">
        <v>56</v>
      </c>
      <c r="CP4" s="11">
        <v>2432.31</v>
      </c>
      <c r="CQ4" s="11">
        <v>1342.6</v>
      </c>
      <c r="CR4" s="11">
        <f t="shared" ref="CR4:CR18" si="30">CP4-B4</f>
        <v>673.71</v>
      </c>
      <c r="CS4" s="15">
        <f t="shared" ref="CS4:CS18" si="31">(CR4/CQ4)*100</f>
        <v>50.179502457917479</v>
      </c>
      <c r="CU4" s="11">
        <v>2</v>
      </c>
      <c r="CV4" s="11" t="s">
        <v>56</v>
      </c>
      <c r="CW4" s="11">
        <v>2542.54</v>
      </c>
      <c r="CX4" s="11">
        <v>1342.6</v>
      </c>
      <c r="CY4" s="11">
        <f t="shared" ref="CY4:CY18" si="32">CW4-B4</f>
        <v>783.94</v>
      </c>
      <c r="CZ4" s="15">
        <f t="shared" ref="CZ4:CZ18" si="33">(CY4/CX4)*100</f>
        <v>58.389691643080596</v>
      </c>
      <c r="DB4" s="11">
        <v>2</v>
      </c>
      <c r="DC4" s="11" t="s">
        <v>59</v>
      </c>
      <c r="DD4" s="11">
        <v>2614.7800000000002</v>
      </c>
      <c r="DE4" s="11">
        <v>1342.6</v>
      </c>
      <c r="DF4" s="11">
        <f t="shared" ref="DF4:DF18" si="34">DD4-B4</f>
        <v>856.18000000000029</v>
      </c>
      <c r="DG4" s="15">
        <f t="shared" ref="DG4:DG18" si="35">(DF4/DE4)*100</f>
        <v>63.770296439743809</v>
      </c>
      <c r="DI4" s="11">
        <v>2</v>
      </c>
      <c r="DJ4" s="11" t="s">
        <v>59</v>
      </c>
      <c r="DK4" s="11">
        <v>2544.5100000000002</v>
      </c>
      <c r="DL4" s="11">
        <v>1342.6</v>
      </c>
      <c r="DM4" s="11">
        <f t="shared" ref="DM4:DM18" si="36">DK4-B4</f>
        <v>785.91000000000031</v>
      </c>
      <c r="DN4" s="15">
        <f t="shared" ref="DN4:DN18" si="37">(DM4/DL4)*100</f>
        <v>58.536421868017307</v>
      </c>
      <c r="DP4" s="11">
        <v>2</v>
      </c>
      <c r="DQ4" s="11" t="s">
        <v>59</v>
      </c>
      <c r="DR4" s="11">
        <v>2465.1</v>
      </c>
      <c r="DS4" s="11">
        <v>1342.6</v>
      </c>
      <c r="DT4" s="11">
        <f t="shared" ref="DT4:DT18" si="38">DR4-B4</f>
        <v>706.5</v>
      </c>
      <c r="DU4" s="15">
        <f t="shared" ref="DU4:DU18" si="39">(DT4/DS4)*100</f>
        <v>52.621778638462693</v>
      </c>
      <c r="DW4" s="11">
        <v>2</v>
      </c>
      <c r="DX4" s="11" t="s">
        <v>66</v>
      </c>
      <c r="DY4" s="11">
        <v>2488.52</v>
      </c>
      <c r="DZ4" s="11">
        <v>1342.6</v>
      </c>
      <c r="EA4" s="11">
        <f t="shared" ref="EA4:EA18" si="40">DY4-B4</f>
        <v>729.92000000000007</v>
      </c>
      <c r="EB4" s="15">
        <f t="shared" ref="EB4:EB18" si="41">(EA4/DZ4)*100</f>
        <v>54.366155221212587</v>
      </c>
      <c r="ED4" s="11">
        <v>2</v>
      </c>
      <c r="EE4" s="11"/>
      <c r="EF4" s="11">
        <v>2457.61</v>
      </c>
      <c r="EG4" s="11">
        <v>1342.6</v>
      </c>
      <c r="EH4" s="11">
        <f t="shared" ref="EH4:EH18" si="42">EF4-B4</f>
        <v>699.01000000000022</v>
      </c>
      <c r="EI4" s="15">
        <f t="shared" ref="EI4:EI18" si="43">(EH4/EG4)*100</f>
        <v>52.063905854312551</v>
      </c>
      <c r="EK4" s="11">
        <v>2</v>
      </c>
      <c r="EL4" s="11" t="s">
        <v>98</v>
      </c>
      <c r="EM4" s="11">
        <v>2573.66</v>
      </c>
      <c r="EN4" s="11">
        <v>1342.6</v>
      </c>
      <c r="EO4" s="11">
        <f t="shared" ref="EO4:EO18" si="44">EM4-B4</f>
        <v>815.06</v>
      </c>
      <c r="EP4" s="15">
        <f t="shared" ref="EP4:EP18" si="45">(EO4/EN4)*100</f>
        <v>60.70758230299419</v>
      </c>
      <c r="ER4" s="11">
        <v>2</v>
      </c>
      <c r="ES4" s="11" t="s">
        <v>98</v>
      </c>
      <c r="ET4" s="11">
        <v>2436.41</v>
      </c>
      <c r="EU4" s="11">
        <v>1342.6</v>
      </c>
      <c r="EV4" s="11">
        <f t="shared" ref="EV4:EV18" si="46">ET4-B4</f>
        <v>677.81</v>
      </c>
      <c r="EW4" s="15">
        <f t="shared" ref="EW4:EW18" si="47">(EV4/EU4)*100</f>
        <v>50.484880083420222</v>
      </c>
      <c r="EY4" s="11">
        <v>2</v>
      </c>
      <c r="EZ4" s="11" t="s">
        <v>97</v>
      </c>
      <c r="FA4" s="11">
        <v>2623.05</v>
      </c>
      <c r="FB4" s="11">
        <v>1342.6</v>
      </c>
      <c r="FC4" s="11">
        <f t="shared" ref="FC4:FC18" si="48">FA4-B4</f>
        <v>864.45000000000027</v>
      </c>
      <c r="FD4" s="15">
        <f t="shared" ref="FD4:FD18" si="49">(FC4/FB4)*100</f>
        <v>64.38626545508717</v>
      </c>
      <c r="FF4" s="11">
        <v>2</v>
      </c>
      <c r="FG4" s="11" t="s">
        <v>105</v>
      </c>
      <c r="FH4" s="11">
        <v>2617.5</v>
      </c>
      <c r="FI4" s="11">
        <v>1342.6</v>
      </c>
      <c r="FJ4" s="11">
        <f t="shared" ref="FJ4:FJ18" si="50">FH4-B4</f>
        <v>858.90000000000009</v>
      </c>
      <c r="FK4" s="15">
        <f t="shared" ref="FK4:FK18" si="51">(FJ4/FI4)*100</f>
        <v>63.972888425443188</v>
      </c>
    </row>
    <row r="5" spans="1:167" x14ac:dyDescent="0.25">
      <c r="A5" s="11">
        <v>3</v>
      </c>
      <c r="B5" s="11">
        <v>1573.8</v>
      </c>
      <c r="E5" s="11">
        <v>3</v>
      </c>
      <c r="F5" s="11">
        <v>2987.4</v>
      </c>
      <c r="I5" s="11">
        <v>3</v>
      </c>
      <c r="J5" s="11">
        <v>2881.8</v>
      </c>
      <c r="K5" s="11">
        <f t="shared" si="0"/>
        <v>1413.6000000000001</v>
      </c>
      <c r="L5" s="11">
        <f t="shared" si="1"/>
        <v>1308.0000000000002</v>
      </c>
      <c r="M5" s="15">
        <f t="shared" si="2"/>
        <v>92.52971137521223</v>
      </c>
      <c r="O5" s="11">
        <v>3</v>
      </c>
      <c r="P5" s="11">
        <v>2825.94</v>
      </c>
      <c r="Q5" s="11">
        <v>1413.6000000000001</v>
      </c>
      <c r="R5" s="11">
        <f t="shared" si="3"/>
        <v>1252.1400000000001</v>
      </c>
      <c r="S5" s="15">
        <f t="shared" si="4"/>
        <v>88.578098471986422</v>
      </c>
      <c r="U5" s="11">
        <v>3</v>
      </c>
      <c r="V5" s="11" t="s">
        <v>32</v>
      </c>
      <c r="W5" s="11">
        <v>2807.92</v>
      </c>
      <c r="X5" s="11">
        <v>1413.6000000000001</v>
      </c>
      <c r="Y5" s="11">
        <f t="shared" si="5"/>
        <v>1234.1200000000001</v>
      </c>
      <c r="Z5" s="15">
        <f t="shared" si="6"/>
        <v>87.303338992642892</v>
      </c>
      <c r="AA5" s="16">
        <f t="shared" si="7"/>
        <v>98.560863801172388</v>
      </c>
      <c r="AC5" s="11">
        <v>3</v>
      </c>
      <c r="AD5" s="11" t="s">
        <v>32</v>
      </c>
      <c r="AE5" s="11">
        <v>2782.81</v>
      </c>
      <c r="AF5" s="11">
        <v>1413.6000000000001</v>
      </c>
      <c r="AG5" s="11">
        <f t="shared" si="8"/>
        <v>1209.01</v>
      </c>
      <c r="AH5" s="15">
        <f t="shared" si="9"/>
        <v>85.527023203169207</v>
      </c>
      <c r="AI5" s="16">
        <f t="shared" si="10"/>
        <v>97.965351829643794</v>
      </c>
      <c r="AK5" s="11">
        <v>3</v>
      </c>
      <c r="AL5" s="11" t="s">
        <v>32</v>
      </c>
      <c r="AM5" s="11">
        <v>2750.64</v>
      </c>
      <c r="AN5" s="11">
        <v>1413.6000000000001</v>
      </c>
      <c r="AO5" s="11">
        <f t="shared" si="11"/>
        <v>1176.8399999999999</v>
      </c>
      <c r="AP5" s="15">
        <f t="shared" si="12"/>
        <v>83.251273344651949</v>
      </c>
      <c r="AQ5" s="16">
        <f t="shared" si="13"/>
        <v>97.339145251073191</v>
      </c>
      <c r="AS5" s="11">
        <v>3</v>
      </c>
      <c r="AT5" s="11" t="s">
        <v>38</v>
      </c>
      <c r="AU5" s="11">
        <v>2695.89</v>
      </c>
      <c r="AV5" s="11">
        <v>1413.6000000000001</v>
      </c>
      <c r="AW5" s="11">
        <f t="shared" si="14"/>
        <v>1122.0899999999999</v>
      </c>
      <c r="AX5" s="15">
        <f t="shared" si="15"/>
        <v>79.37818336162988</v>
      </c>
      <c r="AY5" s="16">
        <f t="shared" si="16"/>
        <v>95.347710818802895</v>
      </c>
      <c r="BA5" s="11">
        <v>3</v>
      </c>
      <c r="BB5" s="11" t="s">
        <v>38</v>
      </c>
      <c r="BC5" s="11">
        <v>2561.2399999999998</v>
      </c>
      <c r="BD5" s="11">
        <v>1413.6000000000001</v>
      </c>
      <c r="BE5" s="11">
        <f t="shared" si="17"/>
        <v>987.43999999999983</v>
      </c>
      <c r="BF5" s="15">
        <f t="shared" si="18"/>
        <v>69.852857951329923</v>
      </c>
      <c r="BG5" s="16">
        <f t="shared" si="19"/>
        <v>88.000071295528869</v>
      </c>
      <c r="BI5" s="11">
        <v>3</v>
      </c>
      <c r="BJ5" s="11" t="s">
        <v>40</v>
      </c>
      <c r="BK5" s="11">
        <v>2491.5700000000002</v>
      </c>
      <c r="BL5" s="11">
        <v>1413.6000000000001</v>
      </c>
      <c r="BM5" s="11">
        <f t="shared" si="20"/>
        <v>917.77000000000021</v>
      </c>
      <c r="BN5" s="15">
        <f t="shared" si="21"/>
        <v>64.92430673457838</v>
      </c>
      <c r="BO5" s="16">
        <f t="shared" si="22"/>
        <v>92.94438143077052</v>
      </c>
      <c r="BQ5" s="11">
        <v>3</v>
      </c>
      <c r="BR5" s="11" t="s">
        <v>40</v>
      </c>
      <c r="BS5" s="11">
        <v>2414.34</v>
      </c>
      <c r="BT5" s="11">
        <v>1413.6000000000001</v>
      </c>
      <c r="BU5" s="11">
        <f t="shared" si="23"/>
        <v>840.54000000000019</v>
      </c>
      <c r="BV5" s="15">
        <f t="shared" si="24"/>
        <v>59.460950764006803</v>
      </c>
      <c r="BW5" s="16">
        <f t="shared" si="25"/>
        <v>91.585037645597481</v>
      </c>
      <c r="BX5">
        <v>54</v>
      </c>
      <c r="BZ5" s="11">
        <v>3</v>
      </c>
      <c r="CA5" s="11" t="s">
        <v>40</v>
      </c>
      <c r="CB5" s="11">
        <v>2456.09</v>
      </c>
      <c r="CC5" s="11">
        <v>1413.6000000000001</v>
      </c>
      <c r="CD5" s="11">
        <f t="shared" si="26"/>
        <v>882.29000000000019</v>
      </c>
      <c r="CE5" s="15">
        <f t="shared" si="27"/>
        <v>62.414402942840987</v>
      </c>
      <c r="CG5" s="11">
        <v>3</v>
      </c>
      <c r="CH5" s="11" t="s">
        <v>55</v>
      </c>
      <c r="CI5" s="11">
        <v>2365.89</v>
      </c>
      <c r="CJ5" s="11">
        <v>1413.6000000000001</v>
      </c>
      <c r="CK5" s="11">
        <f t="shared" si="28"/>
        <v>792.08999999999992</v>
      </c>
      <c r="CL5" s="15">
        <f t="shared" si="29"/>
        <v>56.03353140916807</v>
      </c>
      <c r="CN5" s="11">
        <v>3</v>
      </c>
      <c r="CO5" s="11" t="s">
        <v>56</v>
      </c>
      <c r="CP5" s="11">
        <v>2260.77</v>
      </c>
      <c r="CQ5" s="11">
        <v>1413.6000000000001</v>
      </c>
      <c r="CR5" s="11">
        <f t="shared" si="30"/>
        <v>686.97</v>
      </c>
      <c r="CS5" s="15">
        <f t="shared" si="31"/>
        <v>48.597198641765701</v>
      </c>
      <c r="CU5" s="11">
        <v>3</v>
      </c>
      <c r="CV5" s="11" t="s">
        <v>56</v>
      </c>
      <c r="CW5" s="11">
        <v>2395.77</v>
      </c>
      <c r="CX5" s="11">
        <v>1413.6000000000001</v>
      </c>
      <c r="CY5" s="11">
        <f t="shared" si="32"/>
        <v>821.97</v>
      </c>
      <c r="CZ5" s="15">
        <f t="shared" si="33"/>
        <v>58.147283531409165</v>
      </c>
      <c r="DB5" s="11">
        <v>3</v>
      </c>
      <c r="DC5" s="11" t="s">
        <v>56</v>
      </c>
      <c r="DD5" s="11">
        <v>2464.31</v>
      </c>
      <c r="DE5" s="11">
        <v>1413.6000000000001</v>
      </c>
      <c r="DF5" s="11">
        <f t="shared" si="34"/>
        <v>890.51</v>
      </c>
      <c r="DG5" s="15">
        <f t="shared" si="35"/>
        <v>62.995897000565925</v>
      </c>
      <c r="DI5" s="11">
        <v>3</v>
      </c>
      <c r="DJ5" s="11" t="s">
        <v>59</v>
      </c>
      <c r="DK5" s="11">
        <v>2382.7600000000002</v>
      </c>
      <c r="DL5" s="11">
        <v>1413.6000000000001</v>
      </c>
      <c r="DM5" s="11">
        <f t="shared" si="36"/>
        <v>808.96000000000026</v>
      </c>
      <c r="DN5" s="15">
        <f t="shared" si="37"/>
        <v>57.226938313525764</v>
      </c>
      <c r="DP5" s="11">
        <v>3</v>
      </c>
      <c r="DQ5" s="11" t="s">
        <v>59</v>
      </c>
      <c r="DR5" s="11">
        <v>2303.59</v>
      </c>
      <c r="DS5" s="11">
        <v>1413.6000000000001</v>
      </c>
      <c r="DT5" s="11">
        <f t="shared" si="38"/>
        <v>729.79000000000019</v>
      </c>
      <c r="DU5" s="15">
        <f t="shared" si="39"/>
        <v>51.626344086021511</v>
      </c>
      <c r="DW5" s="11">
        <v>3</v>
      </c>
      <c r="DX5" s="11" t="s">
        <v>66</v>
      </c>
      <c r="DY5" s="11">
        <v>2313.54</v>
      </c>
      <c r="DZ5" s="11">
        <v>1413.6000000000001</v>
      </c>
      <c r="EA5" s="11">
        <f t="shared" si="40"/>
        <v>739.74</v>
      </c>
      <c r="EB5" s="15">
        <f t="shared" si="41"/>
        <v>52.330220713073004</v>
      </c>
      <c r="ED5" s="11">
        <v>3</v>
      </c>
      <c r="EE5" s="11"/>
      <c r="EF5" s="11">
        <v>2285.7199999999998</v>
      </c>
      <c r="EG5" s="11">
        <v>1413.6000000000001</v>
      </c>
      <c r="EH5" s="11">
        <f t="shared" si="42"/>
        <v>711.91999999999985</v>
      </c>
      <c r="EI5" s="15">
        <f t="shared" si="43"/>
        <v>50.362195812110912</v>
      </c>
      <c r="EK5" s="11">
        <v>3</v>
      </c>
      <c r="EL5" s="11" t="s">
        <v>98</v>
      </c>
      <c r="EM5" s="11">
        <v>2429.42</v>
      </c>
      <c r="EN5" s="11">
        <v>1413.6000000000001</v>
      </c>
      <c r="EO5" s="11">
        <f t="shared" si="44"/>
        <v>855.62000000000012</v>
      </c>
      <c r="EP5" s="15">
        <f t="shared" si="45"/>
        <v>60.527730616864751</v>
      </c>
      <c r="ER5" s="11">
        <v>3</v>
      </c>
      <c r="ES5" s="11" t="s">
        <v>98</v>
      </c>
      <c r="ET5" s="11">
        <v>2264.6</v>
      </c>
      <c r="EU5" s="11">
        <v>1413.6000000000001</v>
      </c>
      <c r="EV5" s="11">
        <f t="shared" si="46"/>
        <v>690.8</v>
      </c>
      <c r="EW5" s="15">
        <f t="shared" si="47"/>
        <v>48.868138087153355</v>
      </c>
      <c r="EY5" s="11">
        <v>3</v>
      </c>
      <c r="EZ5" s="11" t="s">
        <v>98</v>
      </c>
      <c r="FA5" s="11">
        <v>2470.7600000000002</v>
      </c>
      <c r="FB5" s="11">
        <v>1413.6000000000001</v>
      </c>
      <c r="FC5" s="11">
        <f t="shared" si="48"/>
        <v>896.96000000000026</v>
      </c>
      <c r="FD5" s="15">
        <f t="shared" si="49"/>
        <v>63.452178834182234</v>
      </c>
      <c r="FF5" s="11">
        <v>3</v>
      </c>
      <c r="FG5" s="11" t="s">
        <v>97</v>
      </c>
      <c r="FH5" s="11">
        <v>2472.2600000000002</v>
      </c>
      <c r="FI5" s="11">
        <v>1413.6000000000001</v>
      </c>
      <c r="FJ5" s="11">
        <f t="shared" si="50"/>
        <v>898.46000000000026</v>
      </c>
      <c r="FK5" s="15">
        <f t="shared" si="51"/>
        <v>63.558290888511614</v>
      </c>
    </row>
    <row r="6" spans="1:167" x14ac:dyDescent="0.25">
      <c r="A6" s="11">
        <v>4</v>
      </c>
      <c r="B6" s="11">
        <v>1558.8</v>
      </c>
      <c r="E6" s="11">
        <v>4</v>
      </c>
      <c r="F6" s="11">
        <v>3115.4</v>
      </c>
      <c r="I6" s="11">
        <v>4</v>
      </c>
      <c r="J6" s="11">
        <v>3002.4</v>
      </c>
      <c r="K6" s="11">
        <f t="shared" si="0"/>
        <v>1556.6000000000001</v>
      </c>
      <c r="L6" s="11">
        <f t="shared" si="1"/>
        <v>1443.6000000000001</v>
      </c>
      <c r="M6" s="15">
        <f t="shared" si="2"/>
        <v>92.740588462032633</v>
      </c>
      <c r="O6" s="11">
        <v>4</v>
      </c>
      <c r="P6" s="11">
        <v>2936.65</v>
      </c>
      <c r="Q6" s="11">
        <v>1556.6000000000001</v>
      </c>
      <c r="R6" s="11">
        <f t="shared" si="3"/>
        <v>1377.8500000000001</v>
      </c>
      <c r="S6" s="15">
        <f t="shared" si="4"/>
        <v>88.516638828215349</v>
      </c>
      <c r="U6" s="11">
        <v>4</v>
      </c>
      <c r="V6" s="11" t="s">
        <v>32</v>
      </c>
      <c r="W6" s="11">
        <v>2916.08</v>
      </c>
      <c r="X6" s="11">
        <v>1556.6000000000001</v>
      </c>
      <c r="Y6" s="11">
        <f t="shared" si="5"/>
        <v>1357.28</v>
      </c>
      <c r="Z6" s="15">
        <f t="shared" si="6"/>
        <v>87.195168957985345</v>
      </c>
      <c r="AA6" s="16">
        <f t="shared" si="7"/>
        <v>98.507094386181365</v>
      </c>
      <c r="AC6" s="11">
        <v>4</v>
      </c>
      <c r="AD6" s="11" t="s">
        <v>32</v>
      </c>
      <c r="AE6" s="11">
        <v>2887.85</v>
      </c>
      <c r="AF6" s="11">
        <v>1556.6000000000001</v>
      </c>
      <c r="AG6" s="11">
        <f t="shared" si="8"/>
        <v>1329.05</v>
      </c>
      <c r="AH6" s="15">
        <f t="shared" si="9"/>
        <v>85.381600925093139</v>
      </c>
      <c r="AI6" s="16">
        <f t="shared" si="10"/>
        <v>97.920104915713779</v>
      </c>
      <c r="AK6" s="11">
        <v>4</v>
      </c>
      <c r="AL6" s="11" t="s">
        <v>32</v>
      </c>
      <c r="AM6" s="11">
        <v>2853.56</v>
      </c>
      <c r="AN6" s="11">
        <v>1556.6000000000001</v>
      </c>
      <c r="AO6" s="11">
        <f t="shared" si="11"/>
        <v>1294.76</v>
      </c>
      <c r="AP6" s="15">
        <f t="shared" si="12"/>
        <v>83.178722857509939</v>
      </c>
      <c r="AQ6" s="16">
        <f t="shared" si="13"/>
        <v>97.419961626725865</v>
      </c>
      <c r="AS6" s="11">
        <v>4</v>
      </c>
      <c r="AT6" s="11" t="s">
        <v>38</v>
      </c>
      <c r="AU6" s="11">
        <v>2794.37</v>
      </c>
      <c r="AV6" s="11">
        <v>1556.6000000000001</v>
      </c>
      <c r="AW6" s="11">
        <f t="shared" si="14"/>
        <v>1235.57</v>
      </c>
      <c r="AX6" s="15">
        <f t="shared" si="15"/>
        <v>79.376204548374645</v>
      </c>
      <c r="AY6" s="16">
        <f t="shared" si="16"/>
        <v>95.428496400877378</v>
      </c>
      <c r="BA6" s="11">
        <v>4</v>
      </c>
      <c r="BB6" s="11" t="s">
        <v>38</v>
      </c>
      <c r="BC6" s="11">
        <v>2643.03</v>
      </c>
      <c r="BD6" s="11">
        <v>1556.6000000000001</v>
      </c>
      <c r="BE6" s="11">
        <f t="shared" si="17"/>
        <v>1084.2300000000002</v>
      </c>
      <c r="BF6" s="15">
        <f t="shared" si="18"/>
        <v>69.653732493896968</v>
      </c>
      <c r="BG6" s="16">
        <f t="shared" si="19"/>
        <v>87.751402186844956</v>
      </c>
      <c r="BI6" s="11">
        <v>4</v>
      </c>
      <c r="BJ6" s="11" t="s">
        <v>40</v>
      </c>
      <c r="BK6" s="11">
        <v>2566.2399999999998</v>
      </c>
      <c r="BL6" s="11">
        <v>1556.6000000000001</v>
      </c>
      <c r="BM6" s="11">
        <f t="shared" si="20"/>
        <v>1007.4399999999998</v>
      </c>
      <c r="BN6" s="15">
        <f t="shared" si="21"/>
        <v>64.720544777078231</v>
      </c>
      <c r="BO6" s="16">
        <f t="shared" si="22"/>
        <v>92.917554393440469</v>
      </c>
      <c r="BQ6" s="11">
        <v>4</v>
      </c>
      <c r="BR6" s="11" t="s">
        <v>40</v>
      </c>
      <c r="BS6" s="11">
        <v>2482.23</v>
      </c>
      <c r="BT6" s="11">
        <v>1556.6000000000001</v>
      </c>
      <c r="BU6" s="11">
        <f t="shared" si="23"/>
        <v>923.43000000000006</v>
      </c>
      <c r="BV6" s="15">
        <f t="shared" si="24"/>
        <v>59.323525632789412</v>
      </c>
      <c r="BW6" s="16">
        <f t="shared" si="25"/>
        <v>91.661041848646093</v>
      </c>
      <c r="BX6">
        <v>54.3</v>
      </c>
      <c r="BZ6" s="11">
        <v>4</v>
      </c>
      <c r="CA6" s="11" t="s">
        <v>40</v>
      </c>
      <c r="CB6" s="11">
        <v>2514.2800000000002</v>
      </c>
      <c r="CC6" s="11">
        <v>1556.6000000000001</v>
      </c>
      <c r="CD6" s="11">
        <f t="shared" si="26"/>
        <v>955.48000000000025</v>
      </c>
      <c r="CE6" s="15">
        <f t="shared" si="27"/>
        <v>61.382500321212909</v>
      </c>
      <c r="CG6" s="11">
        <v>4</v>
      </c>
      <c r="CH6" s="11" t="s">
        <v>55</v>
      </c>
      <c r="CI6" s="11">
        <v>2418.0100000000002</v>
      </c>
      <c r="CJ6" s="11">
        <v>1556.6000000000001</v>
      </c>
      <c r="CK6" s="11">
        <f t="shared" si="28"/>
        <v>859.21000000000026</v>
      </c>
      <c r="CL6" s="15">
        <f t="shared" si="29"/>
        <v>55.197867146344613</v>
      </c>
      <c r="CN6" s="11">
        <v>4</v>
      </c>
      <c r="CO6" s="11" t="s">
        <v>55</v>
      </c>
      <c r="CP6" s="11">
        <v>2336.44</v>
      </c>
      <c r="CQ6" s="11">
        <v>1556.6000000000001</v>
      </c>
      <c r="CR6" s="11">
        <f t="shared" si="30"/>
        <v>777.6400000000001</v>
      </c>
      <c r="CS6" s="15">
        <f t="shared" si="31"/>
        <v>49.957599897211871</v>
      </c>
      <c r="CU6" s="11">
        <v>4</v>
      </c>
      <c r="CV6" s="11" t="s">
        <v>56</v>
      </c>
      <c r="CW6" s="11">
        <v>2464.09</v>
      </c>
      <c r="CX6" s="11">
        <v>1556.6000000000001</v>
      </c>
      <c r="CY6" s="11">
        <f t="shared" si="32"/>
        <v>905.29000000000019</v>
      </c>
      <c r="CZ6" s="15">
        <f t="shared" si="33"/>
        <v>58.158165231915724</v>
      </c>
      <c r="DB6" s="11">
        <v>4</v>
      </c>
      <c r="DC6" s="11" t="s">
        <v>56</v>
      </c>
      <c r="DD6" s="11">
        <v>2554.3000000000002</v>
      </c>
      <c r="DE6" s="11">
        <v>1556.6000000000001</v>
      </c>
      <c r="DF6" s="11">
        <f t="shared" si="34"/>
        <v>995.50000000000023</v>
      </c>
      <c r="DG6" s="15">
        <f t="shared" si="35"/>
        <v>63.953488372093034</v>
      </c>
      <c r="DI6" s="11">
        <v>4</v>
      </c>
      <c r="DJ6" s="11" t="s">
        <v>56</v>
      </c>
      <c r="DK6" s="11">
        <v>2466.94</v>
      </c>
      <c r="DL6" s="11">
        <v>1556.6000000000001</v>
      </c>
      <c r="DM6" s="11">
        <f t="shared" si="36"/>
        <v>908.1400000000001</v>
      </c>
      <c r="DN6" s="15">
        <f t="shared" si="37"/>
        <v>58.341256584864453</v>
      </c>
      <c r="DP6" s="11">
        <v>4</v>
      </c>
      <c r="DQ6" s="11" t="s">
        <v>59</v>
      </c>
      <c r="DR6" s="11">
        <v>2392.96</v>
      </c>
      <c r="DS6" s="11">
        <v>1556.6000000000001</v>
      </c>
      <c r="DT6" s="11">
        <f t="shared" si="38"/>
        <v>834.16000000000008</v>
      </c>
      <c r="DU6" s="15">
        <f t="shared" si="39"/>
        <v>53.588590517795197</v>
      </c>
      <c r="DW6" s="11">
        <v>4</v>
      </c>
      <c r="DX6" s="11" t="s">
        <v>66</v>
      </c>
      <c r="DY6" s="11">
        <v>2402.4299999999998</v>
      </c>
      <c r="DZ6" s="11">
        <v>1556.6000000000001</v>
      </c>
      <c r="EA6" s="11">
        <f t="shared" si="40"/>
        <v>843.62999999999988</v>
      </c>
      <c r="EB6" s="15">
        <f t="shared" si="41"/>
        <v>54.196967750224836</v>
      </c>
      <c r="ED6" s="11">
        <v>4</v>
      </c>
      <c r="EE6" s="11"/>
      <c r="EF6" s="11">
        <v>2381.1999999999998</v>
      </c>
      <c r="EG6" s="11">
        <v>1556.6000000000001</v>
      </c>
      <c r="EH6" s="11">
        <f t="shared" si="42"/>
        <v>822.39999999999986</v>
      </c>
      <c r="EI6" s="15">
        <f t="shared" si="43"/>
        <v>52.833097777206717</v>
      </c>
      <c r="EK6" s="11">
        <v>4</v>
      </c>
      <c r="EL6" s="11" t="s">
        <v>98</v>
      </c>
      <c r="EM6" s="11">
        <v>2513.92</v>
      </c>
      <c r="EN6" s="11">
        <v>1556.6000000000001</v>
      </c>
      <c r="EO6" s="11">
        <f t="shared" si="44"/>
        <v>955.12000000000012</v>
      </c>
      <c r="EP6" s="15">
        <f t="shared" si="45"/>
        <v>61.359372992419381</v>
      </c>
      <c r="ER6" s="11">
        <v>4</v>
      </c>
      <c r="ES6" s="11" t="s">
        <v>98</v>
      </c>
      <c r="ET6" s="11">
        <v>2368.6999999999998</v>
      </c>
      <c r="EU6" s="11">
        <v>1556.6000000000001</v>
      </c>
      <c r="EV6" s="11">
        <f t="shared" si="46"/>
        <v>809.89999999999986</v>
      </c>
      <c r="EW6" s="15">
        <f t="shared" si="47"/>
        <v>52.030065527431567</v>
      </c>
      <c r="EY6" s="11">
        <v>4</v>
      </c>
      <c r="EZ6" s="11" t="s">
        <v>97</v>
      </c>
      <c r="FA6" s="11">
        <v>2521.5100000000002</v>
      </c>
      <c r="FB6" s="11">
        <v>1556.6000000000001</v>
      </c>
      <c r="FC6" s="11">
        <f t="shared" si="48"/>
        <v>962.71000000000026</v>
      </c>
      <c r="FD6" s="15">
        <f t="shared" si="49"/>
        <v>61.84697417448286</v>
      </c>
      <c r="FF6" s="11">
        <v>4</v>
      </c>
      <c r="FG6" s="11" t="s">
        <v>97</v>
      </c>
      <c r="FH6" s="11">
        <v>2547.29</v>
      </c>
      <c r="FI6" s="11">
        <v>1556.6000000000001</v>
      </c>
      <c r="FJ6" s="11">
        <f t="shared" si="50"/>
        <v>988.49</v>
      </c>
      <c r="FK6" s="15">
        <f t="shared" si="51"/>
        <v>63.503147886419107</v>
      </c>
    </row>
    <row r="7" spans="1:167" x14ac:dyDescent="0.25">
      <c r="A7" s="11">
        <v>5</v>
      </c>
      <c r="B7" s="11">
        <v>1747.9</v>
      </c>
      <c r="E7" s="11">
        <v>5</v>
      </c>
      <c r="F7" s="11">
        <v>3293.3</v>
      </c>
      <c r="I7" s="11">
        <v>5</v>
      </c>
      <c r="J7" s="11">
        <v>3187.2</v>
      </c>
      <c r="K7" s="11">
        <f t="shared" si="0"/>
        <v>1545.4</v>
      </c>
      <c r="L7" s="11">
        <f t="shared" si="1"/>
        <v>1439.2999999999997</v>
      </c>
      <c r="M7" s="15">
        <f t="shared" si="2"/>
        <v>93.134463569302426</v>
      </c>
      <c r="O7" s="11">
        <v>5</v>
      </c>
      <c r="P7" s="11">
        <v>3141.28</v>
      </c>
      <c r="Q7" s="11">
        <v>1545.4</v>
      </c>
      <c r="R7" s="11">
        <f t="shared" si="3"/>
        <v>1393.38</v>
      </c>
      <c r="S7" s="15">
        <f t="shared" si="4"/>
        <v>90.163064578749839</v>
      </c>
      <c r="U7" s="11">
        <v>5</v>
      </c>
      <c r="V7" s="11" t="s">
        <v>32</v>
      </c>
      <c r="W7" s="11">
        <v>3122.84</v>
      </c>
      <c r="X7" s="11">
        <v>1545.4</v>
      </c>
      <c r="Y7" s="11">
        <f t="shared" si="5"/>
        <v>1374.94</v>
      </c>
      <c r="Z7" s="15">
        <f t="shared" si="6"/>
        <v>88.969845994564508</v>
      </c>
      <c r="AA7" s="16">
        <f t="shared" si="7"/>
        <v>98.676599348347182</v>
      </c>
      <c r="AC7" s="11">
        <v>5</v>
      </c>
      <c r="AD7" s="11" t="s">
        <v>32</v>
      </c>
      <c r="AE7" s="11">
        <v>3100.79</v>
      </c>
      <c r="AF7" s="11">
        <v>1545.4</v>
      </c>
      <c r="AG7" s="11">
        <f t="shared" si="8"/>
        <v>1352.8899999999999</v>
      </c>
      <c r="AH7" s="15">
        <f t="shared" si="9"/>
        <v>87.54303093050342</v>
      </c>
      <c r="AI7" s="16">
        <f t="shared" si="10"/>
        <v>98.396293656450453</v>
      </c>
      <c r="AK7" s="11">
        <v>5</v>
      </c>
      <c r="AL7" s="11" t="s">
        <v>32</v>
      </c>
      <c r="AM7" s="11">
        <v>3074.4</v>
      </c>
      <c r="AN7" s="11">
        <v>1545.4</v>
      </c>
      <c r="AO7" s="11">
        <f t="shared" si="11"/>
        <v>1326.5</v>
      </c>
      <c r="AP7" s="15">
        <f t="shared" si="12"/>
        <v>85.835382425262068</v>
      </c>
      <c r="AQ7" s="16">
        <f t="shared" si="13"/>
        <v>98.049360997568186</v>
      </c>
      <c r="AS7" s="11">
        <v>5</v>
      </c>
      <c r="AT7" s="11" t="s">
        <v>38</v>
      </c>
      <c r="AU7" s="11">
        <v>3027.99</v>
      </c>
      <c r="AV7" s="11">
        <v>1545.4</v>
      </c>
      <c r="AW7" s="11">
        <f t="shared" si="14"/>
        <v>1280.0899999999997</v>
      </c>
      <c r="AX7" s="15">
        <f t="shared" si="15"/>
        <v>82.832276433285855</v>
      </c>
      <c r="AY7" s="16">
        <f t="shared" si="16"/>
        <v>96.501319261213695</v>
      </c>
      <c r="BA7" s="11">
        <v>5</v>
      </c>
      <c r="BB7" s="11" t="s">
        <v>40</v>
      </c>
      <c r="BC7" s="11">
        <v>2912.84</v>
      </c>
      <c r="BD7" s="11">
        <v>1545.4</v>
      </c>
      <c r="BE7" s="11">
        <f t="shared" si="17"/>
        <v>1164.94</v>
      </c>
      <c r="BF7" s="15">
        <f t="shared" si="18"/>
        <v>75.38113109874466</v>
      </c>
      <c r="BG7" s="16">
        <f t="shared" si="19"/>
        <v>91.004538743369636</v>
      </c>
      <c r="BI7" s="11">
        <v>5</v>
      </c>
      <c r="BJ7" s="11" t="s">
        <v>40</v>
      </c>
      <c r="BK7" s="11">
        <v>2852.47</v>
      </c>
      <c r="BL7" s="11">
        <v>1545.4</v>
      </c>
      <c r="BM7" s="11">
        <f t="shared" si="20"/>
        <v>1104.5699999999997</v>
      </c>
      <c r="BN7" s="15">
        <f t="shared" si="21"/>
        <v>71.474699107027277</v>
      </c>
      <c r="BO7" s="16">
        <f t="shared" si="22"/>
        <v>94.817758854533253</v>
      </c>
      <c r="BQ7" s="11">
        <v>5</v>
      </c>
      <c r="BR7" s="11" t="s">
        <v>40</v>
      </c>
      <c r="BS7" s="11">
        <v>2783.96</v>
      </c>
      <c r="BT7" s="11">
        <v>1545.4</v>
      </c>
      <c r="BU7" s="11">
        <f t="shared" si="23"/>
        <v>1036.06</v>
      </c>
      <c r="BV7" s="15">
        <f t="shared" si="24"/>
        <v>67.041542642681492</v>
      </c>
      <c r="BW7" s="16">
        <f t="shared" si="25"/>
        <v>93.797586391084337</v>
      </c>
      <c r="BX7">
        <v>62</v>
      </c>
      <c r="BZ7" s="11">
        <v>5</v>
      </c>
      <c r="CA7" s="11" t="s">
        <v>40</v>
      </c>
      <c r="CB7" s="11">
        <v>2713.27</v>
      </c>
      <c r="CC7" s="11">
        <v>1545.4</v>
      </c>
      <c r="CD7" s="11">
        <f t="shared" si="26"/>
        <v>965.36999999999989</v>
      </c>
      <c r="CE7" s="15">
        <f t="shared" si="27"/>
        <v>62.467322376083857</v>
      </c>
      <c r="CG7" s="11">
        <v>5</v>
      </c>
      <c r="CH7" s="11" t="s">
        <v>55</v>
      </c>
      <c r="CI7" s="11">
        <v>2646.25</v>
      </c>
      <c r="CJ7" s="11">
        <v>1545.4</v>
      </c>
      <c r="CK7" s="11">
        <f t="shared" si="28"/>
        <v>898.34999999999991</v>
      </c>
      <c r="CL7" s="15">
        <f t="shared" si="29"/>
        <v>58.130581079332202</v>
      </c>
      <c r="CN7" s="11">
        <v>5</v>
      </c>
      <c r="CO7" s="11" t="s">
        <v>56</v>
      </c>
      <c r="CP7" s="11">
        <v>2582.71</v>
      </c>
      <c r="CQ7" s="11">
        <v>1545.4</v>
      </c>
      <c r="CR7" s="11">
        <f t="shared" si="30"/>
        <v>834.81</v>
      </c>
      <c r="CS7" s="15">
        <f t="shared" si="31"/>
        <v>54.01902420085414</v>
      </c>
      <c r="CU7" s="11">
        <v>5</v>
      </c>
      <c r="CV7" s="11" t="s">
        <v>56</v>
      </c>
      <c r="CW7" s="11">
        <v>2666.92</v>
      </c>
      <c r="CX7" s="11">
        <v>1545.4</v>
      </c>
      <c r="CY7" s="11">
        <f t="shared" si="32"/>
        <v>919.02</v>
      </c>
      <c r="CZ7" s="15">
        <f t="shared" si="33"/>
        <v>59.468098874077903</v>
      </c>
      <c r="DB7" s="11">
        <v>5</v>
      </c>
      <c r="DC7" s="11" t="s">
        <v>59</v>
      </c>
      <c r="DD7" s="11">
        <v>2745.24</v>
      </c>
      <c r="DE7" s="11">
        <v>1545.4</v>
      </c>
      <c r="DF7" s="11">
        <f t="shared" si="34"/>
        <v>997.33999999999969</v>
      </c>
      <c r="DG7" s="15">
        <f t="shared" si="35"/>
        <v>64.536042448556984</v>
      </c>
      <c r="DI7" s="11">
        <v>5</v>
      </c>
      <c r="DJ7" s="11" t="s">
        <v>59</v>
      </c>
      <c r="DK7" s="11">
        <v>2677.28</v>
      </c>
      <c r="DL7" s="11">
        <v>1545.4</v>
      </c>
      <c r="DM7" s="11">
        <f t="shared" si="36"/>
        <v>929.38000000000011</v>
      </c>
      <c r="DN7" s="15">
        <f t="shared" si="37"/>
        <v>60.138475475605027</v>
      </c>
      <c r="DP7" s="11">
        <v>5</v>
      </c>
      <c r="DQ7" s="11" t="s">
        <v>59</v>
      </c>
      <c r="DR7" s="11">
        <v>2619.0300000000002</v>
      </c>
      <c r="DS7" s="11">
        <v>1545.4</v>
      </c>
      <c r="DT7" s="11">
        <f t="shared" si="38"/>
        <v>871.13000000000011</v>
      </c>
      <c r="DU7" s="15">
        <f t="shared" si="39"/>
        <v>56.369224796169284</v>
      </c>
      <c r="DW7" s="11">
        <v>5</v>
      </c>
      <c r="DX7" s="11" t="s">
        <v>66</v>
      </c>
      <c r="DY7" s="11">
        <v>2636.57</v>
      </c>
      <c r="DZ7" s="11">
        <v>1545.4</v>
      </c>
      <c r="EA7" s="11">
        <f t="shared" si="40"/>
        <v>888.67000000000007</v>
      </c>
      <c r="EB7" s="15">
        <f t="shared" si="41"/>
        <v>57.504206030801086</v>
      </c>
      <c r="ED7" s="11">
        <v>5</v>
      </c>
      <c r="EE7" s="11"/>
      <c r="EF7" s="11">
        <v>2613.13</v>
      </c>
      <c r="EG7" s="11">
        <v>1545.4</v>
      </c>
      <c r="EH7" s="11">
        <f t="shared" si="42"/>
        <v>865.23</v>
      </c>
      <c r="EI7" s="15">
        <f t="shared" si="43"/>
        <v>55.987446615762906</v>
      </c>
      <c r="EK7" s="11">
        <v>5</v>
      </c>
      <c r="EL7" s="11" t="s">
        <v>98</v>
      </c>
      <c r="EM7" s="11">
        <v>2738.8</v>
      </c>
      <c r="EN7" s="11">
        <v>1545.4</v>
      </c>
      <c r="EO7" s="11">
        <f t="shared" si="44"/>
        <v>990.90000000000009</v>
      </c>
      <c r="EP7" s="15">
        <f t="shared" si="45"/>
        <v>64.11932185841853</v>
      </c>
      <c r="ER7" s="11">
        <v>5</v>
      </c>
      <c r="ES7" s="11" t="s">
        <v>98</v>
      </c>
      <c r="ET7" s="11">
        <v>2598.5500000000002</v>
      </c>
      <c r="EU7" s="11">
        <v>1545.4</v>
      </c>
      <c r="EV7" s="11">
        <f t="shared" si="46"/>
        <v>850.65000000000009</v>
      </c>
      <c r="EW7" s="15">
        <f t="shared" si="47"/>
        <v>55.044001552995994</v>
      </c>
      <c r="EY7" s="11">
        <v>5</v>
      </c>
      <c r="EZ7" s="11" t="s">
        <v>97</v>
      </c>
      <c r="FA7" s="11">
        <v>2758.61</v>
      </c>
      <c r="FB7" s="11">
        <v>1545.4</v>
      </c>
      <c r="FC7" s="11">
        <f t="shared" si="48"/>
        <v>1010.71</v>
      </c>
      <c r="FD7" s="15">
        <f t="shared" si="49"/>
        <v>65.401190630257531</v>
      </c>
      <c r="FF7" s="11">
        <v>5</v>
      </c>
      <c r="FG7" s="11" t="s">
        <v>105</v>
      </c>
      <c r="FH7" s="11">
        <v>2768.88</v>
      </c>
      <c r="FI7" s="11">
        <v>1545.4</v>
      </c>
      <c r="FJ7" s="11">
        <f t="shared" si="50"/>
        <v>1020.98</v>
      </c>
      <c r="FK7" s="15">
        <f t="shared" si="51"/>
        <v>66.065743496829299</v>
      </c>
    </row>
    <row r="8" spans="1:167" x14ac:dyDescent="0.25">
      <c r="A8" s="11">
        <v>6</v>
      </c>
      <c r="B8" s="11">
        <v>1789</v>
      </c>
      <c r="E8" s="11">
        <v>6</v>
      </c>
      <c r="F8" s="11">
        <v>3229.2</v>
      </c>
      <c r="I8" s="11">
        <v>6</v>
      </c>
      <c r="J8" s="11">
        <v>3121.3</v>
      </c>
      <c r="K8" s="11">
        <f t="shared" si="0"/>
        <v>1440.1999999999998</v>
      </c>
      <c r="L8" s="11">
        <f t="shared" si="1"/>
        <v>1332.3000000000002</v>
      </c>
      <c r="M8" s="15">
        <f t="shared" si="2"/>
        <v>92.507985002083075</v>
      </c>
      <c r="O8" s="11">
        <v>6</v>
      </c>
      <c r="P8" s="11">
        <v>3068.95</v>
      </c>
      <c r="Q8" s="11">
        <v>1440.1999999999998</v>
      </c>
      <c r="R8" s="11">
        <f t="shared" si="3"/>
        <v>1279.9499999999998</v>
      </c>
      <c r="S8" s="15">
        <f t="shared" si="4"/>
        <v>88.87307318427996</v>
      </c>
      <c r="U8" s="11">
        <v>6</v>
      </c>
      <c r="V8" s="11" t="s">
        <v>32</v>
      </c>
      <c r="W8" s="11">
        <v>3055.67</v>
      </c>
      <c r="X8" s="11">
        <v>1440.1999999999998</v>
      </c>
      <c r="Y8" s="11">
        <f t="shared" si="5"/>
        <v>1266.67</v>
      </c>
      <c r="Z8" s="15">
        <f t="shared" si="6"/>
        <v>87.950979030690206</v>
      </c>
      <c r="AA8" s="16">
        <f t="shared" si="7"/>
        <v>98.962459471073103</v>
      </c>
      <c r="AC8" s="11">
        <v>6</v>
      </c>
      <c r="AD8" s="11" t="s">
        <v>32</v>
      </c>
      <c r="AE8" s="11">
        <v>3038</v>
      </c>
      <c r="AF8" s="11">
        <v>1440.1999999999998</v>
      </c>
      <c r="AG8" s="11">
        <f t="shared" si="8"/>
        <v>1249</v>
      </c>
      <c r="AH8" s="15">
        <f t="shared" si="9"/>
        <v>86.724066101930291</v>
      </c>
      <c r="AI8" s="16">
        <f t="shared" si="10"/>
        <v>98.605003671042965</v>
      </c>
      <c r="AK8" s="11">
        <v>6</v>
      </c>
      <c r="AL8" s="11" t="s">
        <v>32</v>
      </c>
      <c r="AM8" s="11">
        <v>3015.91</v>
      </c>
      <c r="AN8" s="11">
        <v>1440.1999999999998</v>
      </c>
      <c r="AO8" s="11">
        <f t="shared" si="11"/>
        <v>1226.9099999999999</v>
      </c>
      <c r="AP8" s="15">
        <f t="shared" si="12"/>
        <v>85.190251353978624</v>
      </c>
      <c r="AQ8" s="16">
        <f t="shared" si="13"/>
        <v>98.231385108086457</v>
      </c>
      <c r="AS8" s="11">
        <v>6</v>
      </c>
      <c r="AT8" s="11" t="s">
        <v>38</v>
      </c>
      <c r="AU8" s="11">
        <v>2976.98</v>
      </c>
      <c r="AV8" s="11">
        <v>1440.1999999999998</v>
      </c>
      <c r="AW8" s="11">
        <f t="shared" si="14"/>
        <v>1187.98</v>
      </c>
      <c r="AX8" s="15">
        <f t="shared" si="15"/>
        <v>82.487154561866419</v>
      </c>
      <c r="AY8" s="16">
        <f t="shared" si="16"/>
        <v>96.826988124638333</v>
      </c>
      <c r="BA8" s="11">
        <v>6</v>
      </c>
      <c r="BB8" s="11" t="s">
        <v>38</v>
      </c>
      <c r="BC8" s="11">
        <v>2875.79</v>
      </c>
      <c r="BD8" s="11">
        <v>1440.1999999999998</v>
      </c>
      <c r="BE8" s="11">
        <f t="shared" si="17"/>
        <v>1086.79</v>
      </c>
      <c r="BF8" s="15">
        <f t="shared" si="18"/>
        <v>75.461047076794898</v>
      </c>
      <c r="BG8" s="16">
        <f t="shared" si="19"/>
        <v>91.482179834677339</v>
      </c>
      <c r="BI8" s="11">
        <v>6</v>
      </c>
      <c r="BJ8" s="11" t="s">
        <v>38</v>
      </c>
      <c r="BK8" s="11">
        <v>2820.69</v>
      </c>
      <c r="BL8" s="11">
        <v>1440.1999999999998</v>
      </c>
      <c r="BM8" s="11">
        <f t="shared" si="20"/>
        <v>1031.69</v>
      </c>
      <c r="BN8" s="15">
        <f t="shared" si="21"/>
        <v>71.635189557005987</v>
      </c>
      <c r="BO8" s="16">
        <f t="shared" si="22"/>
        <v>94.930023279566427</v>
      </c>
      <c r="BQ8" s="11">
        <v>6</v>
      </c>
      <c r="BR8" s="11" t="s">
        <v>38</v>
      </c>
      <c r="BS8" s="11">
        <v>2754.75</v>
      </c>
      <c r="BT8" s="11">
        <v>1440.1999999999998</v>
      </c>
      <c r="BU8" s="11">
        <f t="shared" si="23"/>
        <v>965.75</v>
      </c>
      <c r="BV8" s="15">
        <f t="shared" si="24"/>
        <v>67.056658797389261</v>
      </c>
      <c r="BW8" s="16">
        <f t="shared" si="25"/>
        <v>93.608545202531772</v>
      </c>
      <c r="BX8">
        <v>62</v>
      </c>
      <c r="BZ8" s="11">
        <v>6</v>
      </c>
      <c r="CA8" s="11" t="s">
        <v>38</v>
      </c>
      <c r="CB8" s="11">
        <v>2683.28</v>
      </c>
      <c r="CC8" s="11">
        <v>1440.1999999999998</v>
      </c>
      <c r="CD8" s="11">
        <f t="shared" si="26"/>
        <v>894.2800000000002</v>
      </c>
      <c r="CE8" s="15">
        <f t="shared" si="27"/>
        <v>62.094153589779225</v>
      </c>
      <c r="CG8" s="11">
        <v>6</v>
      </c>
      <c r="CH8" s="11" t="s">
        <v>40</v>
      </c>
      <c r="CI8" s="11">
        <v>2614.14</v>
      </c>
      <c r="CJ8" s="11">
        <v>1440.1999999999998</v>
      </c>
      <c r="CK8" s="11">
        <f t="shared" si="28"/>
        <v>825.13999999999987</v>
      </c>
      <c r="CL8" s="15">
        <f t="shared" si="29"/>
        <v>57.293431467851683</v>
      </c>
      <c r="CN8" s="11">
        <v>6</v>
      </c>
      <c r="CO8" s="11" t="s">
        <v>55</v>
      </c>
      <c r="CP8" s="11">
        <v>2548.27</v>
      </c>
      <c r="CQ8" s="11">
        <v>1440.1999999999998</v>
      </c>
      <c r="CR8" s="11">
        <f t="shared" si="30"/>
        <v>759.27</v>
      </c>
      <c r="CS8" s="15">
        <f t="shared" si="31"/>
        <v>52.719761144285528</v>
      </c>
      <c r="CU8" s="11">
        <v>6</v>
      </c>
      <c r="CV8" s="11" t="s">
        <v>56</v>
      </c>
      <c r="CW8" s="11">
        <v>2615.2199999999998</v>
      </c>
      <c r="CX8" s="11">
        <v>1440.1999999999998</v>
      </c>
      <c r="CY8" s="11">
        <f t="shared" si="32"/>
        <v>826.2199999999998</v>
      </c>
      <c r="CZ8" s="15">
        <f t="shared" si="33"/>
        <v>57.368421052631568</v>
      </c>
      <c r="DB8" s="11">
        <v>6</v>
      </c>
      <c r="DC8" s="11" t="s">
        <v>59</v>
      </c>
      <c r="DD8" s="11">
        <v>2700.96</v>
      </c>
      <c r="DE8" s="11">
        <v>1440.1999999999998</v>
      </c>
      <c r="DF8" s="11">
        <f t="shared" si="34"/>
        <v>911.96</v>
      </c>
      <c r="DG8" s="15">
        <f t="shared" si="35"/>
        <v>63.321760866546327</v>
      </c>
      <c r="DI8" s="11">
        <v>6</v>
      </c>
      <c r="DJ8" s="11" t="s">
        <v>59</v>
      </c>
      <c r="DK8" s="11">
        <v>2631.77</v>
      </c>
      <c r="DL8" s="11">
        <v>1440.1999999999998</v>
      </c>
      <c r="DM8" s="11">
        <f t="shared" si="36"/>
        <v>842.77</v>
      </c>
      <c r="DN8" s="15">
        <f t="shared" si="37"/>
        <v>58.517567004582702</v>
      </c>
      <c r="DP8" s="11">
        <v>6</v>
      </c>
      <c r="DQ8" s="11" t="s">
        <v>59</v>
      </c>
      <c r="DR8" s="11">
        <v>2562.37</v>
      </c>
      <c r="DS8" s="11">
        <v>1440.1999999999998</v>
      </c>
      <c r="DT8" s="11">
        <f t="shared" si="38"/>
        <v>773.36999999999989</v>
      </c>
      <c r="DU8" s="15">
        <f t="shared" si="39"/>
        <v>53.698791834467428</v>
      </c>
      <c r="DW8" s="11">
        <v>6</v>
      </c>
      <c r="DX8" s="11" t="s">
        <v>66</v>
      </c>
      <c r="DY8" s="11">
        <v>2578.88</v>
      </c>
      <c r="DZ8" s="11">
        <v>1440.1999999999998</v>
      </c>
      <c r="EA8" s="11">
        <f t="shared" si="40"/>
        <v>789.88000000000011</v>
      </c>
      <c r="EB8" s="15">
        <f t="shared" si="41"/>
        <v>54.84516039438968</v>
      </c>
      <c r="ED8" s="11">
        <v>6</v>
      </c>
      <c r="EE8" s="11"/>
      <c r="EF8" s="11">
        <v>2555.87</v>
      </c>
      <c r="EG8" s="11">
        <v>1440.1999999999998</v>
      </c>
      <c r="EH8" s="11">
        <f t="shared" si="42"/>
        <v>766.86999999999989</v>
      </c>
      <c r="EI8" s="15">
        <f t="shared" si="43"/>
        <v>53.247465629773636</v>
      </c>
      <c r="EK8" s="11">
        <v>6</v>
      </c>
      <c r="EL8" s="11" t="s">
        <v>98</v>
      </c>
      <c r="EM8" s="11">
        <v>2674.14</v>
      </c>
      <c r="EN8" s="11">
        <v>1440.1999999999998</v>
      </c>
      <c r="EO8" s="11">
        <f t="shared" si="44"/>
        <v>885.13999999999987</v>
      </c>
      <c r="EP8" s="15">
        <f t="shared" si="45"/>
        <v>61.459519511179003</v>
      </c>
      <c r="ER8" s="11">
        <v>6</v>
      </c>
      <c r="ES8" s="11" t="s">
        <v>98</v>
      </c>
      <c r="ET8" s="11">
        <v>2535.23</v>
      </c>
      <c r="EU8" s="11">
        <v>1440.1999999999998</v>
      </c>
      <c r="EV8" s="11">
        <f t="shared" si="46"/>
        <v>746.23</v>
      </c>
      <c r="EW8" s="15">
        <f t="shared" si="47"/>
        <v>51.81433134286906</v>
      </c>
      <c r="EY8" s="11">
        <v>6</v>
      </c>
      <c r="EZ8" s="11" t="s">
        <v>98</v>
      </c>
      <c r="FA8" s="11">
        <v>2706.54</v>
      </c>
      <c r="FB8" s="11">
        <v>1440.1999999999998</v>
      </c>
      <c r="FC8" s="11">
        <f t="shared" si="48"/>
        <v>917.54</v>
      </c>
      <c r="FD8" s="15">
        <f t="shared" si="49"/>
        <v>63.709207054575757</v>
      </c>
      <c r="FF8" s="11">
        <v>6</v>
      </c>
      <c r="FG8" s="11" t="s">
        <v>98</v>
      </c>
      <c r="FH8" s="11">
        <v>2732.55</v>
      </c>
      <c r="FI8" s="11">
        <v>1440.1999999999998</v>
      </c>
      <c r="FJ8" s="11">
        <f t="shared" si="50"/>
        <v>943.55000000000018</v>
      </c>
      <c r="FK8" s="15">
        <f t="shared" si="51"/>
        <v>65.51520622135817</v>
      </c>
    </row>
    <row r="9" spans="1:167" x14ac:dyDescent="0.25">
      <c r="A9" s="11">
        <v>7</v>
      </c>
      <c r="B9" s="11">
        <v>1565.53</v>
      </c>
      <c r="E9" s="11">
        <v>7</v>
      </c>
      <c r="F9" s="11">
        <v>2908.8</v>
      </c>
      <c r="I9" s="11">
        <v>7</v>
      </c>
      <c r="J9" s="11">
        <v>2791.9</v>
      </c>
      <c r="K9" s="11">
        <f t="shared" si="0"/>
        <v>1343.2700000000002</v>
      </c>
      <c r="L9" s="11">
        <f t="shared" si="1"/>
        <v>1226.3700000000001</v>
      </c>
      <c r="M9" s="15">
        <f t="shared" si="2"/>
        <v>91.297356451048557</v>
      </c>
      <c r="O9" s="11">
        <v>7</v>
      </c>
      <c r="P9" s="11">
        <v>2724.98</v>
      </c>
      <c r="Q9" s="11">
        <v>1343.2700000000002</v>
      </c>
      <c r="R9" s="11">
        <f t="shared" si="3"/>
        <v>1159.45</v>
      </c>
      <c r="S9" s="15">
        <f t="shared" si="4"/>
        <v>86.315483856558984</v>
      </c>
      <c r="U9" s="11">
        <v>7</v>
      </c>
      <c r="V9" s="11" t="s">
        <v>32</v>
      </c>
      <c r="W9" s="11">
        <v>2697.58</v>
      </c>
      <c r="X9" s="11">
        <v>1343.2700000000002</v>
      </c>
      <c r="Y9" s="11">
        <f t="shared" si="5"/>
        <v>1132.05</v>
      </c>
      <c r="Z9" s="15">
        <f t="shared" si="6"/>
        <v>84.275685454152907</v>
      </c>
      <c r="AA9" s="16">
        <f t="shared" si="7"/>
        <v>97.636810556729486</v>
      </c>
      <c r="AC9" s="11">
        <v>7</v>
      </c>
      <c r="AD9" s="11" t="s">
        <v>32</v>
      </c>
      <c r="AE9" s="11">
        <v>2666.83</v>
      </c>
      <c r="AF9" s="11">
        <v>1343.2700000000002</v>
      </c>
      <c r="AG9" s="11">
        <f t="shared" si="8"/>
        <v>1101.3</v>
      </c>
      <c r="AH9" s="15">
        <f t="shared" si="9"/>
        <v>81.986495641233688</v>
      </c>
      <c r="AI9" s="16">
        <f t="shared" si="10"/>
        <v>97.283688882999868</v>
      </c>
      <c r="AK9" s="11">
        <v>7</v>
      </c>
      <c r="AL9" s="11" t="s">
        <v>32</v>
      </c>
      <c r="AM9" s="11">
        <v>2631.75</v>
      </c>
      <c r="AN9" s="11">
        <v>1343.2700000000002</v>
      </c>
      <c r="AO9" s="11">
        <f t="shared" si="11"/>
        <v>1066.22</v>
      </c>
      <c r="AP9" s="15">
        <f t="shared" si="12"/>
        <v>79.37495812457658</v>
      </c>
      <c r="AQ9" s="16">
        <f t="shared" si="13"/>
        <v>96.814673567601929</v>
      </c>
      <c r="AS9" s="11">
        <v>7</v>
      </c>
      <c r="AT9" s="11" t="s">
        <v>38</v>
      </c>
      <c r="AU9" s="11">
        <v>2571.66</v>
      </c>
      <c r="AV9" s="11">
        <v>1343.2700000000002</v>
      </c>
      <c r="AW9" s="11">
        <f t="shared" si="14"/>
        <v>1006.1299999999999</v>
      </c>
      <c r="AX9" s="15">
        <f t="shared" si="15"/>
        <v>74.901546226745168</v>
      </c>
      <c r="AY9" s="16">
        <f t="shared" si="16"/>
        <v>94.364202509800961</v>
      </c>
      <c r="BA9" s="11">
        <v>7</v>
      </c>
      <c r="BB9" s="11" t="s">
        <v>38</v>
      </c>
      <c r="BC9" s="11">
        <v>2440.06</v>
      </c>
      <c r="BD9" s="11">
        <v>1343.2700000000002</v>
      </c>
      <c r="BE9" s="11">
        <f t="shared" si="17"/>
        <v>874.53</v>
      </c>
      <c r="BF9" s="15">
        <f t="shared" si="18"/>
        <v>65.104558279422591</v>
      </c>
      <c r="BG9" s="16">
        <f t="shared" si="19"/>
        <v>86.920179300885579</v>
      </c>
      <c r="BI9" s="11">
        <v>7</v>
      </c>
      <c r="BJ9" s="11" t="s">
        <v>38</v>
      </c>
      <c r="BK9" s="11">
        <v>2377.4299999999998</v>
      </c>
      <c r="BL9" s="11">
        <v>1343.2700000000002</v>
      </c>
      <c r="BM9" s="11">
        <f t="shared" si="20"/>
        <v>811.89999999999986</v>
      </c>
      <c r="BN9" s="15">
        <f t="shared" si="21"/>
        <v>60.442055580784185</v>
      </c>
      <c r="BO9" s="16">
        <f t="shared" si="22"/>
        <v>92.838438932912524</v>
      </c>
      <c r="BQ9" s="11">
        <v>7</v>
      </c>
      <c r="BR9" s="11" t="s">
        <v>40</v>
      </c>
      <c r="BS9" s="11">
        <v>2310.9499999999998</v>
      </c>
      <c r="BT9" s="11">
        <v>1343.2700000000002</v>
      </c>
      <c r="BU9" s="11">
        <f t="shared" si="23"/>
        <v>745.41999999999985</v>
      </c>
      <c r="BV9" s="15">
        <f t="shared" si="24"/>
        <v>55.49293887304858</v>
      </c>
      <c r="BW9" s="16">
        <f t="shared" si="25"/>
        <v>91.811799482694909</v>
      </c>
      <c r="BX9">
        <v>50</v>
      </c>
      <c r="BZ9" s="11">
        <v>7</v>
      </c>
      <c r="CA9" s="11" t="s">
        <v>40</v>
      </c>
      <c r="CB9" s="11">
        <v>2352.98</v>
      </c>
      <c r="CC9" s="11">
        <v>1343.2700000000002</v>
      </c>
      <c r="CD9" s="11">
        <f t="shared" si="26"/>
        <v>787.45</v>
      </c>
      <c r="CE9" s="15">
        <f t="shared" si="27"/>
        <v>58.621870510024046</v>
      </c>
      <c r="CG9" s="11">
        <v>7</v>
      </c>
      <c r="CH9" s="11" t="s">
        <v>40</v>
      </c>
      <c r="CI9" s="11">
        <v>2316.84</v>
      </c>
      <c r="CJ9" s="11">
        <v>1343.2700000000002</v>
      </c>
      <c r="CK9" s="11">
        <f t="shared" si="28"/>
        <v>751.31000000000017</v>
      </c>
      <c r="CL9" s="15">
        <f t="shared" si="29"/>
        <v>55.93142108436875</v>
      </c>
      <c r="CN9" s="11">
        <v>7</v>
      </c>
      <c r="CO9" s="11" t="s">
        <v>55</v>
      </c>
      <c r="CP9" s="11">
        <v>2199.7199999999998</v>
      </c>
      <c r="CQ9" s="11">
        <v>1343.2700000000002</v>
      </c>
      <c r="CR9" s="11">
        <f t="shared" si="30"/>
        <v>634.18999999999983</v>
      </c>
      <c r="CS9" s="15">
        <f t="shared" si="31"/>
        <v>47.212399592040299</v>
      </c>
      <c r="CU9" s="11">
        <v>7</v>
      </c>
      <c r="CV9" s="11" t="s">
        <v>55</v>
      </c>
      <c r="CW9" s="11">
        <v>2349.4499999999998</v>
      </c>
      <c r="CX9" s="11">
        <v>1343.2700000000002</v>
      </c>
      <c r="CY9" s="11">
        <f t="shared" si="32"/>
        <v>783.91999999999985</v>
      </c>
      <c r="CZ9" s="15">
        <f t="shared" si="33"/>
        <v>58.359078964020618</v>
      </c>
      <c r="DB9" s="11">
        <v>7</v>
      </c>
      <c r="DC9" s="11" t="s">
        <v>56</v>
      </c>
      <c r="DD9" s="11">
        <v>2406.8200000000002</v>
      </c>
      <c r="DE9" s="11">
        <v>1343.2700000000002</v>
      </c>
      <c r="DF9" s="11">
        <f t="shared" si="34"/>
        <v>841.29000000000019</v>
      </c>
      <c r="DG9" s="15">
        <f t="shared" si="35"/>
        <v>62.629999925554799</v>
      </c>
      <c r="DI9" s="11">
        <v>7</v>
      </c>
      <c r="DJ9" s="11" t="s">
        <v>56</v>
      </c>
      <c r="DK9" s="11">
        <v>2333.58</v>
      </c>
      <c r="DL9" s="11">
        <v>1343.2700000000002</v>
      </c>
      <c r="DM9" s="11">
        <f t="shared" si="36"/>
        <v>768.05</v>
      </c>
      <c r="DN9" s="15">
        <f t="shared" si="37"/>
        <v>57.1776336849628</v>
      </c>
      <c r="DP9" s="11">
        <v>7</v>
      </c>
      <c r="DQ9" s="11" t="s">
        <v>97</v>
      </c>
      <c r="DR9" s="11">
        <v>2260.21</v>
      </c>
      <c r="DS9" s="11">
        <v>1343.2700000000002</v>
      </c>
      <c r="DT9" s="11">
        <f t="shared" si="38"/>
        <v>694.68000000000006</v>
      </c>
      <c r="DU9" s="15">
        <f t="shared" si="39"/>
        <v>51.71558956873897</v>
      </c>
      <c r="DW9" s="11">
        <v>7</v>
      </c>
      <c r="DX9" s="11" t="s">
        <v>97</v>
      </c>
      <c r="DY9" s="11">
        <v>2277.65</v>
      </c>
      <c r="DZ9" s="11">
        <v>1343.2700000000002</v>
      </c>
      <c r="EA9" s="11">
        <f t="shared" si="40"/>
        <v>712.12000000000012</v>
      </c>
      <c r="EB9" s="15">
        <f t="shared" si="41"/>
        <v>53.013913807350718</v>
      </c>
      <c r="ED9" s="11">
        <v>7</v>
      </c>
      <c r="EE9" s="11"/>
      <c r="EF9" s="11">
        <v>2249.77</v>
      </c>
      <c r="EG9" s="11">
        <v>1343.2700000000002</v>
      </c>
      <c r="EH9" s="11">
        <f t="shared" si="42"/>
        <v>684.24</v>
      </c>
      <c r="EI9" s="15">
        <f t="shared" si="43"/>
        <v>50.93838171030395</v>
      </c>
      <c r="EK9" s="11">
        <v>7</v>
      </c>
      <c r="EL9" s="11" t="s">
        <v>105</v>
      </c>
      <c r="EM9" s="11">
        <v>2349.5100000000002</v>
      </c>
      <c r="EN9" s="11">
        <v>1343.2700000000002</v>
      </c>
      <c r="EO9" s="11">
        <f t="shared" si="44"/>
        <v>783.98000000000025</v>
      </c>
      <c r="EP9" s="15">
        <f t="shared" si="45"/>
        <v>58.363545675850737</v>
      </c>
      <c r="ER9" s="11">
        <v>7</v>
      </c>
      <c r="ES9" s="11" t="s">
        <v>105</v>
      </c>
      <c r="ET9" s="11">
        <v>2217.9299999999998</v>
      </c>
      <c r="EU9" s="11">
        <v>1343.2700000000002</v>
      </c>
      <c r="EV9" s="11">
        <f t="shared" si="46"/>
        <v>652.39999999999986</v>
      </c>
      <c r="EW9" s="15">
        <f t="shared" si="47"/>
        <v>48.568046632471493</v>
      </c>
      <c r="EY9" s="11">
        <v>7</v>
      </c>
      <c r="EZ9" s="11" t="s">
        <v>105</v>
      </c>
      <c r="FA9" s="11">
        <v>2430.86</v>
      </c>
      <c r="FB9" s="11">
        <v>1343.2700000000002</v>
      </c>
      <c r="FC9" s="11">
        <f t="shared" si="48"/>
        <v>865.33000000000015</v>
      </c>
      <c r="FD9" s="15">
        <f t="shared" si="49"/>
        <v>64.419662465476051</v>
      </c>
      <c r="FF9" s="11">
        <v>7</v>
      </c>
      <c r="FG9" s="11" t="s">
        <v>105</v>
      </c>
      <c r="FH9" s="11">
        <v>2424.5500000000002</v>
      </c>
      <c r="FI9" s="11">
        <v>1343.2700000000002</v>
      </c>
      <c r="FJ9" s="11">
        <f t="shared" si="50"/>
        <v>859.02000000000021</v>
      </c>
      <c r="FK9" s="15">
        <f t="shared" si="51"/>
        <v>63.949913271345302</v>
      </c>
    </row>
    <row r="10" spans="1:167" x14ac:dyDescent="0.25">
      <c r="A10" s="11">
        <v>8</v>
      </c>
      <c r="B10" s="11">
        <v>1607.4</v>
      </c>
      <c r="E10" s="11">
        <v>8</v>
      </c>
      <c r="F10" s="11">
        <v>2956.2</v>
      </c>
      <c r="I10" s="11">
        <v>8</v>
      </c>
      <c r="J10" s="11">
        <v>2843.8</v>
      </c>
      <c r="K10" s="11">
        <f t="shared" si="0"/>
        <v>1348.7999999999997</v>
      </c>
      <c r="L10" s="11">
        <f t="shared" si="1"/>
        <v>1236.4000000000001</v>
      </c>
      <c r="M10" s="15">
        <f t="shared" si="2"/>
        <v>91.6666666666667</v>
      </c>
      <c r="O10" s="11">
        <v>8</v>
      </c>
      <c r="P10" s="11">
        <v>2780.17</v>
      </c>
      <c r="Q10" s="11">
        <v>1348.7999999999997</v>
      </c>
      <c r="R10" s="11">
        <f t="shared" si="3"/>
        <v>1172.77</v>
      </c>
      <c r="S10" s="15">
        <f t="shared" si="4"/>
        <v>86.94913997627522</v>
      </c>
      <c r="U10" s="11">
        <v>8</v>
      </c>
      <c r="V10" s="11" t="s">
        <v>32</v>
      </c>
      <c r="W10" s="11">
        <v>2751.98</v>
      </c>
      <c r="X10" s="11">
        <v>1348.7999999999997</v>
      </c>
      <c r="Y10" s="11">
        <f t="shared" si="5"/>
        <v>1144.58</v>
      </c>
      <c r="Z10" s="15">
        <f t="shared" si="6"/>
        <v>84.859134045077127</v>
      </c>
      <c r="AA10" s="16">
        <f t="shared" si="7"/>
        <v>97.59628912745039</v>
      </c>
      <c r="AC10" s="11">
        <v>8</v>
      </c>
      <c r="AD10" s="11" t="s">
        <v>32</v>
      </c>
      <c r="AE10" s="11">
        <v>2716.19</v>
      </c>
      <c r="AF10" s="11">
        <v>1348.7999999999997</v>
      </c>
      <c r="AG10" s="11">
        <f t="shared" si="8"/>
        <v>1108.79</v>
      </c>
      <c r="AH10" s="15">
        <f t="shared" si="9"/>
        <v>82.205664294187443</v>
      </c>
      <c r="AI10" s="16">
        <f t="shared" si="10"/>
        <v>96.87308881860595</v>
      </c>
      <c r="AK10" s="11">
        <v>8</v>
      </c>
      <c r="AL10" s="11" t="s">
        <v>32</v>
      </c>
      <c r="AM10" s="11">
        <v>2669.28</v>
      </c>
      <c r="AN10" s="11">
        <v>1348.7999999999997</v>
      </c>
      <c r="AO10" s="11">
        <f t="shared" si="11"/>
        <v>1061.8800000000001</v>
      </c>
      <c r="AP10" s="15">
        <f t="shared" si="12"/>
        <v>78.727758007117473</v>
      </c>
      <c r="AQ10" s="16">
        <f t="shared" si="13"/>
        <v>95.769261988293565</v>
      </c>
      <c r="AS10" s="11">
        <v>8</v>
      </c>
      <c r="AT10" s="11" t="s">
        <v>38</v>
      </c>
      <c r="AU10" s="11">
        <v>2591.67</v>
      </c>
      <c r="AV10" s="11">
        <v>1348.7999999999997</v>
      </c>
      <c r="AW10" s="11">
        <f t="shared" si="14"/>
        <v>984.27</v>
      </c>
      <c r="AX10" s="15">
        <f t="shared" si="15"/>
        <v>72.97375444839858</v>
      </c>
      <c r="AY10" s="16">
        <f t="shared" si="16"/>
        <v>92.691264549666613</v>
      </c>
      <c r="BA10" s="11">
        <v>8</v>
      </c>
      <c r="BB10" s="11" t="s">
        <v>40</v>
      </c>
      <c r="BC10" s="11">
        <v>2403.62</v>
      </c>
      <c r="BD10" s="11">
        <v>1348.7999999999997</v>
      </c>
      <c r="BE10" s="11">
        <f t="shared" si="17"/>
        <v>796.2199999999998</v>
      </c>
      <c r="BF10" s="15">
        <f t="shared" si="18"/>
        <v>59.031731909845789</v>
      </c>
      <c r="BG10" s="16">
        <f t="shared" si="19"/>
        <v>80.894470013309345</v>
      </c>
      <c r="BI10" s="11">
        <v>8</v>
      </c>
      <c r="BJ10" s="11" t="s">
        <v>40</v>
      </c>
      <c r="BK10" s="11">
        <v>2447.37</v>
      </c>
      <c r="BL10" s="11">
        <v>1348.7999999999997</v>
      </c>
      <c r="BM10" s="11">
        <f t="shared" si="20"/>
        <v>839.9699999999998</v>
      </c>
      <c r="BN10" s="15">
        <f t="shared" si="21"/>
        <v>62.27535587188612</v>
      </c>
      <c r="BO10" s="16">
        <f t="shared" si="22"/>
        <v>105.49471251664113</v>
      </c>
      <c r="BQ10" s="11">
        <v>8</v>
      </c>
      <c r="BR10" s="11" t="s">
        <v>40</v>
      </c>
      <c r="BS10" s="11">
        <v>2353.54</v>
      </c>
      <c r="BT10" s="11">
        <v>1348.7999999999997</v>
      </c>
      <c r="BU10" s="11">
        <f t="shared" si="23"/>
        <v>746.13999999999987</v>
      </c>
      <c r="BV10" s="15">
        <f t="shared" si="24"/>
        <v>55.318801897983391</v>
      </c>
      <c r="BW10" s="16">
        <f t="shared" si="25"/>
        <v>88.829362953438817</v>
      </c>
      <c r="BX10">
        <v>50</v>
      </c>
      <c r="BZ10" s="11">
        <v>8</v>
      </c>
      <c r="CA10" s="11" t="s">
        <v>40</v>
      </c>
      <c r="CB10" s="11">
        <v>2377.0700000000002</v>
      </c>
      <c r="CC10" s="11">
        <v>1348.7999999999997</v>
      </c>
      <c r="CD10" s="11">
        <f t="shared" si="26"/>
        <v>769.67000000000007</v>
      </c>
      <c r="CE10" s="15">
        <f t="shared" si="27"/>
        <v>57.063315539739044</v>
      </c>
      <c r="CG10" s="11">
        <v>8</v>
      </c>
      <c r="CH10" s="11" t="s">
        <v>55</v>
      </c>
      <c r="CI10" s="11">
        <v>2319.84</v>
      </c>
      <c r="CJ10" s="11">
        <v>1348.7999999999997</v>
      </c>
      <c r="CK10" s="11">
        <f t="shared" si="28"/>
        <v>712.44</v>
      </c>
      <c r="CL10" s="15">
        <f t="shared" si="29"/>
        <v>52.82028469750891</v>
      </c>
      <c r="CN10" s="11">
        <v>8</v>
      </c>
      <c r="CO10" s="11" t="s">
        <v>55</v>
      </c>
      <c r="CP10" s="11">
        <v>2225.16</v>
      </c>
      <c r="CQ10" s="11">
        <v>1348.7999999999997</v>
      </c>
      <c r="CR10" s="11">
        <f t="shared" si="30"/>
        <v>617.75999999999976</v>
      </c>
      <c r="CS10" s="15">
        <f t="shared" si="31"/>
        <v>45.800711743772233</v>
      </c>
      <c r="CU10" s="11">
        <v>8</v>
      </c>
      <c r="CV10" s="11" t="s">
        <v>56</v>
      </c>
      <c r="CW10" s="11">
        <v>2414.42</v>
      </c>
      <c r="CX10" s="11">
        <v>1348.7999999999997</v>
      </c>
      <c r="CY10" s="11">
        <f t="shared" si="32"/>
        <v>807.02</v>
      </c>
      <c r="CZ10" s="15">
        <f t="shared" si="33"/>
        <v>59.832443653618043</v>
      </c>
      <c r="DB10" s="11">
        <v>8</v>
      </c>
      <c r="DC10" s="11" t="s">
        <v>56</v>
      </c>
      <c r="DD10" s="11">
        <v>2469.7800000000002</v>
      </c>
      <c r="DE10" s="11">
        <v>1348.7999999999997</v>
      </c>
      <c r="DF10" s="11">
        <f t="shared" si="34"/>
        <v>862.38000000000011</v>
      </c>
      <c r="DG10" s="15">
        <f t="shared" si="35"/>
        <v>63.936832740213546</v>
      </c>
      <c r="DI10" s="11">
        <v>8</v>
      </c>
      <c r="DJ10" s="11" t="s">
        <v>56</v>
      </c>
      <c r="DK10" s="11">
        <v>2387.4</v>
      </c>
      <c r="DL10" s="11">
        <v>1348.7999999999997</v>
      </c>
      <c r="DM10" s="11">
        <f t="shared" si="36"/>
        <v>780</v>
      </c>
      <c r="DN10" s="15">
        <f t="shared" si="37"/>
        <v>57.829181494661931</v>
      </c>
      <c r="DP10" s="11">
        <v>8</v>
      </c>
      <c r="DQ10" s="11" t="s">
        <v>59</v>
      </c>
      <c r="DR10" s="11">
        <v>2308.9299999999998</v>
      </c>
      <c r="DS10" s="11">
        <v>1348.7999999999997</v>
      </c>
      <c r="DT10" s="11">
        <f t="shared" si="38"/>
        <v>701.52999999999975</v>
      </c>
      <c r="DU10" s="15">
        <f t="shared" si="39"/>
        <v>52.011417556346373</v>
      </c>
      <c r="DW10" s="11">
        <v>8</v>
      </c>
      <c r="DX10" s="11" t="s">
        <v>66</v>
      </c>
      <c r="DY10" s="11">
        <v>2321.5300000000002</v>
      </c>
      <c r="DZ10" s="11">
        <v>1348.7999999999997</v>
      </c>
      <c r="EA10" s="11">
        <f t="shared" si="40"/>
        <v>714.13000000000011</v>
      </c>
      <c r="EB10" s="15">
        <f t="shared" si="41"/>
        <v>52.94558125741402</v>
      </c>
      <c r="ED10" s="11">
        <v>8</v>
      </c>
      <c r="EE10" s="11"/>
      <c r="EF10" s="11">
        <v>2288.48</v>
      </c>
      <c r="EG10" s="11">
        <v>1348.7999999999997</v>
      </c>
      <c r="EH10" s="11">
        <f t="shared" si="42"/>
        <v>681.07999999999993</v>
      </c>
      <c r="EI10" s="15">
        <f t="shared" si="43"/>
        <v>50.495255041518391</v>
      </c>
      <c r="EK10" s="11">
        <v>8</v>
      </c>
      <c r="EL10" s="11" t="s">
        <v>66</v>
      </c>
      <c r="EM10" s="11">
        <v>2388.33</v>
      </c>
      <c r="EN10" s="11">
        <v>1348.7999999999997</v>
      </c>
      <c r="EO10" s="11">
        <f t="shared" si="44"/>
        <v>780.92999999999984</v>
      </c>
      <c r="EP10" s="15">
        <f t="shared" si="45"/>
        <v>57.898131672597863</v>
      </c>
      <c r="ER10" s="11">
        <v>8</v>
      </c>
      <c r="ES10" s="11" t="s">
        <v>66</v>
      </c>
      <c r="ET10" s="11">
        <v>2267.92</v>
      </c>
      <c r="EU10" s="11">
        <v>1348.7999999999997</v>
      </c>
      <c r="EV10" s="11">
        <f t="shared" si="46"/>
        <v>660.52</v>
      </c>
      <c r="EW10" s="15">
        <f t="shared" si="47"/>
        <v>48.970937129300133</v>
      </c>
      <c r="EY10" s="11">
        <v>8</v>
      </c>
      <c r="EZ10" s="11" t="s">
        <v>97</v>
      </c>
      <c r="FA10" s="11">
        <v>2415.19</v>
      </c>
      <c r="FB10" s="11">
        <v>1348.7999999999997</v>
      </c>
      <c r="FC10" s="11">
        <f t="shared" si="48"/>
        <v>807.79</v>
      </c>
      <c r="FD10" s="15">
        <f t="shared" si="49"/>
        <v>59.889531435349951</v>
      </c>
      <c r="FF10" s="11">
        <v>8</v>
      </c>
      <c r="FG10" s="11" t="s">
        <v>105</v>
      </c>
      <c r="FH10" s="11">
        <v>2425.29</v>
      </c>
      <c r="FI10" s="11">
        <v>1348.7999999999997</v>
      </c>
      <c r="FJ10" s="11">
        <f t="shared" si="50"/>
        <v>817.88999999999987</v>
      </c>
      <c r="FK10" s="15">
        <f t="shared" si="51"/>
        <v>60.638345195729535</v>
      </c>
    </row>
    <row r="11" spans="1:167" x14ac:dyDescent="0.25">
      <c r="A11" s="11">
        <v>9</v>
      </c>
      <c r="B11" s="11">
        <v>1555.9</v>
      </c>
      <c r="E11" s="11">
        <v>9</v>
      </c>
      <c r="F11" s="11">
        <v>2916.3</v>
      </c>
      <c r="I11" s="11">
        <v>9</v>
      </c>
      <c r="J11" s="11">
        <v>2808.6</v>
      </c>
      <c r="K11" s="11">
        <f t="shared" si="0"/>
        <v>1360.4</v>
      </c>
      <c r="L11" s="11">
        <f t="shared" si="1"/>
        <v>1252.6999999999998</v>
      </c>
      <c r="M11" s="15">
        <f t="shared" si="2"/>
        <v>92.083210820346935</v>
      </c>
      <c r="O11" s="11">
        <v>9</v>
      </c>
      <c r="P11" s="11">
        <v>2758.64</v>
      </c>
      <c r="Q11" s="11">
        <v>1360.4</v>
      </c>
      <c r="R11" s="11">
        <f t="shared" si="3"/>
        <v>1202.7399999999998</v>
      </c>
      <c r="S11" s="15">
        <f t="shared" si="4"/>
        <v>88.410761540723286</v>
      </c>
      <c r="U11" s="11">
        <v>9</v>
      </c>
      <c r="V11" s="11" t="s">
        <v>32</v>
      </c>
      <c r="W11" s="11">
        <v>2736.77</v>
      </c>
      <c r="X11" s="11">
        <v>1360.4</v>
      </c>
      <c r="Y11" s="11">
        <f t="shared" si="5"/>
        <v>1180.8699999999999</v>
      </c>
      <c r="Z11" s="15">
        <f t="shared" si="6"/>
        <v>86.803146133490145</v>
      </c>
      <c r="AA11" s="16">
        <f t="shared" si="7"/>
        <v>98.18165189484013</v>
      </c>
      <c r="AC11" s="11">
        <v>9</v>
      </c>
      <c r="AD11" s="11" t="s">
        <v>32</v>
      </c>
      <c r="AE11" s="11">
        <v>2708.87</v>
      </c>
      <c r="AF11" s="11">
        <v>1360.4</v>
      </c>
      <c r="AG11" s="11">
        <f t="shared" si="8"/>
        <v>1152.9699999999998</v>
      </c>
      <c r="AH11" s="15">
        <f t="shared" si="9"/>
        <v>84.752278741546576</v>
      </c>
      <c r="AI11" s="16">
        <f t="shared" si="10"/>
        <v>97.637335185075401</v>
      </c>
      <c r="AK11" s="11">
        <v>9</v>
      </c>
      <c r="AL11" s="11" t="s">
        <v>32</v>
      </c>
      <c r="AM11" s="11">
        <v>2673.64</v>
      </c>
      <c r="AN11" s="11">
        <v>1360.4</v>
      </c>
      <c r="AO11" s="11">
        <f t="shared" si="11"/>
        <v>1117.7399999999998</v>
      </c>
      <c r="AP11" s="15">
        <f t="shared" si="12"/>
        <v>82.16259923551894</v>
      </c>
      <c r="AQ11" s="16">
        <f t="shared" si="13"/>
        <v>96.944413124365767</v>
      </c>
      <c r="AS11" s="11">
        <v>9</v>
      </c>
      <c r="AT11" s="11" t="s">
        <v>38</v>
      </c>
      <c r="AU11" s="11">
        <v>2610.4299999999998</v>
      </c>
      <c r="AV11" s="11">
        <v>1360.4</v>
      </c>
      <c r="AW11" s="11">
        <f t="shared" si="14"/>
        <v>1054.5299999999997</v>
      </c>
      <c r="AX11" s="15">
        <f t="shared" si="15"/>
        <v>77.516171714201676</v>
      </c>
      <c r="AY11" s="16">
        <f t="shared" si="16"/>
        <v>94.344838692361364</v>
      </c>
      <c r="BA11" s="11">
        <v>9</v>
      </c>
      <c r="BB11" s="11" t="s">
        <v>40</v>
      </c>
      <c r="BC11" s="11">
        <v>2449.59</v>
      </c>
      <c r="BD11" s="11">
        <v>1360.4</v>
      </c>
      <c r="BE11" s="11">
        <f t="shared" si="17"/>
        <v>893.69</v>
      </c>
      <c r="BF11" s="15">
        <f t="shared" si="18"/>
        <v>65.693178476918561</v>
      </c>
      <c r="BG11" s="16">
        <f t="shared" si="19"/>
        <v>84.747707509506625</v>
      </c>
      <c r="BI11" s="11">
        <v>9</v>
      </c>
      <c r="BJ11" s="11" t="s">
        <v>40</v>
      </c>
      <c r="BK11" s="11">
        <v>2374.1999999999998</v>
      </c>
      <c r="BL11" s="11">
        <v>1360.4</v>
      </c>
      <c r="BM11" s="11">
        <f t="shared" si="20"/>
        <v>818.29999999999973</v>
      </c>
      <c r="BN11" s="15">
        <f t="shared" si="21"/>
        <v>60.151426051161394</v>
      </c>
      <c r="BO11" s="16">
        <f t="shared" si="22"/>
        <v>91.564188924571127</v>
      </c>
      <c r="BQ11" s="11">
        <v>9</v>
      </c>
      <c r="BR11" s="11" t="s">
        <v>40</v>
      </c>
      <c r="BS11" s="11">
        <v>2302.36</v>
      </c>
      <c r="BT11" s="11">
        <v>1360.4</v>
      </c>
      <c r="BU11" s="11">
        <f t="shared" si="23"/>
        <v>746.46</v>
      </c>
      <c r="BV11" s="15">
        <f t="shared" si="24"/>
        <v>54.870626286386361</v>
      </c>
      <c r="BW11" s="16">
        <f t="shared" si="25"/>
        <v>91.220823658804875</v>
      </c>
      <c r="BX11">
        <v>49</v>
      </c>
      <c r="BZ11" s="11">
        <v>9</v>
      </c>
      <c r="CA11" s="11" t="s">
        <v>40</v>
      </c>
      <c r="CB11" s="11">
        <v>2339.87</v>
      </c>
      <c r="CC11" s="11">
        <v>1360.4</v>
      </c>
      <c r="CD11" s="11">
        <f t="shared" si="26"/>
        <v>783.9699999999998</v>
      </c>
      <c r="CE11" s="15">
        <f t="shared" si="27"/>
        <v>57.627903557777103</v>
      </c>
      <c r="CG11" s="11">
        <v>9</v>
      </c>
      <c r="CH11" s="11" t="s">
        <v>55</v>
      </c>
      <c r="CI11" s="11">
        <v>2298.5700000000002</v>
      </c>
      <c r="CJ11" s="11">
        <v>1360.4</v>
      </c>
      <c r="CK11" s="11">
        <f t="shared" si="28"/>
        <v>742.67000000000007</v>
      </c>
      <c r="CL11" s="15">
        <f t="shared" si="29"/>
        <v>54.592031755366065</v>
      </c>
      <c r="CN11" s="11">
        <v>9</v>
      </c>
      <c r="CO11" s="11" t="s">
        <v>56</v>
      </c>
      <c r="CP11" s="11">
        <v>2197.83</v>
      </c>
      <c r="CQ11" s="11">
        <v>1360.4</v>
      </c>
      <c r="CR11" s="11">
        <f t="shared" si="30"/>
        <v>641.92999999999984</v>
      </c>
      <c r="CS11" s="15">
        <f t="shared" si="31"/>
        <v>47.18685680682151</v>
      </c>
      <c r="CU11" s="11">
        <v>9</v>
      </c>
      <c r="CV11" s="11" t="s">
        <v>56</v>
      </c>
      <c r="CW11" s="11">
        <v>2348.38</v>
      </c>
      <c r="CX11" s="11">
        <v>1360.4</v>
      </c>
      <c r="CY11" s="11">
        <f t="shared" si="32"/>
        <v>792.48</v>
      </c>
      <c r="CZ11" s="15">
        <f t="shared" si="33"/>
        <v>58.253454866215812</v>
      </c>
      <c r="DB11" s="11">
        <v>9</v>
      </c>
      <c r="DC11" s="11" t="s">
        <v>56</v>
      </c>
      <c r="DD11" s="11">
        <v>2421.1999999999998</v>
      </c>
      <c r="DE11" s="11">
        <v>1360.4</v>
      </c>
      <c r="DF11" s="11">
        <f t="shared" si="34"/>
        <v>865.29999999999973</v>
      </c>
      <c r="DG11" s="15">
        <f t="shared" si="35"/>
        <v>63.606292266980283</v>
      </c>
      <c r="DI11" s="11">
        <v>9</v>
      </c>
      <c r="DJ11" s="11" t="s">
        <v>59</v>
      </c>
      <c r="DK11" s="11">
        <v>2346.1</v>
      </c>
      <c r="DL11" s="11">
        <v>1360.4</v>
      </c>
      <c r="DM11" s="11">
        <f t="shared" si="36"/>
        <v>790.19999999999982</v>
      </c>
      <c r="DN11" s="15">
        <f t="shared" si="37"/>
        <v>58.085857100852678</v>
      </c>
      <c r="DP11" s="11">
        <v>9</v>
      </c>
      <c r="DQ11" s="11" t="s">
        <v>59</v>
      </c>
      <c r="DR11" s="11">
        <v>2276.23</v>
      </c>
      <c r="DS11" s="11">
        <v>1360.4</v>
      </c>
      <c r="DT11" s="11">
        <f t="shared" si="38"/>
        <v>720.32999999999993</v>
      </c>
      <c r="DU11" s="15">
        <f t="shared" si="39"/>
        <v>52.949867685974702</v>
      </c>
      <c r="DW11" s="11">
        <v>9</v>
      </c>
      <c r="DX11" s="11" t="s">
        <v>66</v>
      </c>
      <c r="DY11" s="11">
        <v>2288.9299999999998</v>
      </c>
      <c r="DZ11" s="11">
        <v>1360.4</v>
      </c>
      <c r="EA11" s="11">
        <f t="shared" si="40"/>
        <v>733.02999999999975</v>
      </c>
      <c r="EB11" s="15">
        <f t="shared" si="41"/>
        <v>53.88341664216405</v>
      </c>
      <c r="ED11" s="11">
        <v>9</v>
      </c>
      <c r="EE11" s="11"/>
      <c r="EF11" s="11">
        <v>2255.17</v>
      </c>
      <c r="EG11" s="11">
        <v>1360.4</v>
      </c>
      <c r="EH11" s="11">
        <f t="shared" si="42"/>
        <v>699.27</v>
      </c>
      <c r="EI11" s="15">
        <f t="shared" si="43"/>
        <v>51.401793590120548</v>
      </c>
      <c r="EK11" s="11">
        <v>9</v>
      </c>
      <c r="EL11" s="11" t="s">
        <v>98</v>
      </c>
      <c r="EM11" s="11">
        <v>2366.38</v>
      </c>
      <c r="EN11" s="11">
        <v>1360.4</v>
      </c>
      <c r="EO11" s="11">
        <f t="shared" si="44"/>
        <v>810.48</v>
      </c>
      <c r="EP11" s="15">
        <f t="shared" si="45"/>
        <v>59.576595119082619</v>
      </c>
      <c r="ER11" s="11">
        <v>9</v>
      </c>
      <c r="ES11" s="11" t="s">
        <v>98</v>
      </c>
      <c r="ET11" s="11">
        <v>2233.06</v>
      </c>
      <c r="EU11" s="11">
        <v>1360.4</v>
      </c>
      <c r="EV11" s="11">
        <f t="shared" si="46"/>
        <v>677.15999999999985</v>
      </c>
      <c r="EW11" s="15">
        <f t="shared" si="47"/>
        <v>49.776536312849146</v>
      </c>
      <c r="EY11" s="11">
        <v>9</v>
      </c>
      <c r="EZ11" s="11" t="s">
        <v>97</v>
      </c>
      <c r="FA11" s="11">
        <v>2389.73</v>
      </c>
      <c r="FB11" s="11">
        <v>1360.4</v>
      </c>
      <c r="FC11" s="11">
        <f t="shared" si="48"/>
        <v>833.82999999999993</v>
      </c>
      <c r="FD11" s="15">
        <f t="shared" si="49"/>
        <v>61.293002058218157</v>
      </c>
      <c r="FF11" s="11">
        <v>9</v>
      </c>
      <c r="FG11" s="11" t="s">
        <v>105</v>
      </c>
      <c r="FH11" s="11">
        <v>2402.7199999999998</v>
      </c>
      <c r="FI11" s="11">
        <v>1360.4</v>
      </c>
      <c r="FJ11" s="11">
        <f t="shared" si="50"/>
        <v>846.81999999999971</v>
      </c>
      <c r="FK11" s="15">
        <f t="shared" si="51"/>
        <v>62.247868274037025</v>
      </c>
    </row>
    <row r="12" spans="1:167" x14ac:dyDescent="0.25">
      <c r="A12" s="11">
        <v>10</v>
      </c>
      <c r="B12" s="11">
        <v>1625.9</v>
      </c>
      <c r="E12" s="11">
        <v>10</v>
      </c>
      <c r="F12" s="11">
        <v>2892.6</v>
      </c>
      <c r="I12" s="11">
        <v>10</v>
      </c>
      <c r="J12" s="11">
        <v>2786.7</v>
      </c>
      <c r="K12" s="11">
        <f t="shared" si="0"/>
        <v>1266.6999999999998</v>
      </c>
      <c r="L12" s="11">
        <f t="shared" si="1"/>
        <v>1160.7999999999997</v>
      </c>
      <c r="M12" s="15">
        <f t="shared" si="2"/>
        <v>91.639693692271251</v>
      </c>
      <c r="O12" s="11">
        <v>10</v>
      </c>
      <c r="P12" s="11">
        <v>2743.33</v>
      </c>
      <c r="Q12" s="11">
        <v>1266.6999999999998</v>
      </c>
      <c r="R12" s="11">
        <f t="shared" si="3"/>
        <v>1117.4299999999998</v>
      </c>
      <c r="S12" s="15">
        <f t="shared" si="4"/>
        <v>88.215836425357224</v>
      </c>
      <c r="U12" s="11">
        <v>10</v>
      </c>
      <c r="V12" s="11" t="s">
        <v>32</v>
      </c>
      <c r="W12" s="11">
        <v>2727.86</v>
      </c>
      <c r="X12" s="11">
        <v>1266.6999999999998</v>
      </c>
      <c r="Y12" s="11">
        <f t="shared" si="5"/>
        <v>1101.96</v>
      </c>
      <c r="Z12" s="15">
        <f t="shared" si="6"/>
        <v>86.994552774926987</v>
      </c>
      <c r="AA12" s="16">
        <f t="shared" si="7"/>
        <v>98.615573235012505</v>
      </c>
      <c r="AC12" s="11">
        <v>10</v>
      </c>
      <c r="AD12" s="11" t="s">
        <v>32</v>
      </c>
      <c r="AE12" s="11">
        <v>2712.74</v>
      </c>
      <c r="AF12" s="11">
        <v>1266.6999999999998</v>
      </c>
      <c r="AG12" s="11">
        <f t="shared" si="8"/>
        <v>1086.8399999999997</v>
      </c>
      <c r="AH12" s="15">
        <f t="shared" si="9"/>
        <v>85.800899976316401</v>
      </c>
      <c r="AI12" s="16">
        <f t="shared" si="10"/>
        <v>98.627899379287783</v>
      </c>
      <c r="AK12" s="11">
        <v>10</v>
      </c>
      <c r="AL12" s="11" t="s">
        <v>32</v>
      </c>
      <c r="AM12" s="11">
        <v>2695.73</v>
      </c>
      <c r="AN12" s="11">
        <v>1266.6999999999998</v>
      </c>
      <c r="AO12" s="11">
        <f t="shared" si="11"/>
        <v>1069.83</v>
      </c>
      <c r="AP12" s="15">
        <f t="shared" si="12"/>
        <v>84.45804057787953</v>
      </c>
      <c r="AQ12" s="16">
        <f t="shared" si="13"/>
        <v>98.434912222590285</v>
      </c>
      <c r="AS12" s="11">
        <v>10</v>
      </c>
      <c r="AT12" s="11" t="s">
        <v>38</v>
      </c>
      <c r="AU12" s="11">
        <v>2667.13</v>
      </c>
      <c r="AV12" s="11">
        <v>1266.6999999999998</v>
      </c>
      <c r="AW12" s="11">
        <f t="shared" si="14"/>
        <v>1041.23</v>
      </c>
      <c r="AX12" s="15">
        <f t="shared" si="15"/>
        <v>82.20020525775638</v>
      </c>
      <c r="AY12" s="16">
        <f t="shared" si="16"/>
        <v>97.32667807034764</v>
      </c>
      <c r="BA12" s="11">
        <v>10</v>
      </c>
      <c r="BB12" s="11" t="s">
        <v>38</v>
      </c>
      <c r="BC12" s="11">
        <v>2593.63</v>
      </c>
      <c r="BD12" s="11">
        <v>1266.6999999999998</v>
      </c>
      <c r="BE12" s="11">
        <f t="shared" si="17"/>
        <v>967.73</v>
      </c>
      <c r="BF12" s="15">
        <f t="shared" si="18"/>
        <v>76.397726375621716</v>
      </c>
      <c r="BG12" s="16">
        <f t="shared" si="19"/>
        <v>92.941040884338705</v>
      </c>
      <c r="BI12" s="11">
        <v>10</v>
      </c>
      <c r="BJ12" s="11" t="s">
        <v>40</v>
      </c>
      <c r="BK12" s="11">
        <v>2554.0500000000002</v>
      </c>
      <c r="BL12" s="11">
        <v>1266.6999999999998</v>
      </c>
      <c r="BM12" s="11">
        <f t="shared" si="20"/>
        <v>928.15000000000009</v>
      </c>
      <c r="BN12" s="15">
        <f t="shared" si="21"/>
        <v>73.273071761269463</v>
      </c>
      <c r="BO12" s="16">
        <f t="shared" si="22"/>
        <v>95.910016223533432</v>
      </c>
      <c r="BQ12" s="11">
        <v>10</v>
      </c>
      <c r="BR12" s="11" t="s">
        <v>40</v>
      </c>
      <c r="BS12" s="11">
        <v>2506.9899999999998</v>
      </c>
      <c r="BT12" s="11">
        <v>1266.6999999999998</v>
      </c>
      <c r="BU12" s="11">
        <f t="shared" si="23"/>
        <v>881.08999999999969</v>
      </c>
      <c r="BV12" s="15">
        <f t="shared" si="24"/>
        <v>69.557906370884965</v>
      </c>
      <c r="BW12" s="16">
        <f t="shared" si="25"/>
        <v>94.929698863330231</v>
      </c>
      <c r="BX12">
        <v>64</v>
      </c>
      <c r="BZ12" s="11">
        <v>10</v>
      </c>
      <c r="CA12" s="11" t="s">
        <v>40</v>
      </c>
      <c r="CB12" s="11">
        <v>2455.65</v>
      </c>
      <c r="CC12" s="11">
        <v>1266.6999999999998</v>
      </c>
      <c r="CD12" s="11">
        <f t="shared" si="26"/>
        <v>829.75</v>
      </c>
      <c r="CE12" s="15">
        <f t="shared" si="27"/>
        <v>65.504855135391182</v>
      </c>
      <c r="CG12" s="11">
        <v>10</v>
      </c>
      <c r="CH12" s="11" t="s">
        <v>55</v>
      </c>
      <c r="CI12" s="11">
        <v>2400.2399999999998</v>
      </c>
      <c r="CJ12" s="11">
        <v>1266.6999999999998</v>
      </c>
      <c r="CK12" s="11">
        <f t="shared" si="28"/>
        <v>774.33999999999969</v>
      </c>
      <c r="CL12" s="15">
        <f t="shared" si="29"/>
        <v>61.130496565879831</v>
      </c>
      <c r="CN12" s="11">
        <v>10</v>
      </c>
      <c r="CO12" s="11" t="s">
        <v>56</v>
      </c>
      <c r="CP12" s="11">
        <v>2298.31</v>
      </c>
      <c r="CQ12" s="11">
        <v>1266.6999999999998</v>
      </c>
      <c r="CR12" s="11">
        <f t="shared" si="30"/>
        <v>672.40999999999985</v>
      </c>
      <c r="CS12" s="15">
        <f t="shared" si="31"/>
        <v>53.083603063077277</v>
      </c>
      <c r="CU12" s="11">
        <v>10</v>
      </c>
      <c r="CV12" s="11" t="s">
        <v>56</v>
      </c>
      <c r="CW12" s="11">
        <v>2371.88</v>
      </c>
      <c r="CX12" s="11">
        <v>1266.6999999999998</v>
      </c>
      <c r="CY12" s="11">
        <f t="shared" si="32"/>
        <v>745.98</v>
      </c>
      <c r="CZ12" s="15">
        <f t="shared" si="33"/>
        <v>58.891608115575913</v>
      </c>
      <c r="DB12" s="11">
        <v>10</v>
      </c>
      <c r="DC12" s="11" t="s">
        <v>56</v>
      </c>
      <c r="DD12" s="11">
        <v>2432.94</v>
      </c>
      <c r="DE12" s="11">
        <v>1266.6999999999998</v>
      </c>
      <c r="DF12" s="11">
        <f t="shared" si="34"/>
        <v>807.04</v>
      </c>
      <c r="DG12" s="15">
        <f t="shared" si="35"/>
        <v>63.712007578747929</v>
      </c>
      <c r="DI12" s="11">
        <v>10</v>
      </c>
      <c r="DJ12" s="11" t="s">
        <v>56</v>
      </c>
      <c r="DK12" s="11">
        <v>2378.87</v>
      </c>
      <c r="DL12" s="11">
        <v>1266.6999999999998</v>
      </c>
      <c r="DM12" s="11">
        <f t="shared" si="36"/>
        <v>752.9699999999998</v>
      </c>
      <c r="DN12" s="15">
        <f t="shared" si="37"/>
        <v>59.443435699060544</v>
      </c>
      <c r="DP12" s="11">
        <v>10</v>
      </c>
      <c r="DQ12" s="11" t="s">
        <v>59</v>
      </c>
      <c r="DR12" s="11">
        <v>2304.44</v>
      </c>
      <c r="DS12" s="11">
        <v>1266.6999999999998</v>
      </c>
      <c r="DT12" s="11">
        <f t="shared" si="38"/>
        <v>678.54</v>
      </c>
      <c r="DU12" s="15">
        <f t="shared" si="39"/>
        <v>53.567537696376412</v>
      </c>
      <c r="DW12" s="11">
        <v>10</v>
      </c>
      <c r="DX12" s="11" t="s">
        <v>66</v>
      </c>
      <c r="DY12" s="11">
        <v>2329.9899999999998</v>
      </c>
      <c r="DZ12" s="11">
        <v>1266.6999999999998</v>
      </c>
      <c r="EA12" s="11">
        <f t="shared" si="40"/>
        <v>704.08999999999969</v>
      </c>
      <c r="EB12" s="15">
        <f t="shared" si="41"/>
        <v>55.584589879213688</v>
      </c>
      <c r="ED12" s="11">
        <v>10</v>
      </c>
      <c r="EE12" s="11"/>
      <c r="EF12" s="11">
        <v>2291.4299999999998</v>
      </c>
      <c r="EG12" s="11">
        <v>1266.6999999999998</v>
      </c>
      <c r="EH12" s="11">
        <f t="shared" si="42"/>
        <v>665.52999999999975</v>
      </c>
      <c r="EI12" s="15">
        <f t="shared" si="43"/>
        <v>52.540459461593102</v>
      </c>
      <c r="EK12" s="11">
        <v>10</v>
      </c>
      <c r="EL12" s="11" t="s">
        <v>97</v>
      </c>
      <c r="EM12" s="11">
        <v>2387.6</v>
      </c>
      <c r="EN12" s="11">
        <v>1266.6999999999998</v>
      </c>
      <c r="EO12" s="11">
        <f t="shared" si="44"/>
        <v>761.69999999999982</v>
      </c>
      <c r="EP12" s="15">
        <f t="shared" si="45"/>
        <v>60.132628088734499</v>
      </c>
      <c r="ER12" s="11">
        <v>10</v>
      </c>
      <c r="ES12" s="11" t="s">
        <v>97</v>
      </c>
      <c r="ET12" s="11">
        <v>2249.81</v>
      </c>
      <c r="EU12" s="11">
        <v>1266.6999999999998</v>
      </c>
      <c r="EV12" s="11">
        <f t="shared" si="46"/>
        <v>623.90999999999985</v>
      </c>
      <c r="EW12" s="15">
        <f t="shared" si="47"/>
        <v>49.254756453777524</v>
      </c>
      <c r="EY12" s="11">
        <v>10</v>
      </c>
      <c r="EZ12" s="11" t="s">
        <v>105</v>
      </c>
      <c r="FA12" s="11">
        <v>2418.7199999999998</v>
      </c>
      <c r="FB12" s="11">
        <v>1266.6999999999998</v>
      </c>
      <c r="FC12" s="11">
        <f t="shared" si="48"/>
        <v>792.81999999999971</v>
      </c>
      <c r="FD12" s="15">
        <f t="shared" si="49"/>
        <v>62.589405541959408</v>
      </c>
      <c r="FF12" s="11">
        <v>10</v>
      </c>
      <c r="FG12" s="11" t="s">
        <v>105</v>
      </c>
      <c r="FH12" s="11">
        <v>2403.36</v>
      </c>
      <c r="FI12" s="11">
        <v>1266.6999999999998</v>
      </c>
      <c r="FJ12" s="11">
        <f t="shared" si="50"/>
        <v>777.46</v>
      </c>
      <c r="FK12" s="15">
        <f t="shared" si="51"/>
        <v>61.376805873529662</v>
      </c>
    </row>
    <row r="13" spans="1:167" x14ac:dyDescent="0.25">
      <c r="A13" s="11">
        <v>11</v>
      </c>
      <c r="B13" s="11">
        <v>1542.1</v>
      </c>
      <c r="E13" s="11">
        <v>11</v>
      </c>
      <c r="F13" s="11">
        <v>2933</v>
      </c>
      <c r="I13" s="11">
        <v>11</v>
      </c>
      <c r="J13" s="11">
        <v>2830.7</v>
      </c>
      <c r="K13" s="11">
        <f t="shared" si="0"/>
        <v>1390.9</v>
      </c>
      <c r="L13" s="11">
        <f t="shared" si="1"/>
        <v>1288.5999999999999</v>
      </c>
      <c r="M13" s="15">
        <f t="shared" si="2"/>
        <v>92.645049967646827</v>
      </c>
      <c r="O13" s="11">
        <v>11</v>
      </c>
      <c r="P13" s="11">
        <v>2806.24</v>
      </c>
      <c r="Q13" s="11">
        <v>1390.9</v>
      </c>
      <c r="R13" s="11">
        <f t="shared" si="3"/>
        <v>1264.1399999999999</v>
      </c>
      <c r="S13" s="15">
        <f t="shared" si="4"/>
        <v>90.886476382198566</v>
      </c>
      <c r="U13" s="11">
        <v>11</v>
      </c>
      <c r="V13" s="11" t="s">
        <v>32</v>
      </c>
      <c r="W13" s="11">
        <v>2795.44</v>
      </c>
      <c r="X13" s="11">
        <v>1390.9</v>
      </c>
      <c r="Y13" s="11">
        <f t="shared" si="5"/>
        <v>1253.3400000000001</v>
      </c>
      <c r="Z13" s="15">
        <f t="shared" si="6"/>
        <v>90.110000718958943</v>
      </c>
      <c r="AA13" s="16">
        <f t="shared" si="7"/>
        <v>99.14566424604871</v>
      </c>
      <c r="AC13" s="11">
        <v>11</v>
      </c>
      <c r="AD13" s="11" t="s">
        <v>32</v>
      </c>
      <c r="AE13" s="11">
        <v>2775.75</v>
      </c>
      <c r="AF13" s="11">
        <v>1390.9</v>
      </c>
      <c r="AG13" s="11">
        <f t="shared" si="8"/>
        <v>1233.6500000000001</v>
      </c>
      <c r="AH13" s="15">
        <f t="shared" si="9"/>
        <v>88.694370551441509</v>
      </c>
      <c r="AI13" s="16">
        <f t="shared" si="10"/>
        <v>98.42899771809725</v>
      </c>
      <c r="AK13" s="11">
        <v>11</v>
      </c>
      <c r="AL13" s="11" t="s">
        <v>32</v>
      </c>
      <c r="AM13" s="11">
        <v>2752.01</v>
      </c>
      <c r="AN13" s="11">
        <v>1390.9</v>
      </c>
      <c r="AO13" s="11">
        <f t="shared" si="11"/>
        <v>1209.9100000000003</v>
      </c>
      <c r="AP13" s="15">
        <f t="shared" si="12"/>
        <v>86.987562010209231</v>
      </c>
      <c r="AQ13" s="16">
        <f t="shared" si="13"/>
        <v>98.075629230332765</v>
      </c>
      <c r="AS13" s="11">
        <v>11</v>
      </c>
      <c r="AT13" s="11" t="s">
        <v>38</v>
      </c>
      <c r="AU13" s="11">
        <v>2704.89</v>
      </c>
      <c r="AV13" s="11">
        <v>1390.9</v>
      </c>
      <c r="AW13" s="11">
        <f t="shared" si="14"/>
        <v>1162.79</v>
      </c>
      <c r="AX13" s="15">
        <f t="shared" si="15"/>
        <v>83.599827449852597</v>
      </c>
      <c r="AY13" s="16">
        <f t="shared" si="16"/>
        <v>96.10549545007477</v>
      </c>
      <c r="BA13" s="11">
        <v>11</v>
      </c>
      <c r="BB13" s="11" t="s">
        <v>40</v>
      </c>
      <c r="BC13" s="11">
        <v>2585.21</v>
      </c>
      <c r="BD13" s="11">
        <v>1390.9</v>
      </c>
      <c r="BE13" s="11">
        <f t="shared" si="17"/>
        <v>1043.1100000000001</v>
      </c>
      <c r="BF13" s="15">
        <f t="shared" si="18"/>
        <v>74.995326766841615</v>
      </c>
      <c r="BG13" s="16">
        <f t="shared" si="19"/>
        <v>89.707513824508311</v>
      </c>
      <c r="BI13" s="11">
        <v>11</v>
      </c>
      <c r="BJ13" s="11" t="s">
        <v>40</v>
      </c>
      <c r="BK13" s="11">
        <v>2519.5300000000002</v>
      </c>
      <c r="BL13" s="11">
        <v>1390.9</v>
      </c>
      <c r="BM13" s="11">
        <f t="shared" si="20"/>
        <v>977.43000000000029</v>
      </c>
      <c r="BN13" s="15">
        <f t="shared" si="21"/>
        <v>70.273204400028774</v>
      </c>
      <c r="BO13" s="16">
        <f t="shared" si="22"/>
        <v>93.703444507290712</v>
      </c>
      <c r="BQ13" s="11">
        <v>11</v>
      </c>
      <c r="BR13" s="11" t="s">
        <v>40</v>
      </c>
      <c r="BS13" s="11">
        <v>2446.44</v>
      </c>
      <c r="BT13" s="11">
        <v>1390.9</v>
      </c>
      <c r="BU13" s="11">
        <f t="shared" si="23"/>
        <v>904.34000000000015</v>
      </c>
      <c r="BV13" s="15">
        <f t="shared" si="24"/>
        <v>65.018333453159826</v>
      </c>
      <c r="BW13" s="16">
        <f t="shared" si="25"/>
        <v>92.522226655617274</v>
      </c>
      <c r="BX13">
        <v>60</v>
      </c>
      <c r="BZ13" s="11">
        <v>11</v>
      </c>
      <c r="CA13" s="11" t="s">
        <v>40</v>
      </c>
      <c r="CB13" s="11">
        <v>2368.71</v>
      </c>
      <c r="CC13" s="11">
        <v>1390.9</v>
      </c>
      <c r="CD13" s="11">
        <f t="shared" si="26"/>
        <v>826.61000000000013</v>
      </c>
      <c r="CE13" s="15">
        <f t="shared" si="27"/>
        <v>59.42986555467683</v>
      </c>
      <c r="CG13" s="11">
        <v>11</v>
      </c>
      <c r="CH13" s="11" t="s">
        <v>56</v>
      </c>
      <c r="CI13" s="11">
        <v>2340.1999999999998</v>
      </c>
      <c r="CJ13" s="11">
        <v>1390.9</v>
      </c>
      <c r="CK13" s="11">
        <f t="shared" si="28"/>
        <v>798.09999999999991</v>
      </c>
      <c r="CL13" s="15">
        <f t="shared" si="29"/>
        <v>57.380113595513684</v>
      </c>
      <c r="CN13" s="11">
        <v>11</v>
      </c>
      <c r="CO13" s="11" t="s">
        <v>59</v>
      </c>
      <c r="CP13" s="11">
        <v>2197.94</v>
      </c>
      <c r="CQ13" s="11">
        <v>1390.9</v>
      </c>
      <c r="CR13" s="11">
        <f t="shared" si="30"/>
        <v>655.84000000000015</v>
      </c>
      <c r="CS13" s="15">
        <f t="shared" si="31"/>
        <v>47.152203609173924</v>
      </c>
      <c r="CU13" s="11">
        <v>11</v>
      </c>
      <c r="CV13" s="11" t="s">
        <v>59</v>
      </c>
      <c r="CW13" s="11">
        <v>2332.34</v>
      </c>
      <c r="CX13" s="11">
        <v>1390.9</v>
      </c>
      <c r="CY13" s="11">
        <f t="shared" si="32"/>
        <v>790.24000000000024</v>
      </c>
      <c r="CZ13" s="15">
        <f t="shared" si="33"/>
        <v>56.815011862822651</v>
      </c>
      <c r="DB13" s="11">
        <v>11</v>
      </c>
      <c r="DC13" s="11" t="s">
        <v>66</v>
      </c>
      <c r="DD13" s="11">
        <v>2414.7600000000002</v>
      </c>
      <c r="DE13" s="11">
        <v>1390.9</v>
      </c>
      <c r="DF13" s="11">
        <f t="shared" si="34"/>
        <v>872.66000000000031</v>
      </c>
      <c r="DG13" s="15">
        <f t="shared" si="35"/>
        <v>62.740671507656934</v>
      </c>
      <c r="DI13" s="11">
        <v>11</v>
      </c>
      <c r="DJ13" s="11" t="s">
        <v>66</v>
      </c>
      <c r="DK13" s="11">
        <v>2333.85</v>
      </c>
      <c r="DL13" s="11">
        <v>1390.9</v>
      </c>
      <c r="DM13" s="11">
        <f t="shared" si="36"/>
        <v>791.75</v>
      </c>
      <c r="DN13" s="15">
        <f t="shared" si="37"/>
        <v>56.92357466388669</v>
      </c>
      <c r="DP13" s="11">
        <v>11</v>
      </c>
      <c r="DQ13" s="11" t="s">
        <v>98</v>
      </c>
      <c r="DR13" s="11">
        <v>2248.83</v>
      </c>
      <c r="DS13" s="11">
        <v>1390.9</v>
      </c>
      <c r="DT13" s="11">
        <f t="shared" si="38"/>
        <v>706.73</v>
      </c>
      <c r="DU13" s="15">
        <f t="shared" si="39"/>
        <v>50.810985692716947</v>
      </c>
      <c r="DW13" s="11">
        <v>11</v>
      </c>
      <c r="DX13" s="11" t="s">
        <v>98</v>
      </c>
      <c r="DY13" s="11">
        <v>2267.46</v>
      </c>
      <c r="DZ13" s="11">
        <v>1390.9</v>
      </c>
      <c r="EA13" s="11">
        <f t="shared" si="40"/>
        <v>725.36000000000013</v>
      </c>
      <c r="EB13" s="15">
        <f t="shared" si="41"/>
        <v>52.150406211805311</v>
      </c>
      <c r="ED13" s="11">
        <v>11</v>
      </c>
      <c r="EE13" s="11"/>
      <c r="EF13" s="11">
        <v>2233.29</v>
      </c>
      <c r="EG13" s="11">
        <v>1390.9</v>
      </c>
      <c r="EH13" s="11">
        <f t="shared" si="42"/>
        <v>691.19</v>
      </c>
      <c r="EI13" s="15">
        <f t="shared" si="43"/>
        <v>49.693723488388812</v>
      </c>
      <c r="EK13" s="11">
        <v>11</v>
      </c>
      <c r="EL13" s="11" t="s">
        <v>98</v>
      </c>
      <c r="EM13" s="11">
        <v>2366.79</v>
      </c>
      <c r="EN13" s="11">
        <v>1390.9</v>
      </c>
      <c r="EO13" s="11">
        <f t="shared" si="44"/>
        <v>824.69</v>
      </c>
      <c r="EP13" s="15">
        <f t="shared" si="45"/>
        <v>59.291825436767567</v>
      </c>
      <c r="ER13" s="11">
        <v>11</v>
      </c>
      <c r="ES13" s="11" t="s">
        <v>98</v>
      </c>
      <c r="ET13" s="11">
        <v>2211.38</v>
      </c>
      <c r="EU13" s="11">
        <v>1390.9</v>
      </c>
      <c r="EV13" s="11">
        <f t="shared" si="46"/>
        <v>669.2800000000002</v>
      </c>
      <c r="EW13" s="15">
        <f t="shared" si="47"/>
        <v>48.1184844345388</v>
      </c>
      <c r="EY13" s="11">
        <v>11</v>
      </c>
      <c r="EZ13" s="11" t="s">
        <v>98</v>
      </c>
      <c r="FA13" s="11">
        <v>2412.7399999999998</v>
      </c>
      <c r="FB13" s="11">
        <v>1390.9</v>
      </c>
      <c r="FC13" s="11">
        <f t="shared" si="48"/>
        <v>870.63999999999987</v>
      </c>
      <c r="FD13" s="15">
        <f t="shared" si="49"/>
        <v>62.595441800273186</v>
      </c>
      <c r="FF13" s="11">
        <v>11</v>
      </c>
      <c r="FG13" s="11" t="s">
        <v>97</v>
      </c>
      <c r="FH13" s="11">
        <v>2422.6</v>
      </c>
      <c r="FI13" s="11">
        <v>1390.9</v>
      </c>
      <c r="FJ13" s="11">
        <f t="shared" si="50"/>
        <v>880.5</v>
      </c>
      <c r="FK13" s="15">
        <f t="shared" si="51"/>
        <v>63.304335322453085</v>
      </c>
    </row>
    <row r="14" spans="1:167" x14ac:dyDescent="0.25">
      <c r="A14" s="11">
        <v>12</v>
      </c>
      <c r="B14" s="11">
        <v>1487.3</v>
      </c>
      <c r="E14" s="11">
        <v>12</v>
      </c>
      <c r="F14" s="11">
        <v>2769.9</v>
      </c>
      <c r="I14" s="11">
        <v>12</v>
      </c>
      <c r="J14" s="11">
        <v>2664.4</v>
      </c>
      <c r="K14" s="11">
        <f t="shared" si="0"/>
        <v>1282.6000000000001</v>
      </c>
      <c r="L14" s="11">
        <f t="shared" si="1"/>
        <v>1177.1000000000001</v>
      </c>
      <c r="M14" s="15">
        <f t="shared" si="2"/>
        <v>91.774520505223762</v>
      </c>
      <c r="O14" s="11">
        <v>12</v>
      </c>
      <c r="P14" s="11">
        <v>2599.7800000000002</v>
      </c>
      <c r="Q14" s="11">
        <v>1282.6000000000001</v>
      </c>
      <c r="R14" s="11">
        <f t="shared" si="3"/>
        <v>1112.4800000000002</v>
      </c>
      <c r="S14" s="15">
        <f t="shared" si="4"/>
        <v>86.736316856385471</v>
      </c>
      <c r="U14" s="11">
        <v>12</v>
      </c>
      <c r="V14" s="11" t="s">
        <v>32</v>
      </c>
      <c r="W14" s="11">
        <v>2575.0100000000002</v>
      </c>
      <c r="X14" s="11">
        <v>1282.6000000000001</v>
      </c>
      <c r="Y14" s="11">
        <f t="shared" si="5"/>
        <v>1087.7100000000003</v>
      </c>
      <c r="Z14" s="15">
        <f t="shared" si="6"/>
        <v>84.805083424294409</v>
      </c>
      <c r="AA14" s="16">
        <f t="shared" si="7"/>
        <v>97.773443118078532</v>
      </c>
      <c r="AC14" s="11">
        <v>12</v>
      </c>
      <c r="AD14" s="11" t="s">
        <v>32</v>
      </c>
      <c r="AE14" s="11">
        <v>2546.89</v>
      </c>
      <c r="AF14" s="11">
        <v>1282.6000000000001</v>
      </c>
      <c r="AG14" s="11">
        <f t="shared" si="8"/>
        <v>1059.5899999999999</v>
      </c>
      <c r="AH14" s="15">
        <f t="shared" si="9"/>
        <v>82.612661780757819</v>
      </c>
      <c r="AI14" s="16">
        <f t="shared" si="10"/>
        <v>97.414752093848506</v>
      </c>
      <c r="AK14" s="11">
        <v>12</v>
      </c>
      <c r="AL14" s="11" t="s">
        <v>32</v>
      </c>
      <c r="AM14" s="11">
        <v>2514.5700000000002</v>
      </c>
      <c r="AN14" s="11">
        <v>1282.6000000000001</v>
      </c>
      <c r="AO14" s="11">
        <f t="shared" si="11"/>
        <v>1027.2700000000002</v>
      </c>
      <c r="AP14" s="15">
        <f t="shared" si="12"/>
        <v>80.092780290035876</v>
      </c>
      <c r="AQ14" s="16">
        <f t="shared" si="13"/>
        <v>96.949763587802863</v>
      </c>
      <c r="AS14" s="11">
        <v>12</v>
      </c>
      <c r="AT14" s="11" t="s">
        <v>38</v>
      </c>
      <c r="AU14" s="11">
        <v>2461.8200000000002</v>
      </c>
      <c r="AV14" s="11">
        <v>1282.6000000000001</v>
      </c>
      <c r="AW14" s="11">
        <f t="shared" si="14"/>
        <v>974.52000000000021</v>
      </c>
      <c r="AX14" s="15">
        <f t="shared" si="15"/>
        <v>75.980040542647757</v>
      </c>
      <c r="AY14" s="16">
        <f t="shared" si="16"/>
        <v>94.865030615125519</v>
      </c>
      <c r="BA14" s="11">
        <v>12</v>
      </c>
      <c r="BB14" s="11" t="s">
        <v>38</v>
      </c>
      <c r="BC14" s="11">
        <v>2340.1999999999998</v>
      </c>
      <c r="BD14" s="11">
        <v>1282.6000000000001</v>
      </c>
      <c r="BE14" s="11">
        <f t="shared" si="17"/>
        <v>852.89999999999986</v>
      </c>
      <c r="BF14" s="15">
        <f t="shared" si="18"/>
        <v>66.497738967721801</v>
      </c>
      <c r="BG14" s="16">
        <f t="shared" si="19"/>
        <v>87.520009851003536</v>
      </c>
      <c r="BI14" s="11">
        <v>12</v>
      </c>
      <c r="BJ14" s="11" t="s">
        <v>38</v>
      </c>
      <c r="BK14" s="11">
        <v>2282.02</v>
      </c>
      <c r="BL14" s="11">
        <v>1282.6000000000001</v>
      </c>
      <c r="BM14" s="11">
        <f t="shared" si="20"/>
        <v>794.72</v>
      </c>
      <c r="BN14" s="15">
        <f t="shared" si="21"/>
        <v>61.96164041790113</v>
      </c>
      <c r="BO14" s="16">
        <f t="shared" si="22"/>
        <v>93.178567241177177</v>
      </c>
      <c r="BQ14" s="11">
        <v>12</v>
      </c>
      <c r="BR14" s="11" t="s">
        <v>40</v>
      </c>
      <c r="BS14" s="11">
        <v>2215.3000000000002</v>
      </c>
      <c r="BT14" s="11">
        <v>1282.6000000000001</v>
      </c>
      <c r="BU14" s="11">
        <f t="shared" si="23"/>
        <v>728.00000000000023</v>
      </c>
      <c r="BV14" s="15">
        <f t="shared" si="24"/>
        <v>56.759706845470149</v>
      </c>
      <c r="BW14" s="16">
        <f t="shared" si="25"/>
        <v>91.604590295953315</v>
      </c>
      <c r="BX14">
        <v>51</v>
      </c>
      <c r="BZ14" s="11">
        <v>12</v>
      </c>
      <c r="CA14" s="11" t="s">
        <v>40</v>
      </c>
      <c r="CB14" s="11">
        <v>2256.61</v>
      </c>
      <c r="CC14" s="11">
        <v>1282.6000000000001</v>
      </c>
      <c r="CD14" s="11">
        <f t="shared" si="26"/>
        <v>769.31000000000017</v>
      </c>
      <c r="CE14" s="15">
        <f t="shared" si="27"/>
        <v>59.980508342429452</v>
      </c>
      <c r="CG14" s="11">
        <v>12</v>
      </c>
      <c r="CH14" s="11" t="s">
        <v>40</v>
      </c>
      <c r="CI14" s="11">
        <v>2226.34</v>
      </c>
      <c r="CJ14" s="11">
        <v>1282.6000000000001</v>
      </c>
      <c r="CK14" s="11">
        <f t="shared" si="28"/>
        <v>739.04000000000019</v>
      </c>
      <c r="CL14" s="15">
        <f t="shared" si="29"/>
        <v>57.62045844378607</v>
      </c>
      <c r="CN14" s="11">
        <v>12</v>
      </c>
      <c r="CO14" s="11" t="s">
        <v>55</v>
      </c>
      <c r="CP14" s="11">
        <v>2074.3000000000002</v>
      </c>
      <c r="CQ14" s="11">
        <v>1282.6000000000001</v>
      </c>
      <c r="CR14" s="11">
        <f t="shared" si="30"/>
        <v>587.00000000000023</v>
      </c>
      <c r="CS14" s="15">
        <f t="shared" si="31"/>
        <v>45.766411975674423</v>
      </c>
      <c r="CU14" s="11">
        <v>12</v>
      </c>
      <c r="CV14" s="11" t="s">
        <v>56</v>
      </c>
      <c r="CW14" s="11">
        <v>2240.16</v>
      </c>
      <c r="CX14" s="11">
        <v>1282.6000000000001</v>
      </c>
      <c r="CY14" s="11">
        <f t="shared" si="32"/>
        <v>752.8599999999999</v>
      </c>
      <c r="CZ14" s="15">
        <f t="shared" si="33"/>
        <v>58.697957274286594</v>
      </c>
      <c r="DB14" s="11">
        <v>12</v>
      </c>
      <c r="DC14" s="11" t="s">
        <v>56</v>
      </c>
      <c r="DD14" s="11">
        <v>2288.29</v>
      </c>
      <c r="DE14" s="11">
        <v>1282.6000000000001</v>
      </c>
      <c r="DF14" s="11">
        <f t="shared" si="34"/>
        <v>800.99</v>
      </c>
      <c r="DG14" s="15">
        <f t="shared" si="35"/>
        <v>62.450491189770773</v>
      </c>
      <c r="DI14" s="11">
        <v>12</v>
      </c>
      <c r="DJ14" s="11" t="s">
        <v>56</v>
      </c>
      <c r="DK14" s="11">
        <v>2227.62</v>
      </c>
      <c r="DL14" s="11">
        <v>1282.6000000000001</v>
      </c>
      <c r="DM14" s="11">
        <f t="shared" si="36"/>
        <v>740.31999999999994</v>
      </c>
      <c r="DN14" s="15">
        <f t="shared" si="37"/>
        <v>57.720255730547308</v>
      </c>
      <c r="DP14" s="11">
        <v>12</v>
      </c>
      <c r="DQ14" s="11" t="s">
        <v>59</v>
      </c>
      <c r="DR14" s="11">
        <v>2144.52</v>
      </c>
      <c r="DS14" s="11">
        <v>1282.6000000000001</v>
      </c>
      <c r="DT14" s="11">
        <f t="shared" si="38"/>
        <v>657.22</v>
      </c>
      <c r="DU14" s="15">
        <f t="shared" si="39"/>
        <v>51.24122875409325</v>
      </c>
      <c r="DW14" s="11">
        <v>12</v>
      </c>
      <c r="DX14" s="11" t="s">
        <v>66</v>
      </c>
      <c r="DY14" s="11">
        <v>2162.6999999999998</v>
      </c>
      <c r="DZ14" s="11">
        <v>1282.6000000000001</v>
      </c>
      <c r="EA14" s="11">
        <f t="shared" si="40"/>
        <v>675.39999999999986</v>
      </c>
      <c r="EB14" s="15">
        <f t="shared" si="41"/>
        <v>52.65866209262434</v>
      </c>
      <c r="ED14" s="11">
        <v>12</v>
      </c>
      <c r="EE14" s="11"/>
      <c r="EF14" s="11">
        <v>2126.69</v>
      </c>
      <c r="EG14" s="11">
        <v>1282.6000000000001</v>
      </c>
      <c r="EH14" s="11">
        <f t="shared" si="42"/>
        <v>639.3900000000001</v>
      </c>
      <c r="EI14" s="15">
        <f t="shared" si="43"/>
        <v>49.85108373616093</v>
      </c>
      <c r="EK14" s="11">
        <v>12</v>
      </c>
      <c r="EL14" s="11" t="s">
        <v>97</v>
      </c>
      <c r="EM14" s="11">
        <v>2233.89</v>
      </c>
      <c r="EN14" s="11">
        <v>1282.6000000000001</v>
      </c>
      <c r="EO14" s="11">
        <f t="shared" si="44"/>
        <v>746.58999999999992</v>
      </c>
      <c r="EP14" s="15">
        <f t="shared" si="45"/>
        <v>58.209106502416951</v>
      </c>
      <c r="ER14" s="11">
        <v>12</v>
      </c>
      <c r="ES14" s="11" t="s">
        <v>97</v>
      </c>
      <c r="ET14" s="11">
        <v>2080.86</v>
      </c>
      <c r="EU14" s="11">
        <v>1282.6000000000001</v>
      </c>
      <c r="EV14" s="11">
        <f t="shared" si="46"/>
        <v>593.56000000000017</v>
      </c>
      <c r="EW14" s="15">
        <f t="shared" si="47"/>
        <v>46.27787307032591</v>
      </c>
      <c r="EY14" s="11">
        <v>12</v>
      </c>
      <c r="EZ14" s="11" t="s">
        <v>97</v>
      </c>
      <c r="FA14" s="11">
        <v>2272.77</v>
      </c>
      <c r="FB14" s="11">
        <v>1282.6000000000001</v>
      </c>
      <c r="FC14" s="11">
        <f t="shared" si="48"/>
        <v>785.47</v>
      </c>
      <c r="FD14" s="15">
        <f t="shared" si="49"/>
        <v>61.240449087790417</v>
      </c>
      <c r="FF14" s="11">
        <v>12</v>
      </c>
      <c r="FG14" s="11" t="s">
        <v>105</v>
      </c>
      <c r="FH14" s="11">
        <v>2272.36</v>
      </c>
      <c r="FI14" s="11">
        <v>1282.6000000000001</v>
      </c>
      <c r="FJ14" s="11">
        <f t="shared" si="50"/>
        <v>785.06000000000017</v>
      </c>
      <c r="FK14" s="15">
        <f t="shared" si="51"/>
        <v>61.208482769374719</v>
      </c>
    </row>
    <row r="15" spans="1:167" x14ac:dyDescent="0.25">
      <c r="A15" s="11">
        <v>13</v>
      </c>
      <c r="B15" s="11">
        <v>1567.2</v>
      </c>
      <c r="E15" s="11">
        <v>13</v>
      </c>
      <c r="F15" s="11">
        <v>2819.3</v>
      </c>
      <c r="I15" s="11">
        <v>13</v>
      </c>
      <c r="J15" s="11">
        <v>2716.6</v>
      </c>
      <c r="K15" s="11">
        <f t="shared" si="0"/>
        <v>1252.1000000000001</v>
      </c>
      <c r="L15" s="11">
        <f t="shared" si="1"/>
        <v>1149.3999999999999</v>
      </c>
      <c r="M15" s="15">
        <f t="shared" si="2"/>
        <v>91.797779730053492</v>
      </c>
      <c r="O15" s="11">
        <v>13</v>
      </c>
      <c r="P15" s="11">
        <v>2699.32</v>
      </c>
      <c r="Q15" s="11">
        <v>1252.1000000000001</v>
      </c>
      <c r="R15" s="11">
        <f t="shared" si="3"/>
        <v>1132.1200000000001</v>
      </c>
      <c r="S15" s="15">
        <f t="shared" si="4"/>
        <v>90.417698266911586</v>
      </c>
      <c r="U15" s="11">
        <v>13</v>
      </c>
      <c r="V15" s="11" t="s">
        <v>32</v>
      </c>
      <c r="W15" s="11">
        <v>2688.65</v>
      </c>
      <c r="X15" s="11">
        <v>1252.1000000000001</v>
      </c>
      <c r="Y15" s="11">
        <f t="shared" si="5"/>
        <v>1121.45</v>
      </c>
      <c r="Z15" s="15">
        <f t="shared" si="6"/>
        <v>89.565529909751604</v>
      </c>
      <c r="AA15" s="16">
        <f t="shared" si="7"/>
        <v>99.057520404197433</v>
      </c>
      <c r="AC15" s="11">
        <v>13</v>
      </c>
      <c r="AD15" s="11" t="s">
        <v>32</v>
      </c>
      <c r="AE15" s="11">
        <v>2669.23</v>
      </c>
      <c r="AF15" s="11">
        <v>1252.1000000000001</v>
      </c>
      <c r="AG15" s="11">
        <f t="shared" si="8"/>
        <v>1102.03</v>
      </c>
      <c r="AH15" s="15">
        <f t="shared" si="9"/>
        <v>88.0145355802252</v>
      </c>
      <c r="AI15" s="16">
        <f t="shared" si="10"/>
        <v>98.268313344330991</v>
      </c>
      <c r="AK15" s="11">
        <v>13</v>
      </c>
      <c r="AL15" s="11" t="s">
        <v>32</v>
      </c>
      <c r="AM15" s="11">
        <v>2644.18</v>
      </c>
      <c r="AN15" s="11">
        <v>1252.1000000000001</v>
      </c>
      <c r="AO15" s="11">
        <f t="shared" si="11"/>
        <v>1076.9799999999998</v>
      </c>
      <c r="AP15" s="15">
        <f t="shared" si="12"/>
        <v>86.013896653621885</v>
      </c>
      <c r="AQ15" s="16">
        <f t="shared" si="13"/>
        <v>97.726922134606127</v>
      </c>
      <c r="AS15" s="11">
        <v>13</v>
      </c>
      <c r="AT15" s="11" t="s">
        <v>38</v>
      </c>
      <c r="AU15" s="11">
        <v>2593.94</v>
      </c>
      <c r="AV15" s="11">
        <v>1252.1000000000001</v>
      </c>
      <c r="AW15" s="11">
        <f t="shared" si="14"/>
        <v>1026.74</v>
      </c>
      <c r="AX15" s="15">
        <f t="shared" si="15"/>
        <v>82.001437584857428</v>
      </c>
      <c r="AY15" s="16">
        <f t="shared" si="16"/>
        <v>95.335103715946474</v>
      </c>
      <c r="BA15" s="11">
        <v>13</v>
      </c>
      <c r="BB15" s="11" t="s">
        <v>38</v>
      </c>
      <c r="BC15" s="11">
        <v>2468.58</v>
      </c>
      <c r="BD15" s="11">
        <v>1252.1000000000001</v>
      </c>
      <c r="BE15" s="11">
        <f t="shared" si="17"/>
        <v>901.37999999999988</v>
      </c>
      <c r="BF15" s="15">
        <f t="shared" si="18"/>
        <v>71.989457711045418</v>
      </c>
      <c r="BG15" s="16">
        <f t="shared" si="19"/>
        <v>87.790482498003371</v>
      </c>
      <c r="BI15" s="11">
        <v>13</v>
      </c>
      <c r="BJ15" s="11" t="s">
        <v>40</v>
      </c>
      <c r="BK15" s="11">
        <v>2399.92</v>
      </c>
      <c r="BL15" s="11">
        <v>1252.1000000000001</v>
      </c>
      <c r="BM15" s="11">
        <f t="shared" si="20"/>
        <v>832.72</v>
      </c>
      <c r="BN15" s="15">
        <f t="shared" si="21"/>
        <v>66.505870138167879</v>
      </c>
      <c r="BO15" s="16">
        <f t="shared" si="22"/>
        <v>92.382790831835649</v>
      </c>
      <c r="BQ15" s="11">
        <v>13</v>
      </c>
      <c r="BR15" s="11" t="s">
        <v>40</v>
      </c>
      <c r="BS15" s="11">
        <v>2322.85</v>
      </c>
      <c r="BT15" s="11">
        <v>1252.1000000000001</v>
      </c>
      <c r="BU15" s="11">
        <f t="shared" si="23"/>
        <v>755.64999999999986</v>
      </c>
      <c r="BV15" s="15">
        <f t="shared" si="24"/>
        <v>60.350610973564386</v>
      </c>
      <c r="BW15" s="16">
        <f t="shared" si="25"/>
        <v>90.744788164088746</v>
      </c>
      <c r="BX15">
        <v>55</v>
      </c>
      <c r="BZ15" s="11">
        <v>13</v>
      </c>
      <c r="CA15" s="11" t="s">
        <v>40</v>
      </c>
      <c r="CB15" s="11">
        <v>2349.13</v>
      </c>
      <c r="CC15" s="11">
        <v>1252.1000000000001</v>
      </c>
      <c r="CD15" s="11">
        <f t="shared" si="26"/>
        <v>781.93000000000006</v>
      </c>
      <c r="CE15" s="15">
        <f t="shared" si="27"/>
        <v>62.449484865426086</v>
      </c>
      <c r="CG15" s="11">
        <v>13</v>
      </c>
      <c r="CH15" s="11" t="s">
        <v>55</v>
      </c>
      <c r="CI15" s="11">
        <v>2254.35</v>
      </c>
      <c r="CJ15" s="11">
        <v>1252.1000000000001</v>
      </c>
      <c r="CK15" s="11">
        <f t="shared" si="28"/>
        <v>687.14999999999986</v>
      </c>
      <c r="CL15" s="15">
        <f t="shared" si="29"/>
        <v>54.879801932752962</v>
      </c>
      <c r="CN15" s="11">
        <v>13</v>
      </c>
      <c r="CO15" s="11" t="s">
        <v>55</v>
      </c>
      <c r="CP15" s="11">
        <v>2153.08</v>
      </c>
      <c r="CQ15" s="11">
        <v>1252.1000000000001</v>
      </c>
      <c r="CR15" s="11">
        <f t="shared" si="30"/>
        <v>585.87999999999988</v>
      </c>
      <c r="CS15" s="15">
        <f t="shared" si="31"/>
        <v>46.791789793147501</v>
      </c>
      <c r="CU15" s="11">
        <v>13</v>
      </c>
      <c r="CV15" s="11" t="s">
        <v>56</v>
      </c>
      <c r="CW15" s="11">
        <v>2285.6799999999998</v>
      </c>
      <c r="CX15" s="11">
        <v>1252.1000000000001</v>
      </c>
      <c r="CY15" s="11">
        <f t="shared" si="32"/>
        <v>718.47999999999979</v>
      </c>
      <c r="CZ15" s="15">
        <f t="shared" si="33"/>
        <v>57.381998242951816</v>
      </c>
      <c r="DB15" s="11">
        <v>13</v>
      </c>
      <c r="DC15" s="11" t="s">
        <v>56</v>
      </c>
      <c r="DD15" s="11">
        <v>2343.29</v>
      </c>
      <c r="DE15" s="11">
        <v>1252.1000000000001</v>
      </c>
      <c r="DF15" s="11">
        <f t="shared" si="34"/>
        <v>776.08999999999992</v>
      </c>
      <c r="DG15" s="15">
        <f t="shared" si="35"/>
        <v>61.983068445012371</v>
      </c>
      <c r="DI15" s="11">
        <v>13</v>
      </c>
      <c r="DJ15" s="11" t="s">
        <v>56</v>
      </c>
      <c r="DK15" s="11">
        <v>2259.71</v>
      </c>
      <c r="DL15" s="11">
        <v>1252.1000000000001</v>
      </c>
      <c r="DM15" s="11">
        <f t="shared" si="36"/>
        <v>692.51</v>
      </c>
      <c r="DN15" s="15">
        <f t="shared" si="37"/>
        <v>55.307882756968283</v>
      </c>
      <c r="DP15" s="11">
        <v>13</v>
      </c>
      <c r="DQ15" s="11" t="s">
        <v>66</v>
      </c>
      <c r="DR15" s="11">
        <v>2183.2399999999998</v>
      </c>
      <c r="DS15" s="11">
        <v>1252.1000000000001</v>
      </c>
      <c r="DT15" s="11">
        <f t="shared" si="38"/>
        <v>616.03999999999974</v>
      </c>
      <c r="DU15" s="15">
        <f t="shared" si="39"/>
        <v>49.200543087612786</v>
      </c>
      <c r="DW15" s="11">
        <v>13</v>
      </c>
      <c r="DX15" s="11" t="s">
        <v>98</v>
      </c>
      <c r="DY15" s="11">
        <v>2211.29</v>
      </c>
      <c r="DZ15" s="11">
        <v>1252.1000000000001</v>
      </c>
      <c r="EA15" s="11">
        <f t="shared" si="40"/>
        <v>644.08999999999992</v>
      </c>
      <c r="EB15" s="15">
        <f t="shared" si="41"/>
        <v>51.440779490456023</v>
      </c>
      <c r="ED15" s="11">
        <v>13</v>
      </c>
      <c r="EE15" s="11"/>
      <c r="EF15" s="11">
        <v>2181.4699999999998</v>
      </c>
      <c r="EG15" s="11">
        <v>1252.1000000000001</v>
      </c>
      <c r="EH15" s="11">
        <f t="shared" si="42"/>
        <v>614.26999999999975</v>
      </c>
      <c r="EI15" s="15">
        <f t="shared" si="43"/>
        <v>49.059180576631235</v>
      </c>
      <c r="EK15" s="11">
        <v>13</v>
      </c>
      <c r="EL15" s="11" t="s">
        <v>98</v>
      </c>
      <c r="EM15" s="11">
        <v>2320.4299999999998</v>
      </c>
      <c r="EN15" s="11">
        <v>1252.1000000000001</v>
      </c>
      <c r="EO15" s="11">
        <f t="shared" si="44"/>
        <v>753.22999999999979</v>
      </c>
      <c r="EP15" s="15">
        <f t="shared" si="45"/>
        <v>60.157335676064193</v>
      </c>
      <c r="ER15" s="11">
        <v>13</v>
      </c>
      <c r="ES15" s="11" t="s">
        <v>98</v>
      </c>
      <c r="ET15" s="11">
        <v>2168.02</v>
      </c>
      <c r="EU15" s="11">
        <v>1252.1000000000001</v>
      </c>
      <c r="EV15" s="11">
        <f t="shared" si="46"/>
        <v>600.81999999999994</v>
      </c>
      <c r="EW15" s="15">
        <f t="shared" si="47"/>
        <v>47.984985224822289</v>
      </c>
      <c r="EY15" s="11">
        <v>13</v>
      </c>
      <c r="EZ15" s="11" t="s">
        <v>98</v>
      </c>
      <c r="FA15" s="11">
        <v>2383.81</v>
      </c>
      <c r="FB15" s="11">
        <v>1252.1000000000001</v>
      </c>
      <c r="FC15" s="11">
        <f t="shared" si="48"/>
        <v>816.6099999999999</v>
      </c>
      <c r="FD15" s="15">
        <f t="shared" si="49"/>
        <v>65.2192316907595</v>
      </c>
      <c r="FF15" s="11">
        <v>13</v>
      </c>
      <c r="FG15" s="11" t="s">
        <v>98</v>
      </c>
      <c r="FH15" s="11">
        <v>2372.9899999999998</v>
      </c>
      <c r="FI15" s="11">
        <v>1252.1000000000001</v>
      </c>
      <c r="FJ15" s="11">
        <f t="shared" si="50"/>
        <v>805.78999999999974</v>
      </c>
      <c r="FK15" s="15">
        <f t="shared" si="51"/>
        <v>64.355083459787537</v>
      </c>
    </row>
    <row r="16" spans="1:167" x14ac:dyDescent="0.25">
      <c r="A16" s="11">
        <v>14</v>
      </c>
      <c r="B16" s="11">
        <v>1704.9</v>
      </c>
      <c r="E16" s="11">
        <v>14</v>
      </c>
      <c r="F16" s="11">
        <v>2976.7</v>
      </c>
      <c r="I16" s="11">
        <v>14</v>
      </c>
      <c r="J16" s="11">
        <v>2869</v>
      </c>
      <c r="K16" s="11">
        <f t="shared" si="0"/>
        <v>1271.7999999999997</v>
      </c>
      <c r="L16" s="11">
        <f t="shared" si="1"/>
        <v>1164.0999999999999</v>
      </c>
      <c r="M16" s="15">
        <f t="shared" si="2"/>
        <v>91.531687372228347</v>
      </c>
      <c r="O16" s="11">
        <v>14</v>
      </c>
      <c r="P16" s="11">
        <v>2822.33</v>
      </c>
      <c r="Q16" s="11">
        <v>1271.7999999999997</v>
      </c>
      <c r="R16" s="11">
        <f t="shared" si="3"/>
        <v>1117.4299999999998</v>
      </c>
      <c r="S16" s="15">
        <f t="shared" si="4"/>
        <v>87.862085233527282</v>
      </c>
      <c r="U16" s="11">
        <v>14</v>
      </c>
      <c r="V16" s="11" t="s">
        <v>33</v>
      </c>
      <c r="W16" s="11">
        <v>2809.04</v>
      </c>
      <c r="X16" s="11">
        <v>1271.7999999999997</v>
      </c>
      <c r="Y16" s="11">
        <f t="shared" si="5"/>
        <v>1104.1399999999999</v>
      </c>
      <c r="Z16" s="15">
        <f t="shared" si="6"/>
        <v>86.817109608429007</v>
      </c>
      <c r="AA16" s="16">
        <f t="shared" si="7"/>
        <v>98.810663755224056</v>
      </c>
      <c r="AC16" s="11">
        <v>14</v>
      </c>
      <c r="AD16" s="11" t="s">
        <v>33</v>
      </c>
      <c r="AE16" s="11">
        <v>2792.35</v>
      </c>
      <c r="AF16" s="11">
        <v>1271.7999999999997</v>
      </c>
      <c r="AG16" s="11">
        <f t="shared" si="8"/>
        <v>1087.4499999999998</v>
      </c>
      <c r="AH16" s="15">
        <f t="shared" si="9"/>
        <v>85.504796351627618</v>
      </c>
      <c r="AI16" s="16">
        <f t="shared" si="10"/>
        <v>98.488416324016882</v>
      </c>
      <c r="AK16" s="11">
        <v>14</v>
      </c>
      <c r="AL16" s="11" t="s">
        <v>33</v>
      </c>
      <c r="AM16" s="11">
        <v>2772.89</v>
      </c>
      <c r="AN16" s="11">
        <v>1271.7999999999997</v>
      </c>
      <c r="AO16" s="11">
        <f t="shared" si="11"/>
        <v>1067.9899999999998</v>
      </c>
      <c r="AP16" s="15">
        <f t="shared" si="12"/>
        <v>83.974681553703405</v>
      </c>
      <c r="AQ16" s="16">
        <f t="shared" si="13"/>
        <v>98.210492436433867</v>
      </c>
      <c r="AS16" s="11">
        <v>14</v>
      </c>
      <c r="AT16" s="11" t="s">
        <v>38</v>
      </c>
      <c r="AU16" s="11">
        <v>2740.69</v>
      </c>
      <c r="AV16" s="11">
        <v>1271.7999999999997</v>
      </c>
      <c r="AW16" s="11">
        <f t="shared" si="14"/>
        <v>1035.79</v>
      </c>
      <c r="AX16" s="15">
        <f t="shared" si="15"/>
        <v>81.44283692404467</v>
      </c>
      <c r="AY16" s="16">
        <f t="shared" si="16"/>
        <v>96.984990496165707</v>
      </c>
      <c r="BA16" s="11">
        <v>14</v>
      </c>
      <c r="BB16" s="11" t="s">
        <v>38</v>
      </c>
      <c r="BC16" s="11">
        <v>2651.15</v>
      </c>
      <c r="BD16" s="11">
        <v>1271.7999999999997</v>
      </c>
      <c r="BE16" s="11">
        <f t="shared" si="17"/>
        <v>946.25</v>
      </c>
      <c r="BF16" s="15">
        <f t="shared" si="18"/>
        <v>74.402421764428382</v>
      </c>
      <c r="BG16" s="16">
        <f t="shared" si="19"/>
        <v>91.355390571447884</v>
      </c>
      <c r="BI16" s="11">
        <v>14</v>
      </c>
      <c r="BJ16" s="11" t="s">
        <v>38</v>
      </c>
      <c r="BK16" s="11">
        <v>2607.5500000000002</v>
      </c>
      <c r="BL16" s="11">
        <v>1271.7999999999997</v>
      </c>
      <c r="BM16" s="11">
        <f t="shared" si="20"/>
        <v>902.65000000000009</v>
      </c>
      <c r="BN16" s="15">
        <f t="shared" si="21"/>
        <v>70.974209781412185</v>
      </c>
      <c r="BO16" s="16">
        <f t="shared" si="22"/>
        <v>95.392338177014537</v>
      </c>
      <c r="BQ16" s="11">
        <v>14</v>
      </c>
      <c r="BR16" s="11" t="s">
        <v>38</v>
      </c>
      <c r="BS16" s="11">
        <v>2557.15</v>
      </c>
      <c r="BT16" s="11">
        <v>1271.7999999999997</v>
      </c>
      <c r="BU16" s="11">
        <f t="shared" si="23"/>
        <v>852.25</v>
      </c>
      <c r="BV16" s="15">
        <f t="shared" si="24"/>
        <v>67.011322534989787</v>
      </c>
      <c r="BW16" s="16">
        <f t="shared" si="25"/>
        <v>94.4164404808065</v>
      </c>
      <c r="BX16">
        <v>62</v>
      </c>
      <c r="BZ16" s="11">
        <v>14</v>
      </c>
      <c r="CA16" s="11" t="s">
        <v>38</v>
      </c>
      <c r="CB16" s="11">
        <v>2499.56</v>
      </c>
      <c r="CC16" s="11">
        <v>1271.7999999999997</v>
      </c>
      <c r="CD16" s="11">
        <f t="shared" si="26"/>
        <v>794.65999999999985</v>
      </c>
      <c r="CE16" s="15">
        <f t="shared" si="27"/>
        <v>62.483094826230548</v>
      </c>
      <c r="CG16" s="11">
        <v>14</v>
      </c>
      <c r="CH16" s="11" t="s">
        <v>40</v>
      </c>
      <c r="CI16" s="11">
        <v>2438.3200000000002</v>
      </c>
      <c r="CJ16" s="11">
        <v>1271.7999999999997</v>
      </c>
      <c r="CK16" s="11">
        <f t="shared" si="28"/>
        <v>733.42000000000007</v>
      </c>
      <c r="CL16" s="15">
        <f t="shared" si="29"/>
        <v>57.66787230696653</v>
      </c>
      <c r="CN16" s="11">
        <v>14</v>
      </c>
      <c r="CO16" s="11" t="s">
        <v>55</v>
      </c>
      <c r="CP16" s="11">
        <v>2346.48</v>
      </c>
      <c r="CQ16" s="11">
        <v>1271.7999999999997</v>
      </c>
      <c r="CR16" s="11">
        <f t="shared" si="30"/>
        <v>641.57999999999993</v>
      </c>
      <c r="CS16" s="15">
        <f t="shared" si="31"/>
        <v>50.446611102374597</v>
      </c>
      <c r="CU16" s="11">
        <v>14</v>
      </c>
      <c r="CV16" s="11" t="s">
        <v>55</v>
      </c>
      <c r="CW16" s="11">
        <v>2443.4499999999998</v>
      </c>
      <c r="CX16" s="11">
        <v>1271.7999999999997</v>
      </c>
      <c r="CY16" s="11">
        <f t="shared" si="32"/>
        <v>738.54999999999973</v>
      </c>
      <c r="CZ16" s="15">
        <f t="shared" si="33"/>
        <v>58.071237615977346</v>
      </c>
      <c r="DB16" s="11">
        <v>14</v>
      </c>
      <c r="DC16" s="11" t="s">
        <v>55</v>
      </c>
      <c r="DD16" s="11">
        <v>2519.9699999999998</v>
      </c>
      <c r="DE16" s="11">
        <v>1271.7999999999997</v>
      </c>
      <c r="DF16" s="11">
        <f t="shared" si="34"/>
        <v>815.06999999999971</v>
      </c>
      <c r="DG16" s="15">
        <f t="shared" si="35"/>
        <v>64.087906903601194</v>
      </c>
      <c r="DI16" s="11">
        <v>14</v>
      </c>
      <c r="DJ16" s="11" t="s">
        <v>55</v>
      </c>
      <c r="DK16" s="11">
        <v>2459.67</v>
      </c>
      <c r="DL16" s="11">
        <v>1271.7999999999997</v>
      </c>
      <c r="DM16" s="11">
        <f t="shared" si="36"/>
        <v>754.77</v>
      </c>
      <c r="DN16" s="15">
        <f t="shared" si="37"/>
        <v>59.346595376631562</v>
      </c>
      <c r="DP16" s="11">
        <v>14</v>
      </c>
      <c r="DQ16" s="11" t="s">
        <v>55</v>
      </c>
      <c r="DR16" s="11">
        <v>2387.84</v>
      </c>
      <c r="DS16" s="11">
        <v>1271.7999999999997</v>
      </c>
      <c r="DT16" s="11">
        <f t="shared" si="38"/>
        <v>682.94</v>
      </c>
      <c r="DU16" s="15">
        <f t="shared" si="39"/>
        <v>53.69869476332758</v>
      </c>
      <c r="DW16" s="11">
        <v>14</v>
      </c>
      <c r="DX16" s="11" t="s">
        <v>59</v>
      </c>
      <c r="DY16" s="11">
        <v>2395.25</v>
      </c>
      <c r="DZ16" s="11">
        <v>1271.7999999999997</v>
      </c>
      <c r="EA16" s="11">
        <f t="shared" si="40"/>
        <v>690.34999999999991</v>
      </c>
      <c r="EB16" s="15">
        <f t="shared" si="41"/>
        <v>54.281333543009914</v>
      </c>
      <c r="ED16" s="11">
        <v>14</v>
      </c>
      <c r="EE16" s="11"/>
      <c r="EF16" s="11">
        <v>2377.06</v>
      </c>
      <c r="EG16" s="11">
        <v>1271.7999999999997</v>
      </c>
      <c r="EH16" s="11">
        <f t="shared" si="42"/>
        <v>672.15999999999985</v>
      </c>
      <c r="EI16" s="15">
        <f t="shared" si="43"/>
        <v>52.851077213398334</v>
      </c>
      <c r="EK16" s="11">
        <v>14</v>
      </c>
      <c r="EL16" s="11" t="s">
        <v>105</v>
      </c>
      <c r="EM16" s="11">
        <v>2463.9699999999998</v>
      </c>
      <c r="EN16" s="11">
        <v>1271.7999999999997</v>
      </c>
      <c r="EO16" s="11">
        <f t="shared" si="44"/>
        <v>759.06999999999971</v>
      </c>
      <c r="EP16" s="15">
        <f t="shared" si="45"/>
        <v>59.684698852020745</v>
      </c>
      <c r="ER16" s="11">
        <v>14</v>
      </c>
      <c r="ES16" s="11" t="s">
        <v>105</v>
      </c>
      <c r="ET16" s="11">
        <v>2324.5</v>
      </c>
      <c r="EU16" s="11">
        <v>1271.7999999999997</v>
      </c>
      <c r="EV16" s="11">
        <f t="shared" si="46"/>
        <v>619.59999999999991</v>
      </c>
      <c r="EW16" s="15">
        <f t="shared" si="47"/>
        <v>48.718351942129267</v>
      </c>
      <c r="EY16" s="11">
        <v>14</v>
      </c>
      <c r="EZ16" s="11" t="s">
        <v>105</v>
      </c>
      <c r="FA16" s="11">
        <v>2489.58</v>
      </c>
      <c r="FB16" s="11">
        <v>1271.7999999999997</v>
      </c>
      <c r="FC16" s="11">
        <f t="shared" si="48"/>
        <v>784.67999999999984</v>
      </c>
      <c r="FD16" s="15">
        <f t="shared" si="49"/>
        <v>61.698380248466748</v>
      </c>
      <c r="FF16" s="11">
        <v>14</v>
      </c>
      <c r="FG16" s="11" t="s">
        <v>105</v>
      </c>
      <c r="FH16" s="11">
        <v>2500.5500000000002</v>
      </c>
      <c r="FI16" s="11">
        <v>1271.7999999999997</v>
      </c>
      <c r="FJ16" s="11">
        <f t="shared" si="50"/>
        <v>795.65000000000009</v>
      </c>
      <c r="FK16" s="15">
        <f t="shared" si="51"/>
        <v>62.560937254285285</v>
      </c>
    </row>
    <row r="17" spans="1:167" x14ac:dyDescent="0.25">
      <c r="A17" s="11">
        <v>15</v>
      </c>
      <c r="B17" s="11">
        <v>1558.2</v>
      </c>
      <c r="E17" s="11">
        <v>15</v>
      </c>
      <c r="F17" s="11">
        <v>2745.4</v>
      </c>
      <c r="I17" s="11">
        <v>15</v>
      </c>
      <c r="J17" s="11">
        <v>2634.8</v>
      </c>
      <c r="K17" s="11">
        <f t="shared" si="0"/>
        <v>1187.2</v>
      </c>
      <c r="L17" s="11">
        <f t="shared" si="1"/>
        <v>1076.6000000000001</v>
      </c>
      <c r="M17" s="15">
        <f t="shared" si="2"/>
        <v>90.683962264150949</v>
      </c>
      <c r="O17" s="11">
        <v>15</v>
      </c>
      <c r="P17" s="11">
        <v>2585.5</v>
      </c>
      <c r="Q17" s="11">
        <v>1187.2</v>
      </c>
      <c r="R17" s="11">
        <f t="shared" si="3"/>
        <v>1027.3</v>
      </c>
      <c r="S17" s="15">
        <f t="shared" si="4"/>
        <v>86.531334231805928</v>
      </c>
      <c r="U17" s="11">
        <v>15</v>
      </c>
      <c r="V17" s="11" t="s">
        <v>32</v>
      </c>
      <c r="W17" s="11">
        <v>2568.4299999999998</v>
      </c>
      <c r="X17" s="11">
        <v>1187.2</v>
      </c>
      <c r="Y17" s="11">
        <f t="shared" si="5"/>
        <v>1010.2299999999998</v>
      </c>
      <c r="Z17" s="15">
        <f t="shared" si="6"/>
        <v>85.093497304582186</v>
      </c>
      <c r="AA17" s="16">
        <f t="shared" si="7"/>
        <v>98.33836269833543</v>
      </c>
      <c r="AC17" s="11">
        <v>15</v>
      </c>
      <c r="AD17" s="11" t="s">
        <v>32</v>
      </c>
      <c r="AE17" s="11">
        <v>2549.1999999999998</v>
      </c>
      <c r="AF17" s="11">
        <v>1187.2</v>
      </c>
      <c r="AG17" s="11">
        <f t="shared" si="8"/>
        <v>990.99999999999977</v>
      </c>
      <c r="AH17" s="15">
        <f t="shared" si="9"/>
        <v>83.473719676549834</v>
      </c>
      <c r="AI17" s="16">
        <f t="shared" si="10"/>
        <v>98.096473080387639</v>
      </c>
      <c r="AK17" s="11">
        <v>15</v>
      </c>
      <c r="AL17" s="11" t="s">
        <v>32</v>
      </c>
      <c r="AM17" s="11">
        <v>2525.23</v>
      </c>
      <c r="AN17" s="11">
        <v>1187.2</v>
      </c>
      <c r="AO17" s="11">
        <f t="shared" si="11"/>
        <v>967.03</v>
      </c>
      <c r="AP17" s="15">
        <f t="shared" si="12"/>
        <v>81.454683288409697</v>
      </c>
      <c r="AQ17" s="16">
        <f t="shared" si="13"/>
        <v>97.581231079717483</v>
      </c>
      <c r="AS17" s="11">
        <v>15</v>
      </c>
      <c r="AT17" s="11" t="s">
        <v>38</v>
      </c>
      <c r="AU17" s="11">
        <v>2480.44</v>
      </c>
      <c r="AV17" s="11">
        <v>1187.2</v>
      </c>
      <c r="AW17" s="11">
        <f t="shared" si="14"/>
        <v>922.24</v>
      </c>
      <c r="AX17" s="15">
        <f t="shared" si="15"/>
        <v>77.681940700808624</v>
      </c>
      <c r="AY17" s="16">
        <f t="shared" si="16"/>
        <v>95.368292607261409</v>
      </c>
      <c r="BA17" s="11">
        <v>15</v>
      </c>
      <c r="BB17" s="11" t="s">
        <v>38</v>
      </c>
      <c r="BC17" s="11">
        <v>2361.9699999999998</v>
      </c>
      <c r="BD17" s="11">
        <v>1187.2</v>
      </c>
      <c r="BE17" s="11">
        <f t="shared" si="17"/>
        <v>803.76999999999975</v>
      </c>
      <c r="BF17" s="15">
        <f t="shared" si="18"/>
        <v>67.702998652291086</v>
      </c>
      <c r="BG17" s="16">
        <f t="shared" si="19"/>
        <v>87.15410305343508</v>
      </c>
      <c r="BI17" s="11">
        <v>15</v>
      </c>
      <c r="BJ17" s="11" t="s">
        <v>40</v>
      </c>
      <c r="BK17" s="11">
        <v>2300.65</v>
      </c>
      <c r="BL17" s="11">
        <v>1187.2</v>
      </c>
      <c r="BM17" s="11">
        <f t="shared" si="20"/>
        <v>742.45</v>
      </c>
      <c r="BN17" s="15">
        <f t="shared" si="21"/>
        <v>62.537904312668466</v>
      </c>
      <c r="BO17" s="16">
        <f t="shared" si="22"/>
        <v>92.37095188922207</v>
      </c>
      <c r="BQ17" s="11">
        <v>15</v>
      </c>
      <c r="BR17" s="11" t="s">
        <v>40</v>
      </c>
      <c r="BS17" s="11">
        <v>2235.88</v>
      </c>
      <c r="BT17" s="11">
        <v>1187.2</v>
      </c>
      <c r="BU17" s="11">
        <f t="shared" si="23"/>
        <v>677.68000000000006</v>
      </c>
      <c r="BV17" s="15">
        <f t="shared" si="24"/>
        <v>57.082210242587607</v>
      </c>
      <c r="BW17" s="16">
        <f t="shared" si="25"/>
        <v>91.276180214155829</v>
      </c>
      <c r="BX17">
        <v>52</v>
      </c>
      <c r="BZ17" s="11">
        <v>15</v>
      </c>
      <c r="CA17" s="11" t="s">
        <v>40</v>
      </c>
      <c r="CB17" s="11">
        <v>2258.42</v>
      </c>
      <c r="CC17" s="11">
        <v>1187.2</v>
      </c>
      <c r="CD17" s="11">
        <f t="shared" si="26"/>
        <v>700.22</v>
      </c>
      <c r="CE17" s="15">
        <f t="shared" si="27"/>
        <v>58.980795148247978</v>
      </c>
      <c r="CG17" s="11">
        <v>15</v>
      </c>
      <c r="CH17" s="11" t="s">
        <v>40</v>
      </c>
      <c r="CI17" s="11">
        <v>2179.8000000000002</v>
      </c>
      <c r="CJ17" s="11">
        <v>1187.2</v>
      </c>
      <c r="CK17" s="11">
        <f t="shared" si="28"/>
        <v>621.60000000000014</v>
      </c>
      <c r="CL17" s="15">
        <f t="shared" si="29"/>
        <v>52.358490566037744</v>
      </c>
      <c r="CN17" s="11">
        <v>15</v>
      </c>
      <c r="CO17" s="11" t="s">
        <v>55</v>
      </c>
      <c r="CP17" s="11">
        <v>2117.5300000000002</v>
      </c>
      <c r="CQ17" s="11">
        <v>1187.2</v>
      </c>
      <c r="CR17" s="11">
        <f t="shared" si="30"/>
        <v>559.33000000000015</v>
      </c>
      <c r="CS17" s="15">
        <f t="shared" si="31"/>
        <v>47.113376010781685</v>
      </c>
      <c r="CU17" s="11">
        <v>15</v>
      </c>
      <c r="CV17" s="11" t="s">
        <v>56</v>
      </c>
      <c r="CW17" s="11">
        <v>2251.13</v>
      </c>
      <c r="CX17" s="11">
        <v>1187.2</v>
      </c>
      <c r="CY17" s="11">
        <f t="shared" si="32"/>
        <v>692.93000000000006</v>
      </c>
      <c r="CZ17" s="15">
        <f t="shared" si="33"/>
        <v>58.366745283018872</v>
      </c>
      <c r="DB17" s="11">
        <v>15</v>
      </c>
      <c r="DC17" s="11" t="s">
        <v>56</v>
      </c>
      <c r="DD17" s="11">
        <v>2295.12</v>
      </c>
      <c r="DE17" s="11">
        <v>1187.2</v>
      </c>
      <c r="DF17" s="11">
        <f t="shared" si="34"/>
        <v>736.91999999999985</v>
      </c>
      <c r="DG17" s="15">
        <f t="shared" si="35"/>
        <v>62.072102425875997</v>
      </c>
      <c r="DI17" s="11">
        <v>15</v>
      </c>
      <c r="DJ17" s="11" t="s">
        <v>56</v>
      </c>
      <c r="DK17" s="11">
        <v>2233.5500000000002</v>
      </c>
      <c r="DL17" s="11">
        <v>1187.2</v>
      </c>
      <c r="DM17" s="11">
        <f t="shared" si="36"/>
        <v>675.35000000000014</v>
      </c>
      <c r="DN17" s="15">
        <f t="shared" si="37"/>
        <v>56.885950134770901</v>
      </c>
      <c r="DP17" s="11">
        <v>15</v>
      </c>
      <c r="DQ17" s="11" t="s">
        <v>59</v>
      </c>
      <c r="DR17" s="11">
        <v>2155.0500000000002</v>
      </c>
      <c r="DS17" s="11">
        <v>1187.2</v>
      </c>
      <c r="DT17" s="11">
        <f t="shared" si="38"/>
        <v>596.85000000000014</v>
      </c>
      <c r="DU17" s="15">
        <f t="shared" si="39"/>
        <v>50.273753369272242</v>
      </c>
      <c r="DW17" s="11">
        <v>15</v>
      </c>
      <c r="DX17" s="11" t="s">
        <v>59</v>
      </c>
      <c r="DY17" s="11">
        <v>2174.39</v>
      </c>
      <c r="DZ17" s="11">
        <v>1187.2</v>
      </c>
      <c r="EA17" s="11">
        <f t="shared" si="40"/>
        <v>616.18999999999983</v>
      </c>
      <c r="EB17" s="15">
        <f t="shared" si="41"/>
        <v>51.902796495956864</v>
      </c>
      <c r="ED17" s="11">
        <v>15</v>
      </c>
      <c r="EE17" s="11"/>
      <c r="EF17" s="11">
        <v>2149.9699999999998</v>
      </c>
      <c r="EG17" s="11">
        <v>1187.2</v>
      </c>
      <c r="EH17" s="11">
        <f t="shared" si="42"/>
        <v>591.76999999999975</v>
      </c>
      <c r="EI17" s="15">
        <f t="shared" si="43"/>
        <v>49.845855795148225</v>
      </c>
      <c r="EK17" s="11">
        <v>15</v>
      </c>
      <c r="EL17" s="11" t="s">
        <v>59</v>
      </c>
      <c r="EM17" s="11">
        <v>2262.4</v>
      </c>
      <c r="EN17" s="11">
        <v>1187.2</v>
      </c>
      <c r="EO17" s="11">
        <f t="shared" si="44"/>
        <v>704.2</v>
      </c>
      <c r="EP17" s="15">
        <f t="shared" si="45"/>
        <v>59.316037735849058</v>
      </c>
      <c r="ER17" s="11">
        <v>15</v>
      </c>
      <c r="ES17" s="11" t="s">
        <v>59</v>
      </c>
      <c r="ET17" s="11">
        <v>2120.87</v>
      </c>
      <c r="EU17" s="11">
        <v>1187.2</v>
      </c>
      <c r="EV17" s="11">
        <f t="shared" si="46"/>
        <v>562.66999999999985</v>
      </c>
      <c r="EW17" s="15">
        <f t="shared" si="47"/>
        <v>47.394710242587585</v>
      </c>
      <c r="EY17" s="11">
        <v>15</v>
      </c>
      <c r="EZ17" s="11" t="s">
        <v>98</v>
      </c>
      <c r="FA17" s="11">
        <v>2293.98</v>
      </c>
      <c r="FB17" s="11">
        <v>1187.2</v>
      </c>
      <c r="FC17" s="11">
        <f t="shared" si="48"/>
        <v>735.78</v>
      </c>
      <c r="FD17" s="15">
        <f t="shared" si="49"/>
        <v>61.976078167115901</v>
      </c>
      <c r="FF17" s="11">
        <v>15</v>
      </c>
      <c r="FG17" s="11" t="s">
        <v>105</v>
      </c>
      <c r="FH17" s="11">
        <v>2270.41</v>
      </c>
      <c r="FI17" s="11">
        <v>1187.2</v>
      </c>
      <c r="FJ17" s="11">
        <f t="shared" si="50"/>
        <v>712.20999999999981</v>
      </c>
      <c r="FK17" s="15">
        <f t="shared" si="51"/>
        <v>59.990734501347688</v>
      </c>
    </row>
    <row r="18" spans="1:167" x14ac:dyDescent="0.25">
      <c r="A18" s="11">
        <v>16</v>
      </c>
      <c r="B18" s="11">
        <v>1512.1</v>
      </c>
      <c r="E18" s="11">
        <v>16</v>
      </c>
      <c r="F18" s="11">
        <v>2788.8</v>
      </c>
      <c r="I18" s="11">
        <v>16</v>
      </c>
      <c r="J18" s="11">
        <v>2691.3</v>
      </c>
      <c r="K18" s="11">
        <f t="shared" si="0"/>
        <v>1276.7000000000003</v>
      </c>
      <c r="L18" s="11">
        <f t="shared" si="1"/>
        <v>1179.2000000000003</v>
      </c>
      <c r="M18" s="15">
        <f t="shared" si="2"/>
        <v>92.363123678232952</v>
      </c>
      <c r="O18" s="11">
        <v>16</v>
      </c>
      <c r="P18" s="11">
        <v>2663.44</v>
      </c>
      <c r="Q18" s="11">
        <v>1276.7000000000003</v>
      </c>
      <c r="R18" s="11">
        <f t="shared" si="3"/>
        <v>1151.3400000000001</v>
      </c>
      <c r="S18" s="15">
        <f t="shared" si="4"/>
        <v>90.180935223623393</v>
      </c>
      <c r="U18" s="11">
        <v>16</v>
      </c>
      <c r="V18" s="11" t="s">
        <v>32</v>
      </c>
      <c r="W18" s="11">
        <v>2649.88</v>
      </c>
      <c r="X18" s="11">
        <v>1276.7000000000003</v>
      </c>
      <c r="Y18" s="11">
        <f t="shared" si="5"/>
        <v>1137.7800000000002</v>
      </c>
      <c r="Z18" s="15">
        <f t="shared" si="6"/>
        <v>89.118821962873028</v>
      </c>
      <c r="AA18" s="16">
        <f t="shared" si="7"/>
        <v>98.822241909427277</v>
      </c>
      <c r="AC18" s="11">
        <v>16</v>
      </c>
      <c r="AD18" s="11" t="s">
        <v>32</v>
      </c>
      <c r="AE18" s="11">
        <v>2631.85</v>
      </c>
      <c r="AF18" s="11">
        <v>1276.7000000000003</v>
      </c>
      <c r="AG18" s="11">
        <f t="shared" si="8"/>
        <v>1119.75</v>
      </c>
      <c r="AH18" s="15">
        <f t="shared" si="9"/>
        <v>87.706587295370866</v>
      </c>
      <c r="AI18" s="16">
        <f t="shared" si="10"/>
        <v>98.415335126298558</v>
      </c>
      <c r="AK18" s="11">
        <v>16</v>
      </c>
      <c r="AL18" s="11" t="s">
        <v>32</v>
      </c>
      <c r="AM18" s="11">
        <v>2611.56</v>
      </c>
      <c r="AN18" s="11">
        <v>1276.7000000000003</v>
      </c>
      <c r="AO18" s="11">
        <f t="shared" si="11"/>
        <v>1099.46</v>
      </c>
      <c r="AP18" s="15">
        <f t="shared" si="12"/>
        <v>86.11733375107697</v>
      </c>
      <c r="AQ18" s="16">
        <f t="shared" si="13"/>
        <v>98.187988390265687</v>
      </c>
      <c r="AS18" s="11">
        <v>16</v>
      </c>
      <c r="AT18" s="11" t="s">
        <v>38</v>
      </c>
      <c r="AU18" s="11">
        <v>2577.4</v>
      </c>
      <c r="AV18" s="11">
        <v>1276.7000000000003</v>
      </c>
      <c r="AW18" s="11">
        <f t="shared" si="14"/>
        <v>1065.3000000000002</v>
      </c>
      <c r="AX18" s="15">
        <f t="shared" si="15"/>
        <v>83.441685595676347</v>
      </c>
      <c r="AY18" s="16">
        <f t="shared" si="16"/>
        <v>96.893020209921247</v>
      </c>
      <c r="BA18" s="11">
        <v>16</v>
      </c>
      <c r="BB18" s="11" t="s">
        <v>40</v>
      </c>
      <c r="BC18" s="11">
        <v>2492.71</v>
      </c>
      <c r="BD18" s="11">
        <v>1276.7000000000003</v>
      </c>
      <c r="BE18" s="11">
        <f t="shared" si="17"/>
        <v>980.61000000000013</v>
      </c>
      <c r="BF18" s="15">
        <f t="shared" si="18"/>
        <v>76.808177332184542</v>
      </c>
      <c r="BG18" s="16">
        <f t="shared" si="19"/>
        <v>92.050126724866232</v>
      </c>
      <c r="BI18" s="11">
        <v>16</v>
      </c>
      <c r="BJ18" s="11" t="s">
        <v>40</v>
      </c>
      <c r="BK18" s="11">
        <v>2449.73</v>
      </c>
      <c r="BL18" s="11">
        <v>1276.7000000000003</v>
      </c>
      <c r="BM18" s="11">
        <f t="shared" si="20"/>
        <v>937.63000000000011</v>
      </c>
      <c r="BN18" s="15">
        <f t="shared" si="21"/>
        <v>73.441685595676347</v>
      </c>
      <c r="BO18" s="16">
        <f t="shared" si="22"/>
        <v>95.617013899511534</v>
      </c>
      <c r="BQ18" s="11">
        <v>16</v>
      </c>
      <c r="BR18" s="11" t="s">
        <v>40</v>
      </c>
      <c r="BS18" s="11">
        <v>2400.4499999999998</v>
      </c>
      <c r="BT18" s="11">
        <v>1276.7000000000003</v>
      </c>
      <c r="BU18" s="11">
        <f t="shared" si="23"/>
        <v>888.34999999999991</v>
      </c>
      <c r="BV18" s="15">
        <f t="shared" si="24"/>
        <v>69.581734158377046</v>
      </c>
      <c r="BW18" s="16">
        <f t="shared" si="25"/>
        <v>94.744195471561255</v>
      </c>
      <c r="BX18">
        <v>64</v>
      </c>
      <c r="BZ18" s="11">
        <v>16</v>
      </c>
      <c r="CA18" s="11" t="s">
        <v>40</v>
      </c>
      <c r="CB18" s="11">
        <v>2348.5500000000002</v>
      </c>
      <c r="CC18" s="11">
        <v>1276.7000000000003</v>
      </c>
      <c r="CD18" s="11">
        <f t="shared" si="26"/>
        <v>836.45000000000027</v>
      </c>
      <c r="CE18" s="15">
        <f t="shared" si="27"/>
        <v>65.516566147098004</v>
      </c>
      <c r="CG18" s="11">
        <v>16</v>
      </c>
      <c r="CH18" s="11" t="s">
        <v>55</v>
      </c>
      <c r="CI18" s="11">
        <v>2291.15</v>
      </c>
      <c r="CJ18" s="11">
        <v>1276.7000000000003</v>
      </c>
      <c r="CK18" s="11">
        <f t="shared" si="28"/>
        <v>779.05000000000018</v>
      </c>
      <c r="CL18" s="15">
        <f t="shared" si="29"/>
        <v>61.020599984334609</v>
      </c>
      <c r="CN18" s="11">
        <v>16</v>
      </c>
      <c r="CO18" s="11" t="s">
        <v>56</v>
      </c>
      <c r="CP18" s="11">
        <v>2196.61</v>
      </c>
      <c r="CQ18" s="11">
        <v>1276.7000000000003</v>
      </c>
      <c r="CR18" s="11">
        <f t="shared" si="30"/>
        <v>684.51000000000022</v>
      </c>
      <c r="CS18" s="15">
        <f t="shared" si="31"/>
        <v>53.615571395002746</v>
      </c>
      <c r="CU18" s="11">
        <v>16</v>
      </c>
      <c r="CV18" s="11" t="s">
        <v>56</v>
      </c>
      <c r="CW18" s="11">
        <v>2267.61</v>
      </c>
      <c r="CX18" s="11">
        <v>1276.7000000000003</v>
      </c>
      <c r="CY18" s="11">
        <f t="shared" si="32"/>
        <v>755.51000000000022</v>
      </c>
      <c r="CZ18" s="15">
        <f t="shared" si="33"/>
        <v>59.176783895981835</v>
      </c>
      <c r="DB18" s="11">
        <v>16</v>
      </c>
      <c r="DC18" s="11" t="s">
        <v>56</v>
      </c>
      <c r="DD18" s="11">
        <v>2331.06</v>
      </c>
      <c r="DE18" s="11">
        <v>1276.7000000000003</v>
      </c>
      <c r="DF18" s="11">
        <f t="shared" si="34"/>
        <v>818.96</v>
      </c>
      <c r="DG18" s="15">
        <f t="shared" si="35"/>
        <v>64.146628025377922</v>
      </c>
      <c r="DI18" s="11">
        <v>16</v>
      </c>
      <c r="DJ18" s="11" t="s">
        <v>56</v>
      </c>
      <c r="DK18" s="11">
        <v>2273.21</v>
      </c>
      <c r="DL18" s="11">
        <v>1276.7000000000003</v>
      </c>
      <c r="DM18" s="11">
        <f t="shared" si="36"/>
        <v>761.11000000000013</v>
      </c>
      <c r="DN18" s="15">
        <f t="shared" si="37"/>
        <v>59.61541474112947</v>
      </c>
      <c r="DP18" s="11">
        <v>16</v>
      </c>
      <c r="DQ18" s="11" t="s">
        <v>59</v>
      </c>
      <c r="DR18" s="11">
        <v>2210.23</v>
      </c>
      <c r="DS18" s="11">
        <v>1276.7000000000003</v>
      </c>
      <c r="DT18" s="11">
        <f t="shared" si="38"/>
        <v>698.13000000000011</v>
      </c>
      <c r="DU18" s="15">
        <f t="shared" si="39"/>
        <v>54.682384271951122</v>
      </c>
      <c r="DW18" s="11">
        <v>16</v>
      </c>
      <c r="DX18" s="11" t="s">
        <v>59</v>
      </c>
      <c r="DY18" s="11">
        <v>2225.62</v>
      </c>
      <c r="DZ18" s="11">
        <v>1276.7000000000003</v>
      </c>
      <c r="EA18" s="11">
        <f t="shared" si="40"/>
        <v>713.52</v>
      </c>
      <c r="EB18" s="15">
        <f t="shared" si="41"/>
        <v>55.887835826740805</v>
      </c>
      <c r="ED18" s="11">
        <v>16</v>
      </c>
      <c r="EE18" s="11"/>
      <c r="EF18" s="11">
        <v>2197.65</v>
      </c>
      <c r="EG18" s="11">
        <v>1276.7000000000003</v>
      </c>
      <c r="EH18" s="11">
        <f t="shared" si="42"/>
        <v>685.55000000000018</v>
      </c>
      <c r="EI18" s="15">
        <f t="shared" si="43"/>
        <v>53.697031409101591</v>
      </c>
      <c r="EK18" s="11">
        <v>16</v>
      </c>
      <c r="EL18" s="11" t="s">
        <v>98</v>
      </c>
      <c r="EM18" s="11">
        <v>2293.5500000000002</v>
      </c>
      <c r="EN18" s="11">
        <v>1276.7000000000003</v>
      </c>
      <c r="EO18" s="11">
        <f t="shared" si="44"/>
        <v>781.45000000000027</v>
      </c>
      <c r="EP18" s="15">
        <f t="shared" si="45"/>
        <v>61.20858463225504</v>
      </c>
      <c r="ER18" s="11">
        <v>16</v>
      </c>
      <c r="ES18" s="11" t="s">
        <v>98</v>
      </c>
      <c r="ET18" s="11">
        <v>2168.33</v>
      </c>
      <c r="EU18" s="11">
        <v>1276.7000000000003</v>
      </c>
      <c r="EV18" s="11">
        <f t="shared" si="46"/>
        <v>656.23</v>
      </c>
      <c r="EW18" s="15">
        <f t="shared" si="47"/>
        <v>51.400485627007122</v>
      </c>
      <c r="EY18" s="11">
        <v>16</v>
      </c>
      <c r="EZ18" s="11" t="s">
        <v>97</v>
      </c>
      <c r="FA18" s="11">
        <v>2317.64</v>
      </c>
      <c r="FB18" s="11">
        <v>1276.7000000000003</v>
      </c>
      <c r="FC18" s="11">
        <f t="shared" si="48"/>
        <v>805.54</v>
      </c>
      <c r="FD18" s="15">
        <f t="shared" si="49"/>
        <v>63.095480535756231</v>
      </c>
      <c r="FF18" s="11">
        <v>16</v>
      </c>
      <c r="FG18" s="11" t="s">
        <v>105</v>
      </c>
      <c r="FH18" s="11">
        <v>2321.8200000000002</v>
      </c>
      <c r="FI18" s="11">
        <v>1276.7000000000003</v>
      </c>
      <c r="FJ18" s="11">
        <f t="shared" si="50"/>
        <v>809.72000000000025</v>
      </c>
      <c r="FK18" s="15">
        <f t="shared" si="51"/>
        <v>63.42288713088432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FDCE4-7DED-4F91-9E21-510F7C06126C}">
  <dimension ref="A1:DR17"/>
  <sheetViews>
    <sheetView topLeftCell="DE1" workbookViewId="0">
      <selection activeCell="DT7" sqref="DT7"/>
    </sheetView>
  </sheetViews>
  <sheetFormatPr defaultRowHeight="15" x14ac:dyDescent="0.25"/>
  <cols>
    <col min="1" max="1" width="11.42578125" bestFit="1" customWidth="1"/>
    <col min="2" max="2" width="12.5703125" bestFit="1" customWidth="1"/>
    <col min="3" max="3" width="14" bestFit="1" customWidth="1"/>
    <col min="4" max="4" width="18.85546875" bestFit="1" customWidth="1"/>
    <col min="5" max="5" width="14.7109375" customWidth="1"/>
    <col min="6" max="6" width="10.7109375" customWidth="1"/>
    <col min="9" max="9" width="11.42578125" bestFit="1" customWidth="1"/>
    <col min="10" max="10" width="12.5703125" bestFit="1" customWidth="1"/>
    <col min="11" max="11" width="11.5703125" bestFit="1" customWidth="1"/>
    <col min="12" max="12" width="18.85546875" bestFit="1" customWidth="1"/>
    <col min="13" max="13" width="8.7109375" bestFit="1" customWidth="1"/>
    <col min="14" max="14" width="8.7109375" customWidth="1"/>
    <col min="18" max="18" width="11.42578125" bestFit="1" customWidth="1"/>
    <col min="19" max="19" width="12.5703125" bestFit="1" customWidth="1"/>
    <col min="20" max="20" width="11.5703125" bestFit="1" customWidth="1"/>
    <col min="21" max="21" width="18.85546875" bestFit="1" customWidth="1"/>
    <col min="27" max="27" width="11.42578125" bestFit="1" customWidth="1"/>
    <col min="28" max="28" width="12.5703125" bestFit="1" customWidth="1"/>
    <col min="29" max="29" width="11.5703125" bestFit="1" customWidth="1"/>
    <col min="30" max="30" width="18.85546875" bestFit="1" customWidth="1"/>
    <col min="31" max="32" width="10" customWidth="1"/>
    <col min="36" max="36" width="11.42578125" bestFit="1" customWidth="1"/>
    <col min="37" max="37" width="12.5703125" bestFit="1" customWidth="1"/>
    <col min="38" max="38" width="11.5703125" bestFit="1" customWidth="1"/>
    <col min="39" max="39" width="18.85546875" bestFit="1" customWidth="1"/>
    <col min="40" max="40" width="12.42578125" customWidth="1"/>
    <col min="44" max="44" width="11.42578125" bestFit="1" customWidth="1"/>
    <col min="45" max="45" width="12.5703125" bestFit="1" customWidth="1"/>
    <col min="46" max="46" width="11.5703125" bestFit="1" customWidth="1"/>
    <col min="47" max="47" width="18.85546875" bestFit="1" customWidth="1"/>
    <col min="48" max="48" width="8.7109375" bestFit="1" customWidth="1"/>
    <col min="52" max="52" width="11.42578125" bestFit="1" customWidth="1"/>
    <col min="53" max="53" width="12.5703125" bestFit="1" customWidth="1"/>
    <col min="54" max="54" width="11.5703125" bestFit="1" customWidth="1"/>
    <col min="55" max="55" width="18.85546875" bestFit="1" customWidth="1"/>
    <col min="60" max="60" width="11.42578125" bestFit="1" customWidth="1"/>
    <col min="61" max="61" width="12.5703125" bestFit="1" customWidth="1"/>
    <col min="62" max="62" width="11.5703125" bestFit="1" customWidth="1"/>
    <col min="63" max="63" width="18.85546875" bestFit="1" customWidth="1"/>
    <col min="68" max="68" width="11.42578125" bestFit="1" customWidth="1"/>
    <col min="69" max="69" width="12.5703125" bestFit="1" customWidth="1"/>
    <col min="70" max="70" width="11.5703125" bestFit="1" customWidth="1"/>
    <col min="71" max="71" width="18.85546875" bestFit="1" customWidth="1"/>
    <col min="73" max="73" width="11.7109375" customWidth="1"/>
    <col min="76" max="76" width="11.42578125" bestFit="1" customWidth="1"/>
    <col min="77" max="77" width="12.5703125" bestFit="1" customWidth="1"/>
    <col min="78" max="78" width="11.5703125" bestFit="1" customWidth="1"/>
    <col min="79" max="79" width="18.85546875" bestFit="1" customWidth="1"/>
    <col min="84" max="84" width="11.42578125" bestFit="1" customWidth="1"/>
    <col min="85" max="85" width="12.5703125" bestFit="1" customWidth="1"/>
    <col min="86" max="86" width="11.5703125" bestFit="1" customWidth="1"/>
    <col min="87" max="87" width="18.85546875" bestFit="1" customWidth="1"/>
    <col min="88" max="88" width="12.42578125" customWidth="1"/>
    <col min="92" max="92" width="11.42578125" bestFit="1" customWidth="1"/>
    <col min="93" max="93" width="12.5703125" bestFit="1" customWidth="1"/>
    <col min="94" max="94" width="11.5703125" bestFit="1" customWidth="1"/>
    <col min="95" max="95" width="19.42578125" customWidth="1"/>
    <col min="96" max="96" width="13.28515625" customWidth="1"/>
    <col min="100" max="100" width="11.42578125" bestFit="1" customWidth="1"/>
    <col min="101" max="101" width="12.5703125" bestFit="1" customWidth="1"/>
    <col min="102" max="102" width="11.5703125" bestFit="1" customWidth="1"/>
    <col min="103" max="103" width="18.85546875" bestFit="1" customWidth="1"/>
    <col min="108" max="108" width="11.42578125" bestFit="1" customWidth="1"/>
    <col min="109" max="109" width="12.5703125" bestFit="1" customWidth="1"/>
    <col min="110" max="110" width="11.5703125" bestFit="1" customWidth="1"/>
    <col min="111" max="111" width="18.85546875" bestFit="1" customWidth="1"/>
    <col min="112" max="112" width="12.7109375" customWidth="1"/>
    <col min="116" max="116" width="11.42578125" bestFit="1" customWidth="1"/>
    <col min="117" max="117" width="12.5703125" bestFit="1" customWidth="1"/>
    <col min="118" max="118" width="11.5703125" bestFit="1" customWidth="1"/>
    <col min="119" max="119" width="18.85546875" bestFit="1" customWidth="1"/>
    <col min="120" max="120" width="12.85546875" customWidth="1"/>
  </cols>
  <sheetData>
    <row r="1" spans="1:122" ht="30" x14ac:dyDescent="0.25">
      <c r="A1" s="3" t="s">
        <v>18</v>
      </c>
      <c r="B1" s="3" t="s">
        <v>23</v>
      </c>
      <c r="C1" s="3" t="s">
        <v>45</v>
      </c>
      <c r="D1" s="3" t="s">
        <v>25</v>
      </c>
      <c r="E1" s="18" t="s">
        <v>42</v>
      </c>
      <c r="F1" s="10" t="s">
        <v>44</v>
      </c>
      <c r="G1" s="10" t="s">
        <v>43</v>
      </c>
      <c r="I1" s="3" t="s">
        <v>18</v>
      </c>
      <c r="J1" s="3" t="s">
        <v>23</v>
      </c>
      <c r="K1" s="3" t="s">
        <v>45</v>
      </c>
      <c r="L1" s="3" t="s">
        <v>25</v>
      </c>
      <c r="M1" s="18" t="s">
        <v>42</v>
      </c>
      <c r="N1" s="18" t="s">
        <v>51</v>
      </c>
      <c r="O1" s="10" t="s">
        <v>44</v>
      </c>
      <c r="P1" s="10" t="s">
        <v>43</v>
      </c>
      <c r="R1" s="3" t="s">
        <v>18</v>
      </c>
      <c r="S1" s="3" t="s">
        <v>23</v>
      </c>
      <c r="T1" s="3" t="s">
        <v>45</v>
      </c>
      <c r="U1" s="3" t="s">
        <v>25</v>
      </c>
      <c r="V1" s="18" t="s">
        <v>42</v>
      </c>
      <c r="W1" s="18" t="s">
        <v>51</v>
      </c>
      <c r="X1" s="10" t="s">
        <v>44</v>
      </c>
      <c r="Y1" s="10" t="s">
        <v>43</v>
      </c>
      <c r="AA1" s="3" t="s">
        <v>18</v>
      </c>
      <c r="AB1" s="3" t="s">
        <v>23</v>
      </c>
      <c r="AC1" s="3" t="s">
        <v>45</v>
      </c>
      <c r="AD1" s="3" t="s">
        <v>25</v>
      </c>
      <c r="AE1" s="18" t="s">
        <v>42</v>
      </c>
      <c r="AF1" s="18" t="s">
        <v>58</v>
      </c>
      <c r="AG1" s="10" t="s">
        <v>44</v>
      </c>
      <c r="AH1" s="10" t="s">
        <v>43</v>
      </c>
      <c r="AJ1" s="3" t="s">
        <v>18</v>
      </c>
      <c r="AK1" s="3" t="s">
        <v>23</v>
      </c>
      <c r="AL1" s="3" t="s">
        <v>45</v>
      </c>
      <c r="AM1" s="3" t="s">
        <v>25</v>
      </c>
      <c r="AN1" s="18" t="s">
        <v>42</v>
      </c>
      <c r="AO1" s="10" t="s">
        <v>44</v>
      </c>
      <c r="AP1" s="10" t="s">
        <v>43</v>
      </c>
      <c r="AR1" s="3" t="s">
        <v>18</v>
      </c>
      <c r="AS1" s="3" t="s">
        <v>23</v>
      </c>
      <c r="AT1" s="3" t="s">
        <v>45</v>
      </c>
      <c r="AU1" s="3" t="s">
        <v>25</v>
      </c>
      <c r="AV1" s="18" t="s">
        <v>42</v>
      </c>
      <c r="AW1" s="10" t="s">
        <v>44</v>
      </c>
      <c r="AX1" s="10" t="s">
        <v>43</v>
      </c>
      <c r="AZ1" s="3" t="s">
        <v>18</v>
      </c>
      <c r="BA1" s="3" t="s">
        <v>23</v>
      </c>
      <c r="BB1" s="3" t="s">
        <v>45</v>
      </c>
      <c r="BC1" s="3" t="s">
        <v>25</v>
      </c>
      <c r="BD1" s="18" t="s">
        <v>42</v>
      </c>
      <c r="BE1" s="10" t="s">
        <v>44</v>
      </c>
      <c r="BF1" s="10" t="s">
        <v>43</v>
      </c>
      <c r="BH1" s="3" t="s">
        <v>18</v>
      </c>
      <c r="BI1" s="3" t="s">
        <v>23</v>
      </c>
      <c r="BJ1" s="3" t="s">
        <v>45</v>
      </c>
      <c r="BK1" s="3" t="s">
        <v>25</v>
      </c>
      <c r="BL1" s="18" t="s">
        <v>42</v>
      </c>
      <c r="BM1" s="10" t="s">
        <v>44</v>
      </c>
      <c r="BN1" s="10" t="s">
        <v>43</v>
      </c>
      <c r="BP1" s="3" t="s">
        <v>18</v>
      </c>
      <c r="BQ1" s="3" t="s">
        <v>23</v>
      </c>
      <c r="BR1" s="3" t="s">
        <v>45</v>
      </c>
      <c r="BS1" s="3" t="s">
        <v>25</v>
      </c>
      <c r="BT1" s="18" t="s">
        <v>42</v>
      </c>
      <c r="BU1" s="10" t="s">
        <v>44</v>
      </c>
      <c r="BV1" s="10" t="s">
        <v>43</v>
      </c>
      <c r="BX1" s="3" t="s">
        <v>18</v>
      </c>
      <c r="BY1" s="3" t="s">
        <v>23</v>
      </c>
      <c r="BZ1" s="3" t="s">
        <v>45</v>
      </c>
      <c r="CA1" s="3" t="s">
        <v>25</v>
      </c>
      <c r="CB1" s="18" t="s">
        <v>42</v>
      </c>
      <c r="CC1" s="10" t="s">
        <v>44</v>
      </c>
      <c r="CD1" s="10" t="s">
        <v>43</v>
      </c>
      <c r="CF1" s="3" t="s">
        <v>18</v>
      </c>
      <c r="CG1" s="3" t="s">
        <v>23</v>
      </c>
      <c r="CH1" s="3" t="s">
        <v>45</v>
      </c>
      <c r="CI1" s="3" t="s">
        <v>25</v>
      </c>
      <c r="CJ1" s="18" t="s">
        <v>42</v>
      </c>
      <c r="CK1" s="10" t="s">
        <v>44</v>
      </c>
      <c r="CL1" s="10" t="s">
        <v>43</v>
      </c>
      <c r="CN1" s="3" t="s">
        <v>18</v>
      </c>
      <c r="CO1" s="3" t="s">
        <v>23</v>
      </c>
      <c r="CP1" s="3" t="s">
        <v>45</v>
      </c>
      <c r="CQ1" s="3" t="s">
        <v>25</v>
      </c>
      <c r="CR1" s="18" t="s">
        <v>42</v>
      </c>
      <c r="CS1" s="10" t="s">
        <v>44</v>
      </c>
      <c r="CT1" s="10" t="s">
        <v>43</v>
      </c>
      <c r="CV1" s="3" t="s">
        <v>18</v>
      </c>
      <c r="CW1" s="3" t="s">
        <v>23</v>
      </c>
      <c r="CX1" s="3" t="s">
        <v>45</v>
      </c>
      <c r="CY1" s="3" t="s">
        <v>25</v>
      </c>
      <c r="CZ1" s="18" t="s">
        <v>42</v>
      </c>
      <c r="DA1" s="10" t="s">
        <v>44</v>
      </c>
      <c r="DB1" s="10" t="s">
        <v>43</v>
      </c>
      <c r="DD1" s="3" t="s">
        <v>18</v>
      </c>
      <c r="DE1" s="3" t="s">
        <v>23</v>
      </c>
      <c r="DF1" s="3" t="s">
        <v>45</v>
      </c>
      <c r="DG1" s="3" t="s">
        <v>25</v>
      </c>
      <c r="DH1" s="18" t="s">
        <v>42</v>
      </c>
      <c r="DI1" s="10" t="s">
        <v>44</v>
      </c>
      <c r="DJ1" s="10" t="s">
        <v>43</v>
      </c>
      <c r="DL1" s="3" t="s">
        <v>18</v>
      </c>
      <c r="DM1" s="3" t="s">
        <v>23</v>
      </c>
      <c r="DN1" s="3" t="s">
        <v>45</v>
      </c>
      <c r="DO1" s="3" t="s">
        <v>25</v>
      </c>
      <c r="DP1" s="18" t="s">
        <v>42</v>
      </c>
      <c r="DQ1" s="10" t="s">
        <v>44</v>
      </c>
      <c r="DR1" s="10" t="s">
        <v>43</v>
      </c>
    </row>
    <row r="2" spans="1:122" x14ac:dyDescent="0.25">
      <c r="A2" s="11">
        <v>1</v>
      </c>
      <c r="B2" s="11">
        <v>1316.3000000000002</v>
      </c>
      <c r="C2" s="11">
        <f>(B2*70)/100</f>
        <v>921.4100000000002</v>
      </c>
      <c r="D2" s="11">
        <v>945.51000000000022</v>
      </c>
      <c r="E2" s="11">
        <f>C2-D2</f>
        <v>-24.100000000000023</v>
      </c>
      <c r="F2" s="17"/>
      <c r="G2" s="11"/>
      <c r="I2" s="22">
        <v>1</v>
      </c>
      <c r="J2" s="22">
        <v>1316.3000000000002</v>
      </c>
      <c r="K2" s="22">
        <f>(J2*70)/100</f>
        <v>921.4100000000002</v>
      </c>
      <c r="L2" s="22">
        <v>836.01000000000022</v>
      </c>
      <c r="M2" s="22">
        <f>K2-L2</f>
        <v>85.399999999999977</v>
      </c>
      <c r="N2" s="25">
        <v>50</v>
      </c>
      <c r="O2" s="23">
        <v>45581</v>
      </c>
      <c r="P2" s="24">
        <v>0.375</v>
      </c>
      <c r="R2" s="11">
        <v>1</v>
      </c>
      <c r="S2" s="11">
        <v>1316.3000000000002</v>
      </c>
      <c r="T2" s="11">
        <f>(S2*70)/100</f>
        <v>921.4100000000002</v>
      </c>
      <c r="U2" s="11">
        <v>814.18000000000029</v>
      </c>
      <c r="V2" s="11">
        <f>T2-U2</f>
        <v>107.2299999999999</v>
      </c>
      <c r="W2" s="25"/>
      <c r="X2" s="17">
        <v>45582</v>
      </c>
      <c r="Y2" s="26">
        <v>0.375</v>
      </c>
      <c r="AA2" s="19">
        <v>1</v>
      </c>
      <c r="AB2" s="19">
        <v>1316.3000000000002</v>
      </c>
      <c r="AC2" s="19">
        <f>(AB2*70)/100</f>
        <v>921.4100000000002</v>
      </c>
      <c r="AD2" s="19">
        <v>740.07000000000016</v>
      </c>
      <c r="AE2" s="19">
        <f>AC2-AD2</f>
        <v>181.34000000000003</v>
      </c>
      <c r="AF2" s="19">
        <f>AE2-75</f>
        <v>106.34000000000003</v>
      </c>
      <c r="AG2" s="20">
        <v>45583</v>
      </c>
      <c r="AH2" s="21">
        <v>0.37013888888888891</v>
      </c>
      <c r="AJ2" s="19">
        <v>1</v>
      </c>
      <c r="AK2" s="19">
        <v>1316.3000000000002</v>
      </c>
      <c r="AL2" s="19">
        <f>(AK2*70)/100</f>
        <v>921.4100000000002</v>
      </c>
      <c r="AM2" s="19">
        <v>651.5</v>
      </c>
      <c r="AN2" s="19">
        <f>AL2-AM2</f>
        <v>269.9100000000002</v>
      </c>
      <c r="AO2" s="20">
        <v>45586</v>
      </c>
      <c r="AP2" s="21"/>
      <c r="AR2" s="19">
        <v>1</v>
      </c>
      <c r="AS2" s="19">
        <v>1316.3000000000002</v>
      </c>
      <c r="AT2" s="19">
        <f>(AS2*70)/100</f>
        <v>921.4100000000002</v>
      </c>
      <c r="AU2" s="19">
        <v>777.46</v>
      </c>
      <c r="AV2" s="19">
        <f>AT2-AU2</f>
        <v>143.95000000000016</v>
      </c>
      <c r="AW2" s="20">
        <v>45587</v>
      </c>
      <c r="AX2" s="21"/>
      <c r="AZ2" s="19">
        <v>1</v>
      </c>
      <c r="BA2" s="19">
        <v>1316.3000000000002</v>
      </c>
      <c r="BB2" s="19">
        <f>(BA2*70)/100</f>
        <v>921.4100000000002</v>
      </c>
      <c r="BC2" s="19">
        <v>836.41000000000031</v>
      </c>
      <c r="BD2" s="19">
        <f>BB2-BC2</f>
        <v>84.999999999999886</v>
      </c>
      <c r="BE2" s="20">
        <v>45588</v>
      </c>
      <c r="BF2" s="21"/>
      <c r="BH2" s="19">
        <v>1</v>
      </c>
      <c r="BI2" s="19">
        <v>1316.3000000000002</v>
      </c>
      <c r="BJ2" s="19">
        <f>(BI2*70)/100</f>
        <v>921.4100000000002</v>
      </c>
      <c r="BK2" s="19">
        <v>774.66000000000031</v>
      </c>
      <c r="BL2" s="19">
        <f>BJ2-BK2</f>
        <v>146.74999999999989</v>
      </c>
      <c r="BM2" s="20">
        <v>45589</v>
      </c>
      <c r="BN2" s="21"/>
      <c r="BP2" s="19">
        <v>1</v>
      </c>
      <c r="BQ2" s="19">
        <v>1316.3000000000002</v>
      </c>
      <c r="BR2" s="19">
        <f>(BQ2*70)/100</f>
        <v>921.4100000000002</v>
      </c>
      <c r="BS2" s="19">
        <v>689.32000000000016</v>
      </c>
      <c r="BT2" s="19">
        <f>BR2-BS2</f>
        <v>232.09000000000003</v>
      </c>
      <c r="BU2" s="20">
        <v>45590</v>
      </c>
      <c r="BV2" s="21"/>
      <c r="BX2" s="19">
        <v>1</v>
      </c>
      <c r="BY2" s="19">
        <v>1316.3000000000002</v>
      </c>
      <c r="BZ2" s="19">
        <f>(BY2*70)/100</f>
        <v>921.4100000000002</v>
      </c>
      <c r="CA2" s="19">
        <v>705.7800000000002</v>
      </c>
      <c r="CB2" s="19">
        <f>BZ2-CA2</f>
        <v>215.63</v>
      </c>
      <c r="CC2" s="20">
        <v>45591</v>
      </c>
      <c r="CD2" s="21"/>
      <c r="CF2" s="19">
        <v>1</v>
      </c>
      <c r="CG2" s="19">
        <v>1316.3000000000002</v>
      </c>
      <c r="CH2" s="19">
        <f>(CG2*70)/100</f>
        <v>921.4100000000002</v>
      </c>
      <c r="CI2" s="19">
        <v>675.93000000000029</v>
      </c>
      <c r="CJ2" s="19">
        <f>CH2-CI2</f>
        <v>245.4799999999999</v>
      </c>
      <c r="CK2" s="20">
        <v>45592</v>
      </c>
      <c r="CL2" s="21"/>
      <c r="CN2" s="19">
        <v>1</v>
      </c>
      <c r="CO2" s="19">
        <v>1316.3000000000002</v>
      </c>
      <c r="CP2" s="19">
        <f>(CO2*70)/100</f>
        <v>921.4100000000002</v>
      </c>
      <c r="CQ2" s="19">
        <v>782.80000000000018</v>
      </c>
      <c r="CR2" s="19">
        <f>CP2-CQ2</f>
        <v>138.61000000000001</v>
      </c>
      <c r="CS2" s="20">
        <v>45593</v>
      </c>
      <c r="CT2" s="21"/>
      <c r="CV2" s="19">
        <v>1</v>
      </c>
      <c r="CW2" s="19">
        <v>1316.3000000000002</v>
      </c>
      <c r="CX2" s="19">
        <f>(CW2*70)/100</f>
        <v>921.4100000000002</v>
      </c>
      <c r="CY2" s="19">
        <v>644.38000000000011</v>
      </c>
      <c r="CZ2" s="19">
        <f>CX2-CY2</f>
        <v>277.03000000000009</v>
      </c>
      <c r="DA2" s="20">
        <v>45594</v>
      </c>
      <c r="DB2" s="21"/>
      <c r="DD2" s="19">
        <v>1</v>
      </c>
      <c r="DE2" s="19">
        <v>1316.3000000000002</v>
      </c>
      <c r="DF2" s="19">
        <f>(DE2*70)/100</f>
        <v>921.4100000000002</v>
      </c>
      <c r="DG2" s="19">
        <v>811.84000000000015</v>
      </c>
      <c r="DH2" s="19">
        <f>DF2-DG2</f>
        <v>109.57000000000005</v>
      </c>
      <c r="DI2" s="20">
        <v>45595</v>
      </c>
      <c r="DJ2" s="21"/>
      <c r="DL2" s="19">
        <v>1</v>
      </c>
      <c r="DM2" s="19">
        <v>1316.3000000000002</v>
      </c>
      <c r="DN2" s="19">
        <f>(DM2*70)/100</f>
        <v>921.4100000000002</v>
      </c>
      <c r="DO2" s="19">
        <v>798.88000000000011</v>
      </c>
      <c r="DP2" s="19">
        <f>DN2-DO2</f>
        <v>122.53000000000009</v>
      </c>
      <c r="DQ2" s="20">
        <v>45596</v>
      </c>
      <c r="DR2" s="21"/>
    </row>
    <row r="3" spans="1:122" x14ac:dyDescent="0.25">
      <c r="A3" s="11">
        <v>2</v>
      </c>
      <c r="B3" s="11">
        <v>1342.6</v>
      </c>
      <c r="C3" s="11">
        <f t="shared" ref="C3:C17" si="0">(B3*70)/100</f>
        <v>939.82</v>
      </c>
      <c r="D3" s="11">
        <v>988.98</v>
      </c>
      <c r="E3" s="11">
        <f t="shared" ref="E3:E17" si="1">C3-D3</f>
        <v>-49.159999999999968</v>
      </c>
      <c r="F3" s="17"/>
      <c r="G3" s="11"/>
      <c r="I3" s="22">
        <v>2</v>
      </c>
      <c r="J3" s="22">
        <v>1342.6</v>
      </c>
      <c r="K3" s="22">
        <f t="shared" ref="K3:K17" si="2">(J3*70)/100</f>
        <v>939.82</v>
      </c>
      <c r="L3" s="22">
        <v>862.76000000000022</v>
      </c>
      <c r="M3" s="22">
        <f t="shared" ref="M3:M17" si="3">K3-L3</f>
        <v>77.059999999999832</v>
      </c>
      <c r="N3" s="25">
        <v>50</v>
      </c>
      <c r="O3" s="23"/>
      <c r="P3" s="22"/>
      <c r="R3" s="11">
        <v>2</v>
      </c>
      <c r="S3" s="11">
        <v>1342.6</v>
      </c>
      <c r="T3" s="11">
        <f t="shared" ref="T3:T17" si="4">(S3*70)/100</f>
        <v>939.82</v>
      </c>
      <c r="U3" s="11">
        <v>844.81</v>
      </c>
      <c r="V3" s="11">
        <f t="shared" ref="V3:V17" si="5">T3-U3</f>
        <v>95.010000000000105</v>
      </c>
      <c r="W3" s="25"/>
      <c r="AA3" s="19">
        <v>2</v>
      </c>
      <c r="AB3" s="19">
        <v>1342.6</v>
      </c>
      <c r="AC3" s="19">
        <f t="shared" ref="AC3:AC17" si="6">(AB3*70)/100</f>
        <v>939.82</v>
      </c>
      <c r="AD3" s="19">
        <v>770.40000000000009</v>
      </c>
      <c r="AE3" s="19">
        <f t="shared" ref="AE3:AE17" si="7">AC3-AD3</f>
        <v>169.41999999999996</v>
      </c>
      <c r="AF3" s="19">
        <f t="shared" ref="AF3:AF17" si="8">AE3-75</f>
        <v>94.419999999999959</v>
      </c>
      <c r="AG3" s="20"/>
      <c r="AH3" s="19"/>
      <c r="AJ3" s="19">
        <v>2</v>
      </c>
      <c r="AK3" s="19">
        <v>1342.6</v>
      </c>
      <c r="AL3" s="19">
        <f t="shared" ref="AL3:AL17" si="9">(AK3*70)/100</f>
        <v>939.82</v>
      </c>
      <c r="AM3" s="19">
        <v>673.71</v>
      </c>
      <c r="AN3" s="19">
        <f t="shared" ref="AN3:AN17" si="10">AL3-AM3</f>
        <v>266.11</v>
      </c>
      <c r="AO3" s="20" t="s">
        <v>62</v>
      </c>
      <c r="AP3" s="21">
        <v>0.35972222222222222</v>
      </c>
      <c r="AR3" s="19">
        <v>2</v>
      </c>
      <c r="AS3" s="19">
        <v>1342.6</v>
      </c>
      <c r="AT3" s="19">
        <f t="shared" ref="AT3:AT17" si="11">(AS3*70)/100</f>
        <v>939.82</v>
      </c>
      <c r="AU3" s="19">
        <v>783.94</v>
      </c>
      <c r="AV3" s="19">
        <f t="shared" ref="AV3:AV17" si="12">AT3-AU3</f>
        <v>155.88</v>
      </c>
      <c r="AW3" s="20" t="s">
        <v>62</v>
      </c>
      <c r="AX3" s="21">
        <v>0.65833333333333333</v>
      </c>
      <c r="AZ3" s="19">
        <v>2</v>
      </c>
      <c r="BA3" s="19">
        <v>1342.6</v>
      </c>
      <c r="BB3" s="19">
        <f t="shared" ref="BB3:BB17" si="13">(BA3*70)/100</f>
        <v>939.82</v>
      </c>
      <c r="BC3" s="19">
        <v>856.18000000000029</v>
      </c>
      <c r="BD3" s="19">
        <f t="shared" ref="BD3:BD17" si="14">BB3-BC3</f>
        <v>83.639999999999759</v>
      </c>
      <c r="BE3" s="20" t="s">
        <v>62</v>
      </c>
      <c r="BF3" s="21">
        <v>0.3659722222222222</v>
      </c>
      <c r="BH3" s="19">
        <v>2</v>
      </c>
      <c r="BI3" s="19">
        <v>1342.6</v>
      </c>
      <c r="BJ3" s="19">
        <f t="shared" ref="BJ3:BJ17" si="15">(BI3*70)/100</f>
        <v>939.82</v>
      </c>
      <c r="BK3" s="19">
        <v>785.91000000000031</v>
      </c>
      <c r="BL3" s="19">
        <f t="shared" ref="BL3:BL17" si="16">BJ3-BK3</f>
        <v>153.90999999999974</v>
      </c>
      <c r="BM3" s="20" t="s">
        <v>62</v>
      </c>
      <c r="BN3" s="21">
        <v>0.38333333333333336</v>
      </c>
      <c r="BP3" s="19">
        <v>2</v>
      </c>
      <c r="BQ3" s="19">
        <v>1342.6</v>
      </c>
      <c r="BR3" s="19">
        <f t="shared" ref="BR3:BR17" si="17">(BQ3*70)/100</f>
        <v>939.82</v>
      </c>
      <c r="BS3" s="19">
        <v>706.5</v>
      </c>
      <c r="BT3" s="19">
        <f t="shared" ref="BT3:BT17" si="18">BR3-BS3</f>
        <v>233.32000000000005</v>
      </c>
      <c r="BU3" s="20" t="s">
        <v>62</v>
      </c>
      <c r="BV3" s="21">
        <v>0.58194444444444449</v>
      </c>
      <c r="BX3" s="19">
        <v>2</v>
      </c>
      <c r="BY3" s="19">
        <v>1342.6</v>
      </c>
      <c r="BZ3" s="19">
        <f t="shared" ref="BZ3:BZ17" si="19">(BY3*70)/100</f>
        <v>939.82</v>
      </c>
      <c r="CA3" s="19">
        <v>729.92000000000007</v>
      </c>
      <c r="CB3" s="19">
        <f t="shared" ref="CB3:CB17" si="20">BZ3-CA3</f>
        <v>209.89999999999998</v>
      </c>
      <c r="CC3" s="20" t="s">
        <v>62</v>
      </c>
      <c r="CD3" s="21">
        <v>0.625</v>
      </c>
      <c r="CF3" s="19">
        <v>2</v>
      </c>
      <c r="CG3" s="19">
        <v>1342.6</v>
      </c>
      <c r="CH3" s="19">
        <f t="shared" ref="CH3:CH17" si="21">(CG3*70)/100</f>
        <v>939.82</v>
      </c>
      <c r="CI3" s="19">
        <v>699.01000000000022</v>
      </c>
      <c r="CJ3" s="19">
        <f t="shared" ref="CJ3:CJ17" si="22">CH3-CI3</f>
        <v>240.80999999999983</v>
      </c>
      <c r="CK3" s="20" t="s">
        <v>62</v>
      </c>
      <c r="CL3" s="21"/>
      <c r="CN3" s="19">
        <v>2</v>
      </c>
      <c r="CO3" s="19">
        <v>1342.6</v>
      </c>
      <c r="CP3" s="19">
        <f t="shared" ref="CP3:CP17" si="23">(CO3*70)/100</f>
        <v>939.82</v>
      </c>
      <c r="CQ3" s="19">
        <v>815.06</v>
      </c>
      <c r="CR3" s="19">
        <f t="shared" ref="CR3:CR17" si="24">CP3-CQ3</f>
        <v>124.7600000000001</v>
      </c>
      <c r="CS3" s="20" t="s">
        <v>62</v>
      </c>
      <c r="CT3" s="21">
        <v>0.43680555555555556</v>
      </c>
      <c r="CV3" s="19">
        <v>2</v>
      </c>
      <c r="CW3" s="19">
        <v>1342.6</v>
      </c>
      <c r="CX3" s="19">
        <f t="shared" ref="CX3:CX17" si="25">(CW3*70)/100</f>
        <v>939.82</v>
      </c>
      <c r="CY3" s="19">
        <v>677.81</v>
      </c>
      <c r="CZ3" s="19">
        <f t="shared" ref="CZ3:CZ17" si="26">CX3-CY3</f>
        <v>262.0100000000001</v>
      </c>
      <c r="DA3" s="20" t="s">
        <v>62</v>
      </c>
      <c r="DB3" s="21">
        <v>0.56874999999999998</v>
      </c>
      <c r="DD3" s="19">
        <v>2</v>
      </c>
      <c r="DE3" s="19">
        <v>1342.6</v>
      </c>
      <c r="DF3" s="19">
        <f t="shared" ref="DF3:DF17" si="27">(DE3*70)/100</f>
        <v>939.82</v>
      </c>
      <c r="DG3" s="19">
        <v>864.45000000000027</v>
      </c>
      <c r="DH3" s="19">
        <f t="shared" ref="DH3:DH17" si="28">DF3-DG3</f>
        <v>75.369999999999777</v>
      </c>
      <c r="DI3" s="20" t="s">
        <v>62</v>
      </c>
      <c r="DJ3" s="21">
        <v>0.32777777777777778</v>
      </c>
      <c r="DL3" s="19">
        <v>2</v>
      </c>
      <c r="DM3" s="19">
        <v>1342.6</v>
      </c>
      <c r="DN3" s="19">
        <f t="shared" ref="DN3:DN17" si="29">(DM3*70)/100</f>
        <v>939.82</v>
      </c>
      <c r="DO3" s="19">
        <v>858.90000000000009</v>
      </c>
      <c r="DP3" s="19">
        <f t="shared" ref="DP3:DP17" si="30">DN3-DO3</f>
        <v>80.919999999999959</v>
      </c>
      <c r="DQ3" s="20" t="s">
        <v>62</v>
      </c>
      <c r="DR3" s="21">
        <v>0.32847222222222222</v>
      </c>
    </row>
    <row r="4" spans="1:122" x14ac:dyDescent="0.25">
      <c r="A4" s="11">
        <v>3</v>
      </c>
      <c r="B4" s="11">
        <v>1413.6000000000001</v>
      </c>
      <c r="C4" s="11">
        <f t="shared" si="0"/>
        <v>989.5200000000001</v>
      </c>
      <c r="D4" s="11">
        <v>987.43999999999983</v>
      </c>
      <c r="E4" s="11">
        <f t="shared" si="1"/>
        <v>2.0800000000002683</v>
      </c>
      <c r="F4" s="17"/>
      <c r="G4" s="11"/>
      <c r="I4" s="19">
        <v>3</v>
      </c>
      <c r="J4" s="19">
        <v>1413.6000000000001</v>
      </c>
      <c r="K4" s="19">
        <f t="shared" si="2"/>
        <v>989.5200000000001</v>
      </c>
      <c r="L4" s="19">
        <v>840.54000000000019</v>
      </c>
      <c r="M4" s="19">
        <f t="shared" si="3"/>
        <v>148.9799999999999</v>
      </c>
      <c r="N4" s="25">
        <v>120</v>
      </c>
      <c r="O4" s="20"/>
      <c r="P4" s="19"/>
      <c r="R4" s="11">
        <v>3</v>
      </c>
      <c r="S4" s="11">
        <v>1413.6000000000001</v>
      </c>
      <c r="T4" s="11">
        <f t="shared" si="4"/>
        <v>989.5200000000001</v>
      </c>
      <c r="U4" s="11">
        <v>882.29000000000019</v>
      </c>
      <c r="V4" s="11">
        <f t="shared" si="5"/>
        <v>107.2299999999999</v>
      </c>
      <c r="W4" s="25"/>
      <c r="AA4" s="19">
        <v>3</v>
      </c>
      <c r="AB4" s="19">
        <v>1413.6000000000001</v>
      </c>
      <c r="AC4" s="19">
        <f t="shared" si="6"/>
        <v>989.5200000000001</v>
      </c>
      <c r="AD4" s="19">
        <v>792.08999999999992</v>
      </c>
      <c r="AE4" s="19">
        <f t="shared" si="7"/>
        <v>197.43000000000018</v>
      </c>
      <c r="AF4" s="19">
        <f t="shared" si="8"/>
        <v>122.43000000000018</v>
      </c>
      <c r="AG4" s="20"/>
      <c r="AH4" s="19"/>
      <c r="AJ4" s="19">
        <v>3</v>
      </c>
      <c r="AK4" s="19">
        <v>1413.6000000000001</v>
      </c>
      <c r="AL4" s="19">
        <f t="shared" si="9"/>
        <v>989.5200000000001</v>
      </c>
      <c r="AM4" s="19">
        <v>686.97</v>
      </c>
      <c r="AN4" s="19">
        <f t="shared" si="10"/>
        <v>302.55000000000007</v>
      </c>
      <c r="AO4" s="20" t="s">
        <v>63</v>
      </c>
      <c r="AP4" s="21">
        <v>0.38333333333333336</v>
      </c>
      <c r="AR4" s="19">
        <v>3</v>
      </c>
      <c r="AS4" s="19">
        <v>1413.6000000000001</v>
      </c>
      <c r="AT4" s="19">
        <f t="shared" si="11"/>
        <v>989.5200000000001</v>
      </c>
      <c r="AU4" s="19">
        <v>821.97</v>
      </c>
      <c r="AV4" s="19">
        <f t="shared" si="12"/>
        <v>167.55000000000007</v>
      </c>
      <c r="AW4" s="20" t="s">
        <v>63</v>
      </c>
      <c r="AX4" s="21">
        <v>0.68055555555555558</v>
      </c>
      <c r="AZ4" s="19">
        <v>3</v>
      </c>
      <c r="BA4" s="19">
        <v>1413.6000000000001</v>
      </c>
      <c r="BB4" s="19">
        <f t="shared" si="13"/>
        <v>989.5200000000001</v>
      </c>
      <c r="BC4" s="19">
        <v>890.51</v>
      </c>
      <c r="BD4" s="19">
        <f t="shared" si="14"/>
        <v>99.010000000000105</v>
      </c>
      <c r="BE4" s="20" t="s">
        <v>63</v>
      </c>
      <c r="BF4" s="21">
        <v>0.37569444444444444</v>
      </c>
      <c r="BH4" s="19">
        <v>3</v>
      </c>
      <c r="BI4" s="19">
        <v>1413.6000000000001</v>
      </c>
      <c r="BJ4" s="19">
        <f t="shared" si="15"/>
        <v>989.5200000000001</v>
      </c>
      <c r="BK4" s="19">
        <v>808.96000000000026</v>
      </c>
      <c r="BL4" s="19">
        <f t="shared" si="16"/>
        <v>180.55999999999983</v>
      </c>
      <c r="BM4" s="20" t="s">
        <v>63</v>
      </c>
      <c r="BN4" s="21">
        <v>0.39791666666666664</v>
      </c>
      <c r="BP4" s="19">
        <v>3</v>
      </c>
      <c r="BQ4" s="19">
        <v>1413.6000000000001</v>
      </c>
      <c r="BR4" s="19">
        <f t="shared" si="17"/>
        <v>989.5200000000001</v>
      </c>
      <c r="BS4" s="19">
        <v>729.79000000000019</v>
      </c>
      <c r="BT4" s="19">
        <f t="shared" si="18"/>
        <v>259.7299999999999</v>
      </c>
      <c r="BU4" s="20" t="s">
        <v>63</v>
      </c>
      <c r="BV4" s="21">
        <v>0.60833333333333328</v>
      </c>
      <c r="BX4" s="19">
        <v>3</v>
      </c>
      <c r="BY4" s="19">
        <v>1413.6000000000001</v>
      </c>
      <c r="BZ4" s="19">
        <f t="shared" si="19"/>
        <v>989.5200000000001</v>
      </c>
      <c r="CA4" s="19">
        <v>739.74</v>
      </c>
      <c r="CB4" s="19">
        <f t="shared" si="20"/>
        <v>249.78000000000009</v>
      </c>
      <c r="CC4" s="20" t="s">
        <v>63</v>
      </c>
      <c r="CD4" s="21">
        <v>0.65277777777777779</v>
      </c>
      <c r="CF4" s="19">
        <v>3</v>
      </c>
      <c r="CG4" s="19">
        <v>1413.6000000000001</v>
      </c>
      <c r="CH4" s="19">
        <f t="shared" si="21"/>
        <v>989.5200000000001</v>
      </c>
      <c r="CI4" s="19">
        <v>711.91999999999985</v>
      </c>
      <c r="CJ4" s="19">
        <f t="shared" si="22"/>
        <v>277.60000000000025</v>
      </c>
      <c r="CK4" s="20" t="s">
        <v>63</v>
      </c>
      <c r="CL4" s="21"/>
      <c r="CN4" s="19">
        <v>3</v>
      </c>
      <c r="CO4" s="19">
        <v>1413.6000000000001</v>
      </c>
      <c r="CP4" s="19">
        <f t="shared" si="23"/>
        <v>989.5200000000001</v>
      </c>
      <c r="CQ4" s="19">
        <v>855.62000000000012</v>
      </c>
      <c r="CR4" s="19">
        <f t="shared" si="24"/>
        <v>133.89999999999998</v>
      </c>
      <c r="CS4" s="20" t="s">
        <v>63</v>
      </c>
      <c r="CT4" s="21">
        <v>0.4513888888888889</v>
      </c>
      <c r="CV4" s="19">
        <v>3</v>
      </c>
      <c r="CW4" s="19">
        <v>1413.6000000000001</v>
      </c>
      <c r="CX4" s="19">
        <f t="shared" si="25"/>
        <v>989.5200000000001</v>
      </c>
      <c r="CY4" s="19">
        <v>690.8</v>
      </c>
      <c r="CZ4" s="19">
        <f t="shared" si="26"/>
        <v>298.72000000000014</v>
      </c>
      <c r="DA4" s="20" t="s">
        <v>63</v>
      </c>
      <c r="DB4" s="21">
        <v>0.58333333333333337</v>
      </c>
      <c r="DD4" s="19">
        <v>3</v>
      </c>
      <c r="DE4" s="19">
        <v>1413.6000000000001</v>
      </c>
      <c r="DF4" s="19">
        <f t="shared" si="27"/>
        <v>989.5200000000001</v>
      </c>
      <c r="DG4" s="19">
        <v>896.96000000000026</v>
      </c>
      <c r="DH4" s="19">
        <f t="shared" si="28"/>
        <v>92.559999999999832</v>
      </c>
      <c r="DI4" s="20" t="s">
        <v>63</v>
      </c>
      <c r="DJ4" s="21">
        <v>0.34097222222222223</v>
      </c>
      <c r="DL4" s="19">
        <v>3</v>
      </c>
      <c r="DM4" s="19">
        <v>1413.6000000000001</v>
      </c>
      <c r="DN4" s="19">
        <f t="shared" si="29"/>
        <v>989.5200000000001</v>
      </c>
      <c r="DO4" s="19">
        <v>898.46000000000026</v>
      </c>
      <c r="DP4" s="19">
        <f t="shared" si="30"/>
        <v>91.059999999999832</v>
      </c>
      <c r="DQ4" s="20" t="s">
        <v>63</v>
      </c>
      <c r="DR4" s="21">
        <v>0.33958333333333335</v>
      </c>
    </row>
    <row r="5" spans="1:122" x14ac:dyDescent="0.25">
      <c r="A5" s="11">
        <v>4</v>
      </c>
      <c r="B5" s="11">
        <v>1556.6000000000001</v>
      </c>
      <c r="C5" s="11">
        <f t="shared" si="0"/>
        <v>1089.6200000000001</v>
      </c>
      <c r="D5" s="11">
        <v>1084.2300000000002</v>
      </c>
      <c r="E5" s="11">
        <f t="shared" si="1"/>
        <v>5.3899999999998727</v>
      </c>
      <c r="F5" s="17"/>
      <c r="G5" s="11"/>
      <c r="I5" s="19">
        <v>4</v>
      </c>
      <c r="J5" s="19">
        <v>1556.6000000000001</v>
      </c>
      <c r="K5" s="19">
        <f t="shared" si="2"/>
        <v>1089.6200000000001</v>
      </c>
      <c r="L5" s="19">
        <v>923.43000000000006</v>
      </c>
      <c r="M5" s="19">
        <f t="shared" si="3"/>
        <v>166.19000000000005</v>
      </c>
      <c r="N5" s="25">
        <v>120</v>
      </c>
      <c r="O5" s="20"/>
      <c r="P5" s="19"/>
      <c r="R5" s="11">
        <v>4</v>
      </c>
      <c r="S5" s="11">
        <v>1556.6000000000001</v>
      </c>
      <c r="T5" s="11">
        <f t="shared" si="4"/>
        <v>1089.6200000000001</v>
      </c>
      <c r="U5" s="11">
        <v>955.48000000000025</v>
      </c>
      <c r="V5" s="11">
        <f t="shared" si="5"/>
        <v>134.13999999999987</v>
      </c>
      <c r="W5" s="25"/>
      <c r="AA5" s="19">
        <v>4</v>
      </c>
      <c r="AB5" s="19">
        <v>1556.6000000000001</v>
      </c>
      <c r="AC5" s="19">
        <f t="shared" si="6"/>
        <v>1089.6200000000001</v>
      </c>
      <c r="AD5" s="19">
        <v>859.21000000000026</v>
      </c>
      <c r="AE5" s="19">
        <f t="shared" si="7"/>
        <v>230.40999999999985</v>
      </c>
      <c r="AF5" s="19">
        <f t="shared" si="8"/>
        <v>155.40999999999985</v>
      </c>
      <c r="AG5" s="20"/>
      <c r="AH5" s="19"/>
      <c r="AJ5" s="19">
        <v>4</v>
      </c>
      <c r="AK5" s="19">
        <v>1556.6000000000001</v>
      </c>
      <c r="AL5" s="19">
        <f t="shared" si="9"/>
        <v>1089.6200000000001</v>
      </c>
      <c r="AM5" s="19">
        <v>777.6400000000001</v>
      </c>
      <c r="AN5" s="19">
        <f t="shared" si="10"/>
        <v>311.98</v>
      </c>
      <c r="AO5" s="20"/>
      <c r="AP5" s="19"/>
      <c r="AR5" s="19">
        <v>4</v>
      </c>
      <c r="AS5" s="19">
        <v>1556.6000000000001</v>
      </c>
      <c r="AT5" s="19">
        <f t="shared" si="11"/>
        <v>1089.6200000000001</v>
      </c>
      <c r="AU5" s="19">
        <v>905.29000000000019</v>
      </c>
      <c r="AV5" s="19">
        <f t="shared" si="12"/>
        <v>184.32999999999993</v>
      </c>
      <c r="AW5" s="20"/>
      <c r="AX5" s="19"/>
      <c r="AZ5" s="19">
        <v>4</v>
      </c>
      <c r="BA5" s="19">
        <v>1556.6000000000001</v>
      </c>
      <c r="BB5" s="19">
        <f t="shared" si="13"/>
        <v>1089.6200000000001</v>
      </c>
      <c r="BC5" s="19">
        <v>995.50000000000023</v>
      </c>
      <c r="BD5" s="19">
        <f t="shared" si="14"/>
        <v>94.119999999999891</v>
      </c>
      <c r="BE5" s="20"/>
      <c r="BF5" s="19"/>
      <c r="BH5" s="19">
        <v>4</v>
      </c>
      <c r="BI5" s="19">
        <v>1556.6000000000001</v>
      </c>
      <c r="BJ5" s="19">
        <f t="shared" si="15"/>
        <v>1089.6200000000001</v>
      </c>
      <c r="BK5" s="19">
        <v>908.1400000000001</v>
      </c>
      <c r="BL5" s="19">
        <f t="shared" si="16"/>
        <v>181.48000000000002</v>
      </c>
      <c r="BM5" s="20"/>
      <c r="BN5" s="19"/>
      <c r="BP5" s="19">
        <v>4</v>
      </c>
      <c r="BQ5" s="19">
        <v>1556.6000000000001</v>
      </c>
      <c r="BR5" s="19">
        <f t="shared" si="17"/>
        <v>1089.6200000000001</v>
      </c>
      <c r="BS5" s="19">
        <v>834.16000000000008</v>
      </c>
      <c r="BT5" s="19">
        <f t="shared" si="18"/>
        <v>255.46000000000004</v>
      </c>
      <c r="BU5" s="20"/>
      <c r="BV5" s="19"/>
      <c r="BX5" s="19">
        <v>4</v>
      </c>
      <c r="BY5" s="19">
        <v>1556.6000000000001</v>
      </c>
      <c r="BZ5" s="19">
        <f t="shared" si="19"/>
        <v>1089.6200000000001</v>
      </c>
      <c r="CA5" s="19">
        <v>843.62999999999988</v>
      </c>
      <c r="CB5" s="19">
        <f t="shared" si="20"/>
        <v>245.99000000000024</v>
      </c>
      <c r="CC5" s="20"/>
      <c r="CD5" s="19"/>
      <c r="CF5" s="19">
        <v>4</v>
      </c>
      <c r="CG5" s="19">
        <v>1556.6000000000001</v>
      </c>
      <c r="CH5" s="19">
        <f t="shared" si="21"/>
        <v>1089.6200000000001</v>
      </c>
      <c r="CI5" s="19">
        <v>822.39999999999986</v>
      </c>
      <c r="CJ5" s="19">
        <f t="shared" si="22"/>
        <v>267.22000000000025</v>
      </c>
      <c r="CK5" s="20"/>
      <c r="CL5" s="19"/>
      <c r="CN5" s="19">
        <v>4</v>
      </c>
      <c r="CO5" s="19">
        <v>1556.6000000000001</v>
      </c>
      <c r="CP5" s="19">
        <f t="shared" si="23"/>
        <v>1089.6200000000001</v>
      </c>
      <c r="CQ5" s="19">
        <v>955.12000000000012</v>
      </c>
      <c r="CR5" s="19">
        <f t="shared" si="24"/>
        <v>134.5</v>
      </c>
      <c r="CS5" s="20"/>
      <c r="CT5" s="19"/>
      <c r="CV5" s="19">
        <v>4</v>
      </c>
      <c r="CW5" s="19">
        <v>1556.6000000000001</v>
      </c>
      <c r="CX5" s="19">
        <f t="shared" si="25"/>
        <v>1089.6200000000001</v>
      </c>
      <c r="CY5" s="19">
        <v>809.89999999999986</v>
      </c>
      <c r="CZ5" s="19">
        <f t="shared" si="26"/>
        <v>279.72000000000025</v>
      </c>
      <c r="DA5" s="20"/>
      <c r="DB5" s="19"/>
      <c r="DD5" s="19">
        <v>4</v>
      </c>
      <c r="DE5" s="19">
        <v>1556.6000000000001</v>
      </c>
      <c r="DF5" s="19">
        <f t="shared" si="27"/>
        <v>1089.6200000000001</v>
      </c>
      <c r="DG5" s="19">
        <v>962.71000000000026</v>
      </c>
      <c r="DH5" s="19">
        <f t="shared" si="28"/>
        <v>126.90999999999985</v>
      </c>
      <c r="DI5" s="20"/>
      <c r="DJ5" s="19"/>
      <c r="DL5" s="19">
        <v>4</v>
      </c>
      <c r="DM5" s="19">
        <v>1556.6000000000001</v>
      </c>
      <c r="DN5" s="19">
        <f t="shared" si="29"/>
        <v>1089.6200000000001</v>
      </c>
      <c r="DO5" s="19">
        <v>988.49</v>
      </c>
      <c r="DP5" s="19">
        <f t="shared" si="30"/>
        <v>101.13000000000011</v>
      </c>
      <c r="DQ5" s="20"/>
      <c r="DR5" s="19"/>
    </row>
    <row r="6" spans="1:122" x14ac:dyDescent="0.25">
      <c r="A6" s="11">
        <v>5</v>
      </c>
      <c r="B6" s="11">
        <v>1545.4</v>
      </c>
      <c r="C6" s="11">
        <f t="shared" si="0"/>
        <v>1081.78</v>
      </c>
      <c r="D6" s="11">
        <v>1164.94</v>
      </c>
      <c r="E6" s="11">
        <f t="shared" si="1"/>
        <v>-83.160000000000082</v>
      </c>
      <c r="F6" s="17"/>
      <c r="G6" s="11"/>
      <c r="I6" s="11">
        <v>5</v>
      </c>
      <c r="J6" s="11">
        <v>1545.4</v>
      </c>
      <c r="K6" s="11">
        <f t="shared" si="2"/>
        <v>1081.78</v>
      </c>
      <c r="L6" s="11">
        <v>1036.06</v>
      </c>
      <c r="M6" s="11">
        <f t="shared" si="3"/>
        <v>45.720000000000027</v>
      </c>
      <c r="N6" s="25"/>
      <c r="O6" s="17"/>
      <c r="P6" s="11"/>
      <c r="R6" s="11">
        <v>5</v>
      </c>
      <c r="S6" s="11">
        <v>1545.4</v>
      </c>
      <c r="T6" s="11">
        <f t="shared" si="4"/>
        <v>1081.78</v>
      </c>
      <c r="U6" s="11">
        <v>965.36999999999989</v>
      </c>
      <c r="V6" s="11">
        <f t="shared" si="5"/>
        <v>116.41000000000008</v>
      </c>
      <c r="W6" s="25"/>
      <c r="AA6" s="19">
        <v>5</v>
      </c>
      <c r="AB6" s="19">
        <v>1545.4</v>
      </c>
      <c r="AC6" s="19">
        <f t="shared" si="6"/>
        <v>1081.78</v>
      </c>
      <c r="AD6" s="19">
        <v>898.34999999999991</v>
      </c>
      <c r="AE6" s="19">
        <f t="shared" si="7"/>
        <v>183.43000000000006</v>
      </c>
      <c r="AF6" s="19">
        <f t="shared" si="8"/>
        <v>108.43000000000006</v>
      </c>
      <c r="AG6" s="20"/>
      <c r="AH6" s="19"/>
      <c r="AJ6" s="19">
        <v>5</v>
      </c>
      <c r="AK6" s="19">
        <v>1545.4</v>
      </c>
      <c r="AL6" s="19">
        <f t="shared" si="9"/>
        <v>1081.78</v>
      </c>
      <c r="AM6" s="19">
        <v>834.81</v>
      </c>
      <c r="AN6" s="19">
        <f t="shared" si="10"/>
        <v>246.97000000000003</v>
      </c>
      <c r="AO6" s="20"/>
      <c r="AP6" s="19"/>
      <c r="AR6" s="19">
        <v>5</v>
      </c>
      <c r="AS6" s="19">
        <v>1545.4</v>
      </c>
      <c r="AT6" s="19">
        <f t="shared" si="11"/>
        <v>1081.78</v>
      </c>
      <c r="AU6" s="19">
        <v>919.02</v>
      </c>
      <c r="AV6" s="19">
        <f t="shared" si="12"/>
        <v>162.76</v>
      </c>
      <c r="AW6" s="20"/>
      <c r="AX6" s="19"/>
      <c r="AZ6" s="19">
        <v>5</v>
      </c>
      <c r="BA6" s="19">
        <v>1545.4</v>
      </c>
      <c r="BB6" s="19">
        <f t="shared" si="13"/>
        <v>1081.78</v>
      </c>
      <c r="BC6" s="19">
        <v>997.33999999999969</v>
      </c>
      <c r="BD6" s="19">
        <f t="shared" si="14"/>
        <v>84.440000000000282</v>
      </c>
      <c r="BE6" s="20"/>
      <c r="BF6" s="19"/>
      <c r="BH6" s="19">
        <v>5</v>
      </c>
      <c r="BI6" s="19">
        <v>1545.4</v>
      </c>
      <c r="BJ6" s="19">
        <f t="shared" si="15"/>
        <v>1081.78</v>
      </c>
      <c r="BK6" s="19">
        <v>929.38000000000011</v>
      </c>
      <c r="BL6" s="19">
        <f t="shared" si="16"/>
        <v>152.39999999999986</v>
      </c>
      <c r="BM6" s="20"/>
      <c r="BN6" s="19"/>
      <c r="BP6" s="19">
        <v>5</v>
      </c>
      <c r="BQ6" s="19">
        <v>1545.4</v>
      </c>
      <c r="BR6" s="19">
        <f t="shared" si="17"/>
        <v>1081.78</v>
      </c>
      <c r="BS6" s="19">
        <v>871.13000000000011</v>
      </c>
      <c r="BT6" s="19">
        <f t="shared" si="18"/>
        <v>210.64999999999986</v>
      </c>
      <c r="BU6" s="20"/>
      <c r="BV6" s="19"/>
      <c r="BX6" s="19">
        <v>5</v>
      </c>
      <c r="BY6" s="19">
        <v>1545.4</v>
      </c>
      <c r="BZ6" s="19">
        <f t="shared" si="19"/>
        <v>1081.78</v>
      </c>
      <c r="CA6" s="19">
        <v>888.67000000000007</v>
      </c>
      <c r="CB6" s="19">
        <f t="shared" si="20"/>
        <v>193.1099999999999</v>
      </c>
      <c r="CC6" s="20"/>
      <c r="CD6" s="19"/>
      <c r="CF6" s="19">
        <v>5</v>
      </c>
      <c r="CG6" s="19">
        <v>1545.4</v>
      </c>
      <c r="CH6" s="19">
        <f t="shared" si="21"/>
        <v>1081.78</v>
      </c>
      <c r="CI6" s="19">
        <v>865.23</v>
      </c>
      <c r="CJ6" s="19">
        <f t="shared" si="22"/>
        <v>216.54999999999995</v>
      </c>
      <c r="CK6" s="20"/>
      <c r="CL6" s="19"/>
      <c r="CN6" s="19">
        <v>5</v>
      </c>
      <c r="CO6" s="19">
        <v>1545.4</v>
      </c>
      <c r="CP6" s="19">
        <f t="shared" si="23"/>
        <v>1081.78</v>
      </c>
      <c r="CQ6" s="19">
        <v>990.90000000000009</v>
      </c>
      <c r="CR6" s="19">
        <f t="shared" si="24"/>
        <v>90.879999999999882</v>
      </c>
      <c r="CS6" s="20"/>
      <c r="CT6" s="19"/>
      <c r="CV6" s="19">
        <v>5</v>
      </c>
      <c r="CW6" s="19">
        <v>1545.4</v>
      </c>
      <c r="CX6" s="19">
        <f t="shared" si="25"/>
        <v>1081.78</v>
      </c>
      <c r="CY6" s="19">
        <v>850.65000000000009</v>
      </c>
      <c r="CZ6" s="19">
        <f t="shared" si="26"/>
        <v>231.12999999999988</v>
      </c>
      <c r="DA6" s="20"/>
      <c r="DB6" s="19"/>
      <c r="DD6" s="19">
        <v>5</v>
      </c>
      <c r="DE6" s="19">
        <v>1545.4</v>
      </c>
      <c r="DF6" s="19">
        <f t="shared" si="27"/>
        <v>1081.78</v>
      </c>
      <c r="DG6" s="19">
        <v>1010.71</v>
      </c>
      <c r="DH6" s="19">
        <f t="shared" si="28"/>
        <v>71.069999999999936</v>
      </c>
      <c r="DI6" s="20"/>
      <c r="DJ6" s="19"/>
      <c r="DL6" s="19">
        <v>5</v>
      </c>
      <c r="DM6" s="19">
        <v>1545.4</v>
      </c>
      <c r="DN6" s="19">
        <f t="shared" si="29"/>
        <v>1081.78</v>
      </c>
      <c r="DO6" s="19">
        <v>1020.98</v>
      </c>
      <c r="DP6" s="19">
        <f t="shared" si="30"/>
        <v>60.799999999999955</v>
      </c>
      <c r="DQ6" s="20"/>
      <c r="DR6" s="19"/>
    </row>
    <row r="7" spans="1:122" x14ac:dyDescent="0.25">
      <c r="A7" s="11">
        <v>6</v>
      </c>
      <c r="B7" s="11">
        <v>1440.1999999999998</v>
      </c>
      <c r="C7" s="11">
        <f t="shared" si="0"/>
        <v>1008.1399999999999</v>
      </c>
      <c r="D7" s="11">
        <v>1086.79</v>
      </c>
      <c r="E7" s="11">
        <f t="shared" si="1"/>
        <v>-78.650000000000091</v>
      </c>
      <c r="F7" s="17"/>
      <c r="G7" s="11"/>
      <c r="I7" s="11">
        <v>6</v>
      </c>
      <c r="J7" s="11">
        <v>1440.1999999999998</v>
      </c>
      <c r="K7" s="11">
        <f t="shared" si="2"/>
        <v>1008.1399999999999</v>
      </c>
      <c r="L7" s="11">
        <v>965.75</v>
      </c>
      <c r="M7" s="11">
        <f t="shared" si="3"/>
        <v>42.389999999999873</v>
      </c>
      <c r="N7" s="25"/>
      <c r="O7" s="17"/>
      <c r="P7" s="11"/>
      <c r="R7" s="11">
        <v>6</v>
      </c>
      <c r="S7" s="11">
        <v>1440.1999999999998</v>
      </c>
      <c r="T7" s="11">
        <f t="shared" si="4"/>
        <v>1008.1399999999999</v>
      </c>
      <c r="U7" s="11">
        <v>894.2800000000002</v>
      </c>
      <c r="V7" s="11">
        <f t="shared" si="5"/>
        <v>113.85999999999967</v>
      </c>
      <c r="W7" s="25"/>
      <c r="AA7" s="19">
        <v>6</v>
      </c>
      <c r="AB7" s="19">
        <v>1440.1999999999998</v>
      </c>
      <c r="AC7" s="19">
        <f t="shared" si="6"/>
        <v>1008.1399999999999</v>
      </c>
      <c r="AD7" s="19">
        <v>825.13999999999987</v>
      </c>
      <c r="AE7" s="19">
        <f t="shared" si="7"/>
        <v>183</v>
      </c>
      <c r="AF7" s="19">
        <f t="shared" si="8"/>
        <v>108</v>
      </c>
      <c r="AG7" s="20"/>
      <c r="AH7" s="19"/>
      <c r="AJ7" s="19">
        <v>6</v>
      </c>
      <c r="AK7" s="19">
        <v>1440.1999999999998</v>
      </c>
      <c r="AL7" s="19">
        <f t="shared" si="9"/>
        <v>1008.1399999999999</v>
      </c>
      <c r="AM7" s="19">
        <v>759.27</v>
      </c>
      <c r="AN7" s="19">
        <f t="shared" si="10"/>
        <v>248.86999999999989</v>
      </c>
      <c r="AO7" s="20"/>
      <c r="AP7" s="19"/>
      <c r="AR7" s="19">
        <v>6</v>
      </c>
      <c r="AS7" s="19">
        <v>1440.1999999999998</v>
      </c>
      <c r="AT7" s="19">
        <f t="shared" si="11"/>
        <v>1008.1399999999999</v>
      </c>
      <c r="AU7" s="19">
        <v>826.2199999999998</v>
      </c>
      <c r="AV7" s="19">
        <f t="shared" si="12"/>
        <v>181.92000000000007</v>
      </c>
      <c r="AW7" s="20"/>
      <c r="AX7" s="19"/>
      <c r="AZ7" s="19">
        <v>6</v>
      </c>
      <c r="BA7" s="19">
        <v>1440.1999999999998</v>
      </c>
      <c r="BB7" s="19">
        <f t="shared" si="13"/>
        <v>1008.1399999999999</v>
      </c>
      <c r="BC7" s="19">
        <v>911.96</v>
      </c>
      <c r="BD7" s="19">
        <f t="shared" si="14"/>
        <v>96.179999999999836</v>
      </c>
      <c r="BE7" s="20"/>
      <c r="BF7" s="19"/>
      <c r="BH7" s="19">
        <v>6</v>
      </c>
      <c r="BI7" s="19">
        <v>1440.1999999999998</v>
      </c>
      <c r="BJ7" s="19">
        <f t="shared" si="15"/>
        <v>1008.1399999999999</v>
      </c>
      <c r="BK7" s="19">
        <v>842.77</v>
      </c>
      <c r="BL7" s="19">
        <f t="shared" si="16"/>
        <v>165.36999999999989</v>
      </c>
      <c r="BM7" s="20"/>
      <c r="BN7" s="19"/>
      <c r="BP7" s="19">
        <v>6</v>
      </c>
      <c r="BQ7" s="19">
        <v>1440.1999999999998</v>
      </c>
      <c r="BR7" s="19">
        <f t="shared" si="17"/>
        <v>1008.1399999999999</v>
      </c>
      <c r="BS7" s="19">
        <v>773.36999999999989</v>
      </c>
      <c r="BT7" s="19">
        <f t="shared" si="18"/>
        <v>234.76999999999998</v>
      </c>
      <c r="BU7" s="20"/>
      <c r="BV7" s="19"/>
      <c r="BX7" s="19">
        <v>6</v>
      </c>
      <c r="BY7" s="19">
        <v>1440.1999999999998</v>
      </c>
      <c r="BZ7" s="19">
        <f t="shared" si="19"/>
        <v>1008.1399999999999</v>
      </c>
      <c r="CA7" s="19">
        <v>789.88000000000011</v>
      </c>
      <c r="CB7" s="19">
        <f t="shared" si="20"/>
        <v>218.25999999999976</v>
      </c>
      <c r="CC7" s="20"/>
      <c r="CD7" s="19"/>
      <c r="CF7" s="19">
        <v>6</v>
      </c>
      <c r="CG7" s="19">
        <v>1440.1999999999998</v>
      </c>
      <c r="CH7" s="19">
        <f t="shared" si="21"/>
        <v>1008.1399999999999</v>
      </c>
      <c r="CI7" s="19">
        <v>766.86999999999989</v>
      </c>
      <c r="CJ7" s="19">
        <f t="shared" si="22"/>
        <v>241.26999999999998</v>
      </c>
      <c r="CK7" s="20"/>
      <c r="CL7" s="19"/>
      <c r="CN7" s="19">
        <v>6</v>
      </c>
      <c r="CO7" s="19">
        <v>1440.1999999999998</v>
      </c>
      <c r="CP7" s="19">
        <f t="shared" si="23"/>
        <v>1008.1399999999999</v>
      </c>
      <c r="CQ7" s="19">
        <v>885.13999999999987</v>
      </c>
      <c r="CR7" s="19">
        <f t="shared" si="24"/>
        <v>123</v>
      </c>
      <c r="CS7" s="20"/>
      <c r="CT7" s="19"/>
      <c r="CV7" s="19">
        <v>6</v>
      </c>
      <c r="CW7" s="19">
        <v>1440.1999999999998</v>
      </c>
      <c r="CX7" s="19">
        <f t="shared" si="25"/>
        <v>1008.1399999999999</v>
      </c>
      <c r="CY7" s="19">
        <v>746.23</v>
      </c>
      <c r="CZ7" s="19">
        <f t="shared" si="26"/>
        <v>261.90999999999985</v>
      </c>
      <c r="DA7" s="20"/>
      <c r="DB7" s="19"/>
      <c r="DD7" s="19">
        <v>6</v>
      </c>
      <c r="DE7" s="19">
        <v>1440.1999999999998</v>
      </c>
      <c r="DF7" s="19">
        <f t="shared" si="27"/>
        <v>1008.1399999999999</v>
      </c>
      <c r="DG7" s="19">
        <v>917.54</v>
      </c>
      <c r="DH7" s="19">
        <f t="shared" si="28"/>
        <v>90.599999999999909</v>
      </c>
      <c r="DI7" s="20"/>
      <c r="DJ7" s="19"/>
      <c r="DL7" s="19">
        <v>6</v>
      </c>
      <c r="DM7" s="19">
        <v>1440.1999999999998</v>
      </c>
      <c r="DN7" s="19">
        <f t="shared" si="29"/>
        <v>1008.1399999999999</v>
      </c>
      <c r="DO7" s="19">
        <v>943.55000000000018</v>
      </c>
      <c r="DP7" s="19">
        <f t="shared" si="30"/>
        <v>64.589999999999691</v>
      </c>
      <c r="DQ7" s="20"/>
      <c r="DR7" s="19"/>
    </row>
    <row r="8" spans="1:122" x14ac:dyDescent="0.25">
      <c r="A8" s="11">
        <v>7</v>
      </c>
      <c r="B8" s="11">
        <v>1343.2700000000002</v>
      </c>
      <c r="C8" s="11">
        <f t="shared" si="0"/>
        <v>940.2890000000001</v>
      </c>
      <c r="D8" s="11">
        <v>874.53</v>
      </c>
      <c r="E8" s="11">
        <f t="shared" si="1"/>
        <v>65.759000000000128</v>
      </c>
      <c r="F8" s="17"/>
      <c r="G8" s="11"/>
      <c r="I8" s="19">
        <v>7</v>
      </c>
      <c r="J8" s="19">
        <v>1343.2700000000002</v>
      </c>
      <c r="K8" s="19">
        <f t="shared" si="2"/>
        <v>940.2890000000001</v>
      </c>
      <c r="L8" s="19">
        <v>745.41999999999985</v>
      </c>
      <c r="M8" s="19">
        <f t="shared" si="3"/>
        <v>194.86900000000026</v>
      </c>
      <c r="N8" s="25">
        <v>120</v>
      </c>
      <c r="O8" s="20"/>
      <c r="P8" s="19"/>
      <c r="R8" s="19">
        <v>7</v>
      </c>
      <c r="S8" s="19">
        <v>1343.2700000000002</v>
      </c>
      <c r="T8" s="19">
        <f t="shared" si="4"/>
        <v>940.2890000000001</v>
      </c>
      <c r="U8" s="19">
        <v>787.45</v>
      </c>
      <c r="V8" s="19">
        <f t="shared" si="5"/>
        <v>152.83900000000006</v>
      </c>
      <c r="W8" s="25">
        <v>50</v>
      </c>
      <c r="X8" s="27"/>
      <c r="Y8" s="27"/>
      <c r="AA8" s="19">
        <v>7</v>
      </c>
      <c r="AB8" s="19">
        <v>1343.2700000000002</v>
      </c>
      <c r="AC8" s="19">
        <f t="shared" si="6"/>
        <v>940.2890000000001</v>
      </c>
      <c r="AD8" s="19">
        <v>751.31000000000017</v>
      </c>
      <c r="AE8" s="19">
        <f t="shared" si="7"/>
        <v>188.97899999999993</v>
      </c>
      <c r="AF8" s="19">
        <f t="shared" si="8"/>
        <v>113.97899999999993</v>
      </c>
      <c r="AG8" s="20"/>
      <c r="AH8" s="19"/>
      <c r="AJ8" s="19">
        <v>7</v>
      </c>
      <c r="AK8" s="19">
        <v>1343.2700000000002</v>
      </c>
      <c r="AL8" s="19">
        <f t="shared" si="9"/>
        <v>940.2890000000001</v>
      </c>
      <c r="AM8" s="19">
        <v>634.18999999999983</v>
      </c>
      <c r="AN8" s="19">
        <f t="shared" si="10"/>
        <v>306.09900000000027</v>
      </c>
      <c r="AO8" s="20"/>
      <c r="AP8" s="19"/>
      <c r="AR8" s="19">
        <v>7</v>
      </c>
      <c r="AS8" s="19">
        <v>1343.2700000000002</v>
      </c>
      <c r="AT8" s="19">
        <f t="shared" si="11"/>
        <v>940.2890000000001</v>
      </c>
      <c r="AU8" s="19">
        <v>783.91999999999985</v>
      </c>
      <c r="AV8" s="19">
        <f t="shared" si="12"/>
        <v>156.36900000000026</v>
      </c>
      <c r="AW8" s="20"/>
      <c r="AX8" s="19"/>
      <c r="AZ8" s="19">
        <v>7</v>
      </c>
      <c r="BA8" s="19">
        <v>1343.2700000000002</v>
      </c>
      <c r="BB8" s="19">
        <f t="shared" si="13"/>
        <v>940.2890000000001</v>
      </c>
      <c r="BC8" s="19">
        <v>841.29000000000019</v>
      </c>
      <c r="BD8" s="19">
        <f t="shared" si="14"/>
        <v>98.99899999999991</v>
      </c>
      <c r="BE8" s="20"/>
      <c r="BF8" s="19"/>
      <c r="BH8" s="19">
        <v>7</v>
      </c>
      <c r="BI8" s="19">
        <v>1343.2700000000002</v>
      </c>
      <c r="BJ8" s="19">
        <f t="shared" si="15"/>
        <v>940.2890000000001</v>
      </c>
      <c r="BK8" s="19">
        <v>768.05</v>
      </c>
      <c r="BL8" s="19">
        <f t="shared" si="16"/>
        <v>172.23900000000015</v>
      </c>
      <c r="BM8" s="20"/>
      <c r="BN8" s="19"/>
      <c r="BP8" s="19">
        <v>7</v>
      </c>
      <c r="BQ8" s="19">
        <v>1343.2700000000002</v>
      </c>
      <c r="BR8" s="19">
        <f t="shared" si="17"/>
        <v>940.2890000000001</v>
      </c>
      <c r="BS8" s="19">
        <v>694.68000000000006</v>
      </c>
      <c r="BT8" s="19">
        <f t="shared" si="18"/>
        <v>245.60900000000004</v>
      </c>
      <c r="BU8" s="20"/>
      <c r="BV8" s="19"/>
      <c r="BX8" s="19">
        <v>7</v>
      </c>
      <c r="BY8" s="19">
        <v>1343.2700000000002</v>
      </c>
      <c r="BZ8" s="19">
        <f t="shared" si="19"/>
        <v>940.2890000000001</v>
      </c>
      <c r="CA8" s="19">
        <v>712.12000000000012</v>
      </c>
      <c r="CB8" s="19">
        <f t="shared" si="20"/>
        <v>228.16899999999998</v>
      </c>
      <c r="CC8" s="20"/>
      <c r="CD8" s="19"/>
      <c r="CF8" s="19">
        <v>7</v>
      </c>
      <c r="CG8" s="19">
        <v>1343.2700000000002</v>
      </c>
      <c r="CH8" s="19">
        <f t="shared" si="21"/>
        <v>940.2890000000001</v>
      </c>
      <c r="CI8" s="19">
        <v>684.24</v>
      </c>
      <c r="CJ8" s="19">
        <f t="shared" si="22"/>
        <v>256.04900000000009</v>
      </c>
      <c r="CK8" s="20"/>
      <c r="CL8" s="19"/>
      <c r="CN8" s="19">
        <v>7</v>
      </c>
      <c r="CO8" s="19">
        <v>1343.2700000000002</v>
      </c>
      <c r="CP8" s="19">
        <f t="shared" si="23"/>
        <v>940.2890000000001</v>
      </c>
      <c r="CQ8" s="19">
        <v>783.98000000000025</v>
      </c>
      <c r="CR8" s="19">
        <f t="shared" si="24"/>
        <v>156.30899999999986</v>
      </c>
      <c r="CS8" s="20"/>
      <c r="CT8" s="19"/>
      <c r="CV8" s="19">
        <v>7</v>
      </c>
      <c r="CW8" s="19">
        <v>1343.2700000000002</v>
      </c>
      <c r="CX8" s="19">
        <f t="shared" si="25"/>
        <v>940.2890000000001</v>
      </c>
      <c r="CY8" s="19">
        <v>652.39999999999986</v>
      </c>
      <c r="CZ8" s="19">
        <f t="shared" si="26"/>
        <v>287.88900000000024</v>
      </c>
      <c r="DA8" s="20"/>
      <c r="DB8" s="19"/>
      <c r="DD8" s="19">
        <v>7</v>
      </c>
      <c r="DE8" s="19">
        <v>1343.2700000000002</v>
      </c>
      <c r="DF8" s="19">
        <f t="shared" si="27"/>
        <v>940.2890000000001</v>
      </c>
      <c r="DG8" s="19">
        <v>865.33000000000015</v>
      </c>
      <c r="DH8" s="19">
        <f t="shared" si="28"/>
        <v>74.958999999999946</v>
      </c>
      <c r="DI8" s="20"/>
      <c r="DJ8" s="19"/>
      <c r="DL8" s="19">
        <v>7</v>
      </c>
      <c r="DM8" s="19">
        <v>1343.2700000000002</v>
      </c>
      <c r="DN8" s="19">
        <f t="shared" si="29"/>
        <v>940.2890000000001</v>
      </c>
      <c r="DO8" s="19">
        <v>859.02000000000021</v>
      </c>
      <c r="DP8" s="19">
        <f t="shared" si="30"/>
        <v>81.268999999999892</v>
      </c>
      <c r="DQ8" s="20"/>
      <c r="DR8" s="19"/>
    </row>
    <row r="9" spans="1:122" x14ac:dyDescent="0.25">
      <c r="A9" s="19">
        <v>8</v>
      </c>
      <c r="B9" s="19">
        <v>1348.7999999999997</v>
      </c>
      <c r="C9" s="19">
        <f t="shared" si="0"/>
        <v>944.15999999999985</v>
      </c>
      <c r="D9" s="19">
        <v>796.2199999999998</v>
      </c>
      <c r="E9" s="19">
        <f>C9-D9</f>
        <v>147.94000000000005</v>
      </c>
      <c r="F9" s="21">
        <v>0.3576388888888889</v>
      </c>
      <c r="G9" s="19"/>
      <c r="I9" s="19">
        <v>8</v>
      </c>
      <c r="J9" s="19">
        <v>1348.7999999999997</v>
      </c>
      <c r="K9" s="19">
        <f t="shared" si="2"/>
        <v>944.15999999999985</v>
      </c>
      <c r="L9" s="19">
        <v>746.13999999999987</v>
      </c>
      <c r="M9" s="19">
        <f t="shared" si="3"/>
        <v>198.01999999999998</v>
      </c>
      <c r="N9" s="25">
        <v>120</v>
      </c>
      <c r="O9" s="20"/>
      <c r="P9" s="19"/>
      <c r="R9" s="19">
        <v>8</v>
      </c>
      <c r="S9" s="19">
        <v>1348.7999999999997</v>
      </c>
      <c r="T9" s="19">
        <f t="shared" si="4"/>
        <v>944.15999999999985</v>
      </c>
      <c r="U9" s="19">
        <v>769.67000000000007</v>
      </c>
      <c r="V9" s="19">
        <f t="shared" si="5"/>
        <v>174.48999999999978</v>
      </c>
      <c r="W9" s="25">
        <v>50</v>
      </c>
      <c r="X9" s="27"/>
      <c r="Y9" s="27"/>
      <c r="AA9" s="19">
        <v>8</v>
      </c>
      <c r="AB9" s="19">
        <v>1348.7999999999997</v>
      </c>
      <c r="AC9" s="19">
        <f t="shared" si="6"/>
        <v>944.15999999999985</v>
      </c>
      <c r="AD9" s="19">
        <v>712.44</v>
      </c>
      <c r="AE9" s="19">
        <f t="shared" si="7"/>
        <v>231.7199999999998</v>
      </c>
      <c r="AF9" s="19">
        <f t="shared" si="8"/>
        <v>156.7199999999998</v>
      </c>
      <c r="AG9" s="21"/>
      <c r="AH9" s="19"/>
      <c r="AJ9" s="19">
        <v>8</v>
      </c>
      <c r="AK9" s="19">
        <v>1348.7999999999997</v>
      </c>
      <c r="AL9" s="19">
        <f t="shared" si="9"/>
        <v>944.15999999999985</v>
      </c>
      <c r="AM9" s="19">
        <v>617.75999999999976</v>
      </c>
      <c r="AN9" s="19">
        <f t="shared" si="10"/>
        <v>326.40000000000009</v>
      </c>
      <c r="AO9" s="21"/>
      <c r="AP9" s="19"/>
      <c r="AR9" s="19">
        <v>8</v>
      </c>
      <c r="AS9" s="19">
        <v>1348.7999999999997</v>
      </c>
      <c r="AT9" s="19">
        <f t="shared" si="11"/>
        <v>944.15999999999985</v>
      </c>
      <c r="AU9" s="19">
        <v>807.02</v>
      </c>
      <c r="AV9" s="19">
        <f t="shared" si="12"/>
        <v>137.13999999999987</v>
      </c>
      <c r="AW9" s="21"/>
      <c r="AX9" s="19"/>
      <c r="AZ9" s="19">
        <v>8</v>
      </c>
      <c r="BA9" s="19">
        <v>1348.7999999999997</v>
      </c>
      <c r="BB9" s="19">
        <f t="shared" si="13"/>
        <v>944.15999999999985</v>
      </c>
      <c r="BC9" s="19">
        <v>862.38000000000011</v>
      </c>
      <c r="BD9" s="19">
        <f t="shared" si="14"/>
        <v>81.779999999999745</v>
      </c>
      <c r="BE9" s="21"/>
      <c r="BF9" s="19"/>
      <c r="BH9" s="19">
        <v>8</v>
      </c>
      <c r="BI9" s="19">
        <v>1348.7999999999997</v>
      </c>
      <c r="BJ9" s="19">
        <f t="shared" si="15"/>
        <v>944.15999999999985</v>
      </c>
      <c r="BK9" s="19">
        <v>780</v>
      </c>
      <c r="BL9" s="19">
        <f t="shared" si="16"/>
        <v>164.15999999999985</v>
      </c>
      <c r="BM9" s="21"/>
      <c r="BN9" s="19"/>
      <c r="BP9" s="19">
        <v>8</v>
      </c>
      <c r="BQ9" s="19">
        <v>1348.7999999999997</v>
      </c>
      <c r="BR9" s="19">
        <f t="shared" si="17"/>
        <v>944.15999999999985</v>
      </c>
      <c r="BS9" s="19">
        <v>701.52999999999975</v>
      </c>
      <c r="BT9" s="19">
        <f t="shared" si="18"/>
        <v>242.63000000000011</v>
      </c>
      <c r="BU9" s="21"/>
      <c r="BV9" s="19"/>
      <c r="BX9" s="19">
        <v>8</v>
      </c>
      <c r="BY9" s="19">
        <v>1348.7999999999997</v>
      </c>
      <c r="BZ9" s="19">
        <f t="shared" si="19"/>
        <v>944.15999999999985</v>
      </c>
      <c r="CA9" s="19">
        <v>714.13000000000011</v>
      </c>
      <c r="CB9" s="19">
        <f t="shared" si="20"/>
        <v>230.02999999999975</v>
      </c>
      <c r="CC9" s="21"/>
      <c r="CD9" s="19"/>
      <c r="CF9" s="19">
        <v>8</v>
      </c>
      <c r="CG9" s="19">
        <v>1348.7999999999997</v>
      </c>
      <c r="CH9" s="19">
        <f t="shared" si="21"/>
        <v>944.15999999999985</v>
      </c>
      <c r="CI9" s="19">
        <v>681.07999999999993</v>
      </c>
      <c r="CJ9" s="19">
        <f t="shared" si="22"/>
        <v>263.07999999999993</v>
      </c>
      <c r="CK9" s="21"/>
      <c r="CL9" s="19"/>
      <c r="CN9" s="19">
        <v>8</v>
      </c>
      <c r="CO9" s="19">
        <v>1348.7999999999997</v>
      </c>
      <c r="CP9" s="19">
        <f t="shared" si="23"/>
        <v>944.15999999999985</v>
      </c>
      <c r="CQ9" s="19">
        <v>780.92999999999984</v>
      </c>
      <c r="CR9" s="19">
        <f t="shared" si="24"/>
        <v>163.23000000000002</v>
      </c>
      <c r="CS9" s="21"/>
      <c r="CT9" s="19"/>
      <c r="CV9" s="19">
        <v>8</v>
      </c>
      <c r="CW9" s="19">
        <v>1348.7999999999997</v>
      </c>
      <c r="CX9" s="19">
        <f t="shared" si="25"/>
        <v>944.15999999999985</v>
      </c>
      <c r="CY9" s="19">
        <v>660.52</v>
      </c>
      <c r="CZ9" s="19">
        <f t="shared" si="26"/>
        <v>283.63999999999987</v>
      </c>
      <c r="DA9" s="21"/>
      <c r="DB9" s="19"/>
      <c r="DD9" s="19">
        <v>8</v>
      </c>
      <c r="DE9" s="19">
        <v>1348.7999999999997</v>
      </c>
      <c r="DF9" s="19">
        <f t="shared" si="27"/>
        <v>944.15999999999985</v>
      </c>
      <c r="DG9" s="19">
        <v>807.79</v>
      </c>
      <c r="DH9" s="19">
        <f t="shared" si="28"/>
        <v>136.36999999999989</v>
      </c>
      <c r="DI9" s="21"/>
      <c r="DJ9" s="19"/>
      <c r="DL9" s="19">
        <v>8</v>
      </c>
      <c r="DM9" s="19">
        <v>1348.7999999999997</v>
      </c>
      <c r="DN9" s="19">
        <f t="shared" si="29"/>
        <v>944.15999999999985</v>
      </c>
      <c r="DO9" s="19">
        <v>817.88999999999987</v>
      </c>
      <c r="DP9" s="19">
        <f t="shared" si="30"/>
        <v>126.26999999999998</v>
      </c>
      <c r="DQ9" s="21"/>
      <c r="DR9" s="19"/>
    </row>
    <row r="10" spans="1:122" x14ac:dyDescent="0.25">
      <c r="A10" s="11">
        <v>9</v>
      </c>
      <c r="B10" s="11">
        <v>1360.4</v>
      </c>
      <c r="C10" s="11">
        <f t="shared" si="0"/>
        <v>952.28</v>
      </c>
      <c r="D10" s="11">
        <v>893.69</v>
      </c>
      <c r="E10" s="11">
        <f t="shared" si="1"/>
        <v>58.589999999999918</v>
      </c>
      <c r="F10" s="17"/>
      <c r="G10" s="11"/>
      <c r="I10" s="19">
        <v>9</v>
      </c>
      <c r="J10" s="19">
        <v>1360.4</v>
      </c>
      <c r="K10" s="19">
        <f t="shared" si="2"/>
        <v>952.28</v>
      </c>
      <c r="L10" s="19">
        <v>746.46</v>
      </c>
      <c r="M10" s="19">
        <f t="shared" si="3"/>
        <v>205.81999999999994</v>
      </c>
      <c r="N10" s="25">
        <v>120</v>
      </c>
      <c r="O10" s="20"/>
      <c r="P10" s="19"/>
      <c r="R10" s="19">
        <v>9</v>
      </c>
      <c r="S10" s="19">
        <v>1360.4</v>
      </c>
      <c r="T10" s="19">
        <f t="shared" si="4"/>
        <v>952.28</v>
      </c>
      <c r="U10" s="19">
        <v>783.9699999999998</v>
      </c>
      <c r="V10" s="19">
        <f t="shared" si="5"/>
        <v>168.31000000000017</v>
      </c>
      <c r="W10" s="25">
        <v>50</v>
      </c>
      <c r="X10" s="27"/>
      <c r="Y10" s="27"/>
      <c r="AA10" s="19">
        <v>9</v>
      </c>
      <c r="AB10" s="19">
        <v>1360.4</v>
      </c>
      <c r="AC10" s="19">
        <f t="shared" si="6"/>
        <v>952.28</v>
      </c>
      <c r="AD10" s="19">
        <v>742.67000000000007</v>
      </c>
      <c r="AE10" s="19">
        <f t="shared" si="7"/>
        <v>209.6099999999999</v>
      </c>
      <c r="AF10" s="19">
        <f t="shared" si="8"/>
        <v>134.6099999999999</v>
      </c>
      <c r="AG10" s="20"/>
      <c r="AH10" s="19"/>
      <c r="AJ10" s="19">
        <v>9</v>
      </c>
      <c r="AK10" s="19">
        <v>1360.4</v>
      </c>
      <c r="AL10" s="19">
        <f t="shared" si="9"/>
        <v>952.28</v>
      </c>
      <c r="AM10" s="19">
        <v>641.92999999999984</v>
      </c>
      <c r="AN10" s="19">
        <f t="shared" si="10"/>
        <v>310.35000000000014</v>
      </c>
      <c r="AO10" s="20"/>
      <c r="AP10" s="19"/>
      <c r="AR10" s="19">
        <v>9</v>
      </c>
      <c r="AS10" s="19">
        <v>1360.4</v>
      </c>
      <c r="AT10" s="19">
        <f t="shared" si="11"/>
        <v>952.28</v>
      </c>
      <c r="AU10" s="19">
        <v>792.48</v>
      </c>
      <c r="AV10" s="19">
        <f t="shared" si="12"/>
        <v>159.79999999999995</v>
      </c>
      <c r="AW10" s="20"/>
      <c r="AX10" s="19"/>
      <c r="AZ10" s="19">
        <v>9</v>
      </c>
      <c r="BA10" s="19">
        <v>1360.4</v>
      </c>
      <c r="BB10" s="19">
        <f t="shared" si="13"/>
        <v>952.28</v>
      </c>
      <c r="BC10" s="19">
        <v>865.29999999999973</v>
      </c>
      <c r="BD10" s="19">
        <f t="shared" si="14"/>
        <v>86.980000000000246</v>
      </c>
      <c r="BE10" s="20"/>
      <c r="BF10" s="19"/>
      <c r="BH10" s="19">
        <v>9</v>
      </c>
      <c r="BI10" s="19">
        <v>1360.4</v>
      </c>
      <c r="BJ10" s="19">
        <f t="shared" si="15"/>
        <v>952.28</v>
      </c>
      <c r="BK10" s="19">
        <v>790.19999999999982</v>
      </c>
      <c r="BL10" s="19">
        <f t="shared" si="16"/>
        <v>162.08000000000015</v>
      </c>
      <c r="BM10" s="20"/>
      <c r="BN10" s="19"/>
      <c r="BP10" s="19">
        <v>9</v>
      </c>
      <c r="BQ10" s="19">
        <v>1360.4</v>
      </c>
      <c r="BR10" s="19">
        <f t="shared" si="17"/>
        <v>952.28</v>
      </c>
      <c r="BS10" s="19">
        <v>720.32999999999993</v>
      </c>
      <c r="BT10" s="19">
        <f t="shared" si="18"/>
        <v>231.95000000000005</v>
      </c>
      <c r="BU10" s="20"/>
      <c r="BV10" s="19"/>
      <c r="BX10" s="19">
        <v>9</v>
      </c>
      <c r="BY10" s="19">
        <v>1360.4</v>
      </c>
      <c r="BZ10" s="19">
        <f t="shared" si="19"/>
        <v>952.28</v>
      </c>
      <c r="CA10" s="19">
        <v>733.02999999999975</v>
      </c>
      <c r="CB10" s="19">
        <f t="shared" si="20"/>
        <v>219.25000000000023</v>
      </c>
      <c r="CC10" s="20"/>
      <c r="CD10" s="19"/>
      <c r="CF10" s="19">
        <v>9</v>
      </c>
      <c r="CG10" s="19">
        <v>1360.4</v>
      </c>
      <c r="CH10" s="19">
        <f t="shared" si="21"/>
        <v>952.28</v>
      </c>
      <c r="CI10" s="19">
        <v>699.27</v>
      </c>
      <c r="CJ10" s="19">
        <f t="shared" si="22"/>
        <v>253.01</v>
      </c>
      <c r="CK10" s="20"/>
      <c r="CL10" s="19"/>
      <c r="CN10" s="19">
        <v>9</v>
      </c>
      <c r="CO10" s="19">
        <v>1360.4</v>
      </c>
      <c r="CP10" s="19">
        <f t="shared" si="23"/>
        <v>952.28</v>
      </c>
      <c r="CQ10" s="19">
        <v>810.48</v>
      </c>
      <c r="CR10" s="19">
        <f t="shared" si="24"/>
        <v>141.79999999999995</v>
      </c>
      <c r="CS10" s="20"/>
      <c r="CT10" s="19"/>
      <c r="CV10" s="19">
        <v>9</v>
      </c>
      <c r="CW10" s="19">
        <v>1360.4</v>
      </c>
      <c r="CX10" s="19">
        <f t="shared" si="25"/>
        <v>952.28</v>
      </c>
      <c r="CY10" s="19">
        <v>677.15999999999985</v>
      </c>
      <c r="CZ10" s="19">
        <f t="shared" si="26"/>
        <v>275.12000000000012</v>
      </c>
      <c r="DA10" s="20"/>
      <c r="DB10" s="19"/>
      <c r="DD10" s="19">
        <v>9</v>
      </c>
      <c r="DE10" s="19">
        <v>1360.4</v>
      </c>
      <c r="DF10" s="19">
        <f t="shared" si="27"/>
        <v>952.28</v>
      </c>
      <c r="DG10" s="19">
        <v>833.82999999999993</v>
      </c>
      <c r="DH10" s="19">
        <f t="shared" si="28"/>
        <v>118.45000000000005</v>
      </c>
      <c r="DI10" s="20"/>
      <c r="DJ10" s="19"/>
      <c r="DL10" s="19">
        <v>9</v>
      </c>
      <c r="DM10" s="19">
        <v>1360.4</v>
      </c>
      <c r="DN10" s="19">
        <f t="shared" si="29"/>
        <v>952.28</v>
      </c>
      <c r="DO10" s="19">
        <v>846.81999999999971</v>
      </c>
      <c r="DP10" s="19">
        <f t="shared" si="30"/>
        <v>105.46000000000026</v>
      </c>
      <c r="DQ10" s="20"/>
      <c r="DR10" s="19"/>
    </row>
    <row r="11" spans="1:122" x14ac:dyDescent="0.25">
      <c r="A11" s="11">
        <v>10</v>
      </c>
      <c r="B11" s="11">
        <v>1266.6999999999998</v>
      </c>
      <c r="C11" s="11">
        <f t="shared" si="0"/>
        <v>886.68999999999983</v>
      </c>
      <c r="D11" s="11">
        <v>967.73</v>
      </c>
      <c r="E11" s="11">
        <f t="shared" si="1"/>
        <v>-81.040000000000191</v>
      </c>
      <c r="F11" s="17"/>
      <c r="G11" s="11"/>
      <c r="I11" s="11">
        <v>10</v>
      </c>
      <c r="J11" s="11">
        <v>1266.6999999999998</v>
      </c>
      <c r="K11" s="11">
        <f t="shared" si="2"/>
        <v>886.68999999999983</v>
      </c>
      <c r="L11" s="11">
        <v>881.08999999999969</v>
      </c>
      <c r="M11" s="11">
        <f t="shared" si="3"/>
        <v>5.6000000000001364</v>
      </c>
      <c r="N11" s="25"/>
      <c r="O11" s="17"/>
      <c r="P11" s="11"/>
      <c r="R11" s="11">
        <v>10</v>
      </c>
      <c r="S11" s="11">
        <v>1266.6999999999998</v>
      </c>
      <c r="T11" s="11">
        <f t="shared" si="4"/>
        <v>886.68999999999983</v>
      </c>
      <c r="U11" s="11">
        <v>829.75</v>
      </c>
      <c r="V11" s="11">
        <f t="shared" si="5"/>
        <v>56.939999999999827</v>
      </c>
      <c r="W11" s="25"/>
      <c r="AA11" s="19">
        <v>10</v>
      </c>
      <c r="AB11" s="19">
        <v>1266.6999999999998</v>
      </c>
      <c r="AC11" s="19">
        <f t="shared" si="6"/>
        <v>886.68999999999983</v>
      </c>
      <c r="AD11" s="19">
        <v>774.33999999999969</v>
      </c>
      <c r="AE11" s="19">
        <f t="shared" si="7"/>
        <v>112.35000000000014</v>
      </c>
      <c r="AF11" s="19">
        <f t="shared" si="8"/>
        <v>37.350000000000136</v>
      </c>
      <c r="AG11" s="20"/>
      <c r="AH11" s="19"/>
      <c r="AJ11" s="19">
        <v>10</v>
      </c>
      <c r="AK11" s="19">
        <v>1266.6999999999998</v>
      </c>
      <c r="AL11" s="19">
        <f t="shared" si="9"/>
        <v>886.68999999999983</v>
      </c>
      <c r="AM11" s="19">
        <v>672.40999999999985</v>
      </c>
      <c r="AN11" s="19">
        <f t="shared" si="10"/>
        <v>214.27999999999997</v>
      </c>
      <c r="AO11" s="20"/>
      <c r="AP11" s="19"/>
      <c r="AR11" s="19">
        <v>10</v>
      </c>
      <c r="AS11" s="19">
        <v>1266.6999999999998</v>
      </c>
      <c r="AT11" s="19">
        <f t="shared" si="11"/>
        <v>886.68999999999983</v>
      </c>
      <c r="AU11" s="19">
        <v>745.98</v>
      </c>
      <c r="AV11" s="19">
        <f t="shared" si="12"/>
        <v>140.70999999999981</v>
      </c>
      <c r="AW11" s="20"/>
      <c r="AX11" s="19"/>
      <c r="AZ11" s="19">
        <v>10</v>
      </c>
      <c r="BA11" s="19">
        <v>1266.6999999999998</v>
      </c>
      <c r="BB11" s="19">
        <f t="shared" si="13"/>
        <v>886.68999999999983</v>
      </c>
      <c r="BC11" s="19">
        <v>807.04</v>
      </c>
      <c r="BD11" s="19">
        <f t="shared" si="14"/>
        <v>79.649999999999864</v>
      </c>
      <c r="BE11" s="20"/>
      <c r="BF11" s="19"/>
      <c r="BH11" s="19">
        <v>10</v>
      </c>
      <c r="BI11" s="19">
        <v>1266.6999999999998</v>
      </c>
      <c r="BJ11" s="19">
        <f t="shared" si="15"/>
        <v>886.68999999999983</v>
      </c>
      <c r="BK11" s="19">
        <v>752.9699999999998</v>
      </c>
      <c r="BL11" s="19">
        <f t="shared" si="16"/>
        <v>133.72000000000003</v>
      </c>
      <c r="BM11" s="20"/>
      <c r="BN11" s="19"/>
      <c r="BP11" s="19">
        <v>10</v>
      </c>
      <c r="BQ11" s="19">
        <v>1266.6999999999998</v>
      </c>
      <c r="BR11" s="19">
        <f t="shared" si="17"/>
        <v>886.68999999999983</v>
      </c>
      <c r="BS11" s="19">
        <v>678.54</v>
      </c>
      <c r="BT11" s="19">
        <f t="shared" si="18"/>
        <v>208.14999999999986</v>
      </c>
      <c r="BU11" s="20"/>
      <c r="BV11" s="19"/>
      <c r="BX11" s="19">
        <v>10</v>
      </c>
      <c r="BY11" s="19">
        <v>1266.6999999999998</v>
      </c>
      <c r="BZ11" s="19">
        <f t="shared" si="19"/>
        <v>886.68999999999983</v>
      </c>
      <c r="CA11" s="19">
        <v>704.08999999999969</v>
      </c>
      <c r="CB11" s="19">
        <f t="shared" si="20"/>
        <v>182.60000000000014</v>
      </c>
      <c r="CC11" s="20"/>
      <c r="CD11" s="19"/>
      <c r="CF11" s="19">
        <v>10</v>
      </c>
      <c r="CG11" s="19">
        <v>1266.6999999999998</v>
      </c>
      <c r="CH11" s="19">
        <f t="shared" si="21"/>
        <v>886.68999999999983</v>
      </c>
      <c r="CI11" s="19">
        <v>665.52999999999975</v>
      </c>
      <c r="CJ11" s="19">
        <f t="shared" si="22"/>
        <v>221.16000000000008</v>
      </c>
      <c r="CK11" s="20"/>
      <c r="CL11" s="19"/>
      <c r="CN11" s="19">
        <v>10</v>
      </c>
      <c r="CO11" s="19">
        <v>1266.6999999999998</v>
      </c>
      <c r="CP11" s="19">
        <f t="shared" si="23"/>
        <v>886.68999999999983</v>
      </c>
      <c r="CQ11" s="19">
        <v>761.69999999999982</v>
      </c>
      <c r="CR11" s="19">
        <f t="shared" si="24"/>
        <v>124.99000000000001</v>
      </c>
      <c r="CS11" s="20"/>
      <c r="CT11" s="19"/>
      <c r="CV11" s="19">
        <v>10</v>
      </c>
      <c r="CW11" s="19">
        <v>1266.6999999999998</v>
      </c>
      <c r="CX11" s="19">
        <f t="shared" si="25"/>
        <v>886.68999999999983</v>
      </c>
      <c r="CY11" s="19">
        <v>623.90999999999985</v>
      </c>
      <c r="CZ11" s="19">
        <f t="shared" si="26"/>
        <v>262.77999999999997</v>
      </c>
      <c r="DA11" s="20"/>
      <c r="DB11" s="19"/>
      <c r="DD11" s="19">
        <v>10</v>
      </c>
      <c r="DE11" s="19">
        <v>1266.6999999999998</v>
      </c>
      <c r="DF11" s="19">
        <f t="shared" si="27"/>
        <v>886.68999999999983</v>
      </c>
      <c r="DG11" s="19">
        <v>792.81999999999971</v>
      </c>
      <c r="DH11" s="19">
        <f t="shared" si="28"/>
        <v>93.870000000000118</v>
      </c>
      <c r="DI11" s="20"/>
      <c r="DJ11" s="19"/>
      <c r="DL11" s="19">
        <v>10</v>
      </c>
      <c r="DM11" s="19">
        <v>1266.6999999999998</v>
      </c>
      <c r="DN11" s="19">
        <f t="shared" si="29"/>
        <v>886.68999999999983</v>
      </c>
      <c r="DO11" s="19">
        <v>777.46</v>
      </c>
      <c r="DP11" s="19">
        <f t="shared" si="30"/>
        <v>109.22999999999979</v>
      </c>
      <c r="DQ11" s="20"/>
      <c r="DR11" s="19"/>
    </row>
    <row r="12" spans="1:122" x14ac:dyDescent="0.25">
      <c r="A12" s="11">
        <v>11</v>
      </c>
      <c r="B12" s="11">
        <v>1390.9</v>
      </c>
      <c r="C12" s="11">
        <f t="shared" si="0"/>
        <v>973.63</v>
      </c>
      <c r="D12" s="11">
        <v>1043.1100000000001</v>
      </c>
      <c r="E12" s="11">
        <f t="shared" si="1"/>
        <v>-69.480000000000132</v>
      </c>
      <c r="F12" s="17"/>
      <c r="G12" s="11"/>
      <c r="I12" s="11">
        <v>11</v>
      </c>
      <c r="J12" s="11">
        <v>1390.9</v>
      </c>
      <c r="K12" s="11">
        <f t="shared" si="2"/>
        <v>973.63</v>
      </c>
      <c r="L12" s="11">
        <v>904.34000000000015</v>
      </c>
      <c r="M12" s="11">
        <f t="shared" si="3"/>
        <v>69.28999999999985</v>
      </c>
      <c r="N12" s="25"/>
      <c r="O12" s="17"/>
      <c r="P12" s="11"/>
      <c r="R12" s="19">
        <v>11</v>
      </c>
      <c r="S12" s="19">
        <v>1390.9</v>
      </c>
      <c r="T12" s="19">
        <f t="shared" si="4"/>
        <v>973.63</v>
      </c>
      <c r="U12" s="19">
        <v>826.61000000000013</v>
      </c>
      <c r="V12" s="19">
        <f t="shared" si="5"/>
        <v>147.01999999999987</v>
      </c>
      <c r="W12" s="25">
        <v>50</v>
      </c>
      <c r="X12" s="27"/>
      <c r="Y12" s="27"/>
      <c r="AA12" s="19">
        <v>11</v>
      </c>
      <c r="AB12" s="19">
        <v>1390.9</v>
      </c>
      <c r="AC12" s="19">
        <f t="shared" si="6"/>
        <v>973.63</v>
      </c>
      <c r="AD12" s="19">
        <v>798.09999999999991</v>
      </c>
      <c r="AE12" s="19">
        <f t="shared" si="7"/>
        <v>175.53000000000009</v>
      </c>
      <c r="AF12" s="19">
        <f t="shared" si="8"/>
        <v>100.53000000000009</v>
      </c>
      <c r="AG12" s="20"/>
      <c r="AH12" s="19"/>
      <c r="AJ12" s="19">
        <v>11</v>
      </c>
      <c r="AK12" s="19">
        <v>1390.9</v>
      </c>
      <c r="AL12" s="19">
        <f t="shared" si="9"/>
        <v>973.63</v>
      </c>
      <c r="AM12" s="19">
        <v>655.84000000000015</v>
      </c>
      <c r="AN12" s="19">
        <f t="shared" si="10"/>
        <v>317.78999999999985</v>
      </c>
      <c r="AO12" s="20"/>
      <c r="AP12" s="19"/>
      <c r="AR12" s="19">
        <v>11</v>
      </c>
      <c r="AS12" s="19">
        <v>1390.9</v>
      </c>
      <c r="AT12" s="19">
        <f t="shared" si="11"/>
        <v>973.63</v>
      </c>
      <c r="AU12" s="19">
        <v>790.24000000000024</v>
      </c>
      <c r="AV12" s="19">
        <f t="shared" si="12"/>
        <v>183.38999999999976</v>
      </c>
      <c r="AW12" s="20"/>
      <c r="AX12" s="19"/>
      <c r="AZ12" s="19">
        <v>11</v>
      </c>
      <c r="BA12" s="19">
        <v>1390.9</v>
      </c>
      <c r="BB12" s="19">
        <f t="shared" si="13"/>
        <v>973.63</v>
      </c>
      <c r="BC12" s="19">
        <v>872.66000000000031</v>
      </c>
      <c r="BD12" s="19">
        <f t="shared" si="14"/>
        <v>100.96999999999969</v>
      </c>
      <c r="BE12" s="20"/>
      <c r="BF12" s="19"/>
      <c r="BH12" s="19">
        <v>11</v>
      </c>
      <c r="BI12" s="19">
        <v>1390.9</v>
      </c>
      <c r="BJ12" s="19">
        <f t="shared" si="15"/>
        <v>973.63</v>
      </c>
      <c r="BK12" s="19">
        <v>791.75</v>
      </c>
      <c r="BL12" s="19">
        <f t="shared" si="16"/>
        <v>181.88</v>
      </c>
      <c r="BM12" s="20"/>
      <c r="BN12" s="19"/>
      <c r="BP12" s="19">
        <v>11</v>
      </c>
      <c r="BQ12" s="19">
        <v>1390.9</v>
      </c>
      <c r="BR12" s="19">
        <f t="shared" si="17"/>
        <v>973.63</v>
      </c>
      <c r="BS12" s="19">
        <v>706.73</v>
      </c>
      <c r="BT12" s="19">
        <f t="shared" si="18"/>
        <v>266.89999999999998</v>
      </c>
      <c r="BU12" s="20"/>
      <c r="BV12" s="19"/>
      <c r="BX12" s="19">
        <v>11</v>
      </c>
      <c r="BY12" s="19">
        <v>1390.9</v>
      </c>
      <c r="BZ12" s="19">
        <f t="shared" si="19"/>
        <v>973.63</v>
      </c>
      <c r="CA12" s="19">
        <v>725.36000000000013</v>
      </c>
      <c r="CB12" s="19">
        <f t="shared" si="20"/>
        <v>248.26999999999987</v>
      </c>
      <c r="CC12" s="20"/>
      <c r="CD12" s="19"/>
      <c r="CF12" s="19">
        <v>11</v>
      </c>
      <c r="CG12" s="19">
        <v>1390.9</v>
      </c>
      <c r="CH12" s="19">
        <f t="shared" si="21"/>
        <v>973.63</v>
      </c>
      <c r="CI12" s="19">
        <v>691.19</v>
      </c>
      <c r="CJ12" s="19">
        <f t="shared" si="22"/>
        <v>282.43999999999994</v>
      </c>
      <c r="CK12" s="20"/>
      <c r="CL12" s="19"/>
      <c r="CN12" s="19">
        <v>11</v>
      </c>
      <c r="CO12" s="19">
        <v>1390.9</v>
      </c>
      <c r="CP12" s="19">
        <f t="shared" si="23"/>
        <v>973.63</v>
      </c>
      <c r="CQ12" s="19">
        <v>824.69</v>
      </c>
      <c r="CR12" s="19">
        <f t="shared" si="24"/>
        <v>148.93999999999994</v>
      </c>
      <c r="CS12" s="20"/>
      <c r="CT12" s="19"/>
      <c r="CV12" s="19">
        <v>11</v>
      </c>
      <c r="CW12" s="19">
        <v>1390.9</v>
      </c>
      <c r="CX12" s="19">
        <f t="shared" si="25"/>
        <v>973.63</v>
      </c>
      <c r="CY12" s="19">
        <v>669.2800000000002</v>
      </c>
      <c r="CZ12" s="19">
        <f t="shared" si="26"/>
        <v>304.3499999999998</v>
      </c>
      <c r="DA12" s="20"/>
      <c r="DB12" s="19"/>
      <c r="DD12" s="19">
        <v>11</v>
      </c>
      <c r="DE12" s="19">
        <v>1390.9</v>
      </c>
      <c r="DF12" s="19">
        <f t="shared" si="27"/>
        <v>973.63</v>
      </c>
      <c r="DG12" s="19">
        <v>870.63999999999987</v>
      </c>
      <c r="DH12" s="19">
        <f t="shared" si="28"/>
        <v>102.99000000000012</v>
      </c>
      <c r="DI12" s="20"/>
      <c r="DJ12" s="19"/>
      <c r="DL12" s="19">
        <v>11</v>
      </c>
      <c r="DM12" s="19">
        <v>1390.9</v>
      </c>
      <c r="DN12" s="19">
        <f t="shared" si="29"/>
        <v>973.63</v>
      </c>
      <c r="DO12" s="19">
        <v>880.5</v>
      </c>
      <c r="DP12" s="19">
        <f t="shared" si="30"/>
        <v>93.13</v>
      </c>
      <c r="DQ12" s="20"/>
      <c r="DR12" s="19"/>
    </row>
    <row r="13" spans="1:122" x14ac:dyDescent="0.25">
      <c r="A13" s="11">
        <v>12</v>
      </c>
      <c r="B13" s="11">
        <v>1282.6000000000001</v>
      </c>
      <c r="C13" s="11">
        <f t="shared" si="0"/>
        <v>897.82000000000016</v>
      </c>
      <c r="D13" s="11">
        <v>852.89999999999986</v>
      </c>
      <c r="E13" s="11">
        <f t="shared" si="1"/>
        <v>44.9200000000003</v>
      </c>
      <c r="F13" s="17"/>
      <c r="G13" s="11"/>
      <c r="I13" s="19">
        <v>12</v>
      </c>
      <c r="J13" s="19">
        <v>1282.6000000000001</v>
      </c>
      <c r="K13" s="19">
        <f t="shared" si="2"/>
        <v>897.82000000000016</v>
      </c>
      <c r="L13" s="19">
        <v>728.00000000000023</v>
      </c>
      <c r="M13" s="19">
        <f t="shared" si="3"/>
        <v>169.81999999999994</v>
      </c>
      <c r="N13" s="25">
        <v>120</v>
      </c>
      <c r="O13" s="20"/>
      <c r="P13" s="19"/>
      <c r="R13" s="19">
        <v>12</v>
      </c>
      <c r="S13" s="19">
        <v>1282.6000000000001</v>
      </c>
      <c r="T13" s="19">
        <f t="shared" si="4"/>
        <v>897.82000000000016</v>
      </c>
      <c r="U13" s="19">
        <v>769.31000000000017</v>
      </c>
      <c r="V13" s="19">
        <f t="shared" si="5"/>
        <v>128.51</v>
      </c>
      <c r="W13" s="25">
        <v>50</v>
      </c>
      <c r="X13" s="27"/>
      <c r="Y13" s="27"/>
      <c r="AA13" s="19">
        <v>12</v>
      </c>
      <c r="AB13" s="19">
        <v>1282.6000000000001</v>
      </c>
      <c r="AC13" s="19">
        <f t="shared" si="6"/>
        <v>897.82000000000016</v>
      </c>
      <c r="AD13" s="19">
        <v>739.04000000000019</v>
      </c>
      <c r="AE13" s="19">
        <f t="shared" si="7"/>
        <v>158.77999999999997</v>
      </c>
      <c r="AF13" s="19">
        <f t="shared" si="8"/>
        <v>83.779999999999973</v>
      </c>
      <c r="AG13" s="20"/>
      <c r="AH13" s="19"/>
      <c r="AJ13" s="19">
        <v>12</v>
      </c>
      <c r="AK13" s="19">
        <v>1282.6000000000001</v>
      </c>
      <c r="AL13" s="19">
        <f t="shared" si="9"/>
        <v>897.82000000000016</v>
      </c>
      <c r="AM13" s="19">
        <v>587.00000000000023</v>
      </c>
      <c r="AN13" s="19">
        <f t="shared" si="10"/>
        <v>310.81999999999994</v>
      </c>
      <c r="AO13" s="20"/>
      <c r="AP13" s="19"/>
      <c r="AR13" s="19">
        <v>12</v>
      </c>
      <c r="AS13" s="19">
        <v>1282.6000000000001</v>
      </c>
      <c r="AT13" s="19">
        <f t="shared" si="11"/>
        <v>897.82000000000016</v>
      </c>
      <c r="AU13" s="19">
        <v>752.8599999999999</v>
      </c>
      <c r="AV13" s="19">
        <f t="shared" si="12"/>
        <v>144.96000000000026</v>
      </c>
      <c r="AW13" s="20"/>
      <c r="AX13" s="19"/>
      <c r="AZ13" s="19">
        <v>12</v>
      </c>
      <c r="BA13" s="19">
        <v>1282.6000000000001</v>
      </c>
      <c r="BB13" s="19">
        <f t="shared" si="13"/>
        <v>897.82000000000016</v>
      </c>
      <c r="BC13" s="19">
        <v>800.99</v>
      </c>
      <c r="BD13" s="19">
        <f t="shared" si="14"/>
        <v>96.830000000000155</v>
      </c>
      <c r="BE13" s="20"/>
      <c r="BF13" s="19"/>
      <c r="BH13" s="19">
        <v>12</v>
      </c>
      <c r="BI13" s="19">
        <v>1282.6000000000001</v>
      </c>
      <c r="BJ13" s="19">
        <f t="shared" si="15"/>
        <v>897.82000000000016</v>
      </c>
      <c r="BK13" s="19">
        <v>740.31999999999994</v>
      </c>
      <c r="BL13" s="19">
        <f t="shared" si="16"/>
        <v>157.50000000000023</v>
      </c>
      <c r="BM13" s="20"/>
      <c r="BN13" s="19"/>
      <c r="BP13" s="19">
        <v>12</v>
      </c>
      <c r="BQ13" s="19">
        <v>1282.6000000000001</v>
      </c>
      <c r="BR13" s="19">
        <f t="shared" si="17"/>
        <v>897.82000000000016</v>
      </c>
      <c r="BS13" s="19">
        <v>657.22</v>
      </c>
      <c r="BT13" s="19">
        <f t="shared" si="18"/>
        <v>240.60000000000014</v>
      </c>
      <c r="BU13" s="20"/>
      <c r="BV13" s="19"/>
      <c r="BX13" s="19">
        <v>12</v>
      </c>
      <c r="BY13" s="19">
        <v>1282.6000000000001</v>
      </c>
      <c r="BZ13" s="19">
        <f t="shared" si="19"/>
        <v>897.82000000000016</v>
      </c>
      <c r="CA13" s="19">
        <v>675.39999999999986</v>
      </c>
      <c r="CB13" s="19">
        <f t="shared" si="20"/>
        <v>222.4200000000003</v>
      </c>
      <c r="CC13" s="20"/>
      <c r="CD13" s="19"/>
      <c r="CF13" s="19">
        <v>12</v>
      </c>
      <c r="CG13" s="19">
        <v>1282.6000000000001</v>
      </c>
      <c r="CH13" s="19">
        <f t="shared" si="21"/>
        <v>897.82000000000016</v>
      </c>
      <c r="CI13" s="19">
        <v>639.3900000000001</v>
      </c>
      <c r="CJ13" s="19">
        <f t="shared" si="22"/>
        <v>258.43000000000006</v>
      </c>
      <c r="CK13" s="20"/>
      <c r="CL13" s="19"/>
      <c r="CN13" s="19">
        <v>12</v>
      </c>
      <c r="CO13" s="19">
        <v>1282.6000000000001</v>
      </c>
      <c r="CP13" s="19">
        <f t="shared" si="23"/>
        <v>897.82000000000016</v>
      </c>
      <c r="CQ13" s="19">
        <v>746.58999999999992</v>
      </c>
      <c r="CR13" s="19">
        <f t="shared" si="24"/>
        <v>151.23000000000025</v>
      </c>
      <c r="CS13" s="20"/>
      <c r="CT13" s="19"/>
      <c r="CV13" s="19">
        <v>12</v>
      </c>
      <c r="CW13" s="19">
        <v>1282.6000000000001</v>
      </c>
      <c r="CX13" s="19">
        <f t="shared" si="25"/>
        <v>897.82000000000016</v>
      </c>
      <c r="CY13" s="19">
        <v>593.56000000000017</v>
      </c>
      <c r="CZ13" s="19">
        <f t="shared" si="26"/>
        <v>304.26</v>
      </c>
      <c r="DA13" s="20"/>
      <c r="DB13" s="19"/>
      <c r="DD13" s="19">
        <v>12</v>
      </c>
      <c r="DE13" s="19">
        <v>1282.6000000000001</v>
      </c>
      <c r="DF13" s="19">
        <f t="shared" si="27"/>
        <v>897.82000000000016</v>
      </c>
      <c r="DG13" s="19">
        <v>785.47</v>
      </c>
      <c r="DH13" s="19">
        <f t="shared" si="28"/>
        <v>112.35000000000014</v>
      </c>
      <c r="DI13" s="20"/>
      <c r="DJ13" s="19"/>
      <c r="DL13" s="19">
        <v>12</v>
      </c>
      <c r="DM13" s="19">
        <v>1282.6000000000001</v>
      </c>
      <c r="DN13" s="19">
        <f t="shared" si="29"/>
        <v>897.82000000000016</v>
      </c>
      <c r="DO13" s="19">
        <v>785.06000000000017</v>
      </c>
      <c r="DP13" s="19">
        <f t="shared" si="30"/>
        <v>112.75999999999999</v>
      </c>
      <c r="DQ13" s="20"/>
      <c r="DR13" s="19"/>
    </row>
    <row r="14" spans="1:122" x14ac:dyDescent="0.25">
      <c r="A14" s="11">
        <v>13</v>
      </c>
      <c r="B14" s="11">
        <v>1252.1000000000001</v>
      </c>
      <c r="C14" s="11">
        <f t="shared" si="0"/>
        <v>876.47000000000014</v>
      </c>
      <c r="D14" s="11">
        <v>901.37999999999988</v>
      </c>
      <c r="E14" s="11">
        <f t="shared" si="1"/>
        <v>-24.909999999999741</v>
      </c>
      <c r="F14" s="17"/>
      <c r="G14" s="11"/>
      <c r="I14" s="22">
        <v>13</v>
      </c>
      <c r="J14" s="22">
        <v>1252.1000000000001</v>
      </c>
      <c r="K14" s="22">
        <f t="shared" si="2"/>
        <v>876.47000000000014</v>
      </c>
      <c r="L14" s="22">
        <v>755.64999999999986</v>
      </c>
      <c r="M14" s="22">
        <f t="shared" si="3"/>
        <v>120.82000000000028</v>
      </c>
      <c r="N14" s="25">
        <v>100</v>
      </c>
      <c r="O14" s="23"/>
      <c r="P14" s="22"/>
      <c r="R14" s="11">
        <v>13</v>
      </c>
      <c r="S14" s="11">
        <v>1252.1000000000001</v>
      </c>
      <c r="T14" s="11">
        <f t="shared" si="4"/>
        <v>876.47000000000014</v>
      </c>
      <c r="U14" s="11">
        <v>781.93000000000006</v>
      </c>
      <c r="V14" s="11">
        <f t="shared" si="5"/>
        <v>94.540000000000077</v>
      </c>
      <c r="W14" s="25"/>
      <c r="AA14" s="19">
        <v>13</v>
      </c>
      <c r="AB14" s="19">
        <v>1252.1000000000001</v>
      </c>
      <c r="AC14" s="19">
        <f t="shared" si="6"/>
        <v>876.47000000000014</v>
      </c>
      <c r="AD14" s="19">
        <v>687.14999999999986</v>
      </c>
      <c r="AE14" s="19">
        <f t="shared" si="7"/>
        <v>189.32000000000028</v>
      </c>
      <c r="AF14" s="19">
        <f t="shared" si="8"/>
        <v>114.32000000000028</v>
      </c>
      <c r="AG14" s="20"/>
      <c r="AH14" s="19"/>
      <c r="AJ14" s="19">
        <v>13</v>
      </c>
      <c r="AK14" s="19">
        <v>1252.1000000000001</v>
      </c>
      <c r="AL14" s="19">
        <f t="shared" si="9"/>
        <v>876.47000000000014</v>
      </c>
      <c r="AM14" s="19">
        <v>585.87999999999988</v>
      </c>
      <c r="AN14" s="19">
        <f t="shared" si="10"/>
        <v>290.59000000000026</v>
      </c>
      <c r="AO14" s="20"/>
      <c r="AP14" s="19"/>
      <c r="AR14" s="19">
        <v>13</v>
      </c>
      <c r="AS14" s="19">
        <v>1252.1000000000001</v>
      </c>
      <c r="AT14" s="19">
        <f t="shared" si="11"/>
        <v>876.47000000000014</v>
      </c>
      <c r="AU14" s="19">
        <v>718.47999999999979</v>
      </c>
      <c r="AV14" s="19">
        <f t="shared" si="12"/>
        <v>157.99000000000035</v>
      </c>
      <c r="AW14" s="20"/>
      <c r="AX14" s="19"/>
      <c r="AZ14" s="19">
        <v>13</v>
      </c>
      <c r="BA14" s="19">
        <v>1252.1000000000001</v>
      </c>
      <c r="BB14" s="19">
        <f t="shared" si="13"/>
        <v>876.47000000000014</v>
      </c>
      <c r="BC14" s="19">
        <v>776.08999999999992</v>
      </c>
      <c r="BD14" s="19">
        <f t="shared" si="14"/>
        <v>100.38000000000022</v>
      </c>
      <c r="BE14" s="20"/>
      <c r="BF14" s="19"/>
      <c r="BH14" s="19">
        <v>13</v>
      </c>
      <c r="BI14" s="19">
        <v>1252.1000000000001</v>
      </c>
      <c r="BJ14" s="19">
        <f t="shared" si="15"/>
        <v>876.47000000000014</v>
      </c>
      <c r="BK14" s="19">
        <v>692.51</v>
      </c>
      <c r="BL14" s="19">
        <f t="shared" si="16"/>
        <v>183.96000000000015</v>
      </c>
      <c r="BM14" s="20"/>
      <c r="BN14" s="19"/>
      <c r="BP14" s="19">
        <v>13</v>
      </c>
      <c r="BQ14" s="19">
        <v>1252.1000000000001</v>
      </c>
      <c r="BR14" s="19">
        <f t="shared" si="17"/>
        <v>876.47000000000014</v>
      </c>
      <c r="BS14" s="19">
        <v>616.03999999999974</v>
      </c>
      <c r="BT14" s="19">
        <f t="shared" si="18"/>
        <v>260.4300000000004</v>
      </c>
      <c r="BU14" s="20"/>
      <c r="BV14" s="19"/>
      <c r="BX14" s="19">
        <v>13</v>
      </c>
      <c r="BY14" s="19">
        <v>1252.1000000000001</v>
      </c>
      <c r="BZ14" s="19">
        <f t="shared" si="19"/>
        <v>876.47000000000014</v>
      </c>
      <c r="CA14" s="19">
        <v>644.08999999999992</v>
      </c>
      <c r="CB14" s="19">
        <f t="shared" si="20"/>
        <v>232.38000000000022</v>
      </c>
      <c r="CC14" s="20"/>
      <c r="CD14" s="19"/>
      <c r="CF14" s="19">
        <v>13</v>
      </c>
      <c r="CG14" s="19">
        <v>1252.1000000000001</v>
      </c>
      <c r="CH14" s="19">
        <f t="shared" si="21"/>
        <v>876.47000000000014</v>
      </c>
      <c r="CI14" s="19">
        <v>614.26999999999975</v>
      </c>
      <c r="CJ14" s="19">
        <f t="shared" si="22"/>
        <v>262.20000000000039</v>
      </c>
      <c r="CK14" s="20"/>
      <c r="CL14" s="19"/>
      <c r="CN14" s="19">
        <v>13</v>
      </c>
      <c r="CO14" s="19">
        <v>1252.1000000000001</v>
      </c>
      <c r="CP14" s="19">
        <f t="shared" si="23"/>
        <v>876.47000000000014</v>
      </c>
      <c r="CQ14" s="19">
        <v>753.22999999999979</v>
      </c>
      <c r="CR14" s="19">
        <f t="shared" si="24"/>
        <v>123.24000000000035</v>
      </c>
      <c r="CS14" s="20"/>
      <c r="CT14" s="19"/>
      <c r="CV14" s="19">
        <v>13</v>
      </c>
      <c r="CW14" s="19">
        <v>1252.1000000000001</v>
      </c>
      <c r="CX14" s="19">
        <f t="shared" si="25"/>
        <v>876.47000000000014</v>
      </c>
      <c r="CY14" s="19">
        <v>600.81999999999994</v>
      </c>
      <c r="CZ14" s="19">
        <f t="shared" si="26"/>
        <v>275.6500000000002</v>
      </c>
      <c r="DA14" s="20"/>
      <c r="DB14" s="19"/>
      <c r="DD14" s="19">
        <v>13</v>
      </c>
      <c r="DE14" s="19">
        <v>1252.1000000000001</v>
      </c>
      <c r="DF14" s="19">
        <f t="shared" si="27"/>
        <v>876.47000000000014</v>
      </c>
      <c r="DG14" s="19">
        <v>816.6099999999999</v>
      </c>
      <c r="DH14" s="19">
        <f t="shared" si="28"/>
        <v>59.860000000000241</v>
      </c>
      <c r="DI14" s="20"/>
      <c r="DJ14" s="19"/>
      <c r="DL14" s="19">
        <v>13</v>
      </c>
      <c r="DM14" s="19">
        <v>1252.1000000000001</v>
      </c>
      <c r="DN14" s="19">
        <f t="shared" si="29"/>
        <v>876.47000000000014</v>
      </c>
      <c r="DO14" s="19">
        <v>805.78999999999974</v>
      </c>
      <c r="DP14" s="19">
        <f t="shared" si="30"/>
        <v>70.680000000000405</v>
      </c>
      <c r="DQ14" s="20"/>
      <c r="DR14" s="19"/>
    </row>
    <row r="15" spans="1:122" x14ac:dyDescent="0.25">
      <c r="A15" s="11">
        <v>14</v>
      </c>
      <c r="B15" s="11">
        <v>1271.7999999999997</v>
      </c>
      <c r="C15" s="11">
        <f t="shared" si="0"/>
        <v>890.25999999999988</v>
      </c>
      <c r="D15" s="11">
        <v>946.25</v>
      </c>
      <c r="E15" s="11">
        <f t="shared" si="1"/>
        <v>-55.990000000000123</v>
      </c>
      <c r="F15" s="17"/>
      <c r="G15" s="11"/>
      <c r="I15" s="11">
        <v>14</v>
      </c>
      <c r="J15" s="11">
        <v>1271.7999999999997</v>
      </c>
      <c r="K15" s="11">
        <f t="shared" si="2"/>
        <v>890.25999999999988</v>
      </c>
      <c r="L15" s="11">
        <v>852.25</v>
      </c>
      <c r="M15" s="11">
        <f t="shared" si="3"/>
        <v>38.009999999999877</v>
      </c>
      <c r="N15" s="25"/>
      <c r="O15" s="17"/>
      <c r="P15" s="11"/>
      <c r="R15" s="11">
        <v>14</v>
      </c>
      <c r="S15" s="11">
        <v>1271.7999999999997</v>
      </c>
      <c r="T15" s="11">
        <f t="shared" si="4"/>
        <v>890.25999999999988</v>
      </c>
      <c r="U15" s="11">
        <v>794.65999999999985</v>
      </c>
      <c r="V15" s="11">
        <f t="shared" si="5"/>
        <v>95.600000000000023</v>
      </c>
      <c r="W15" s="25"/>
      <c r="AA15" s="19">
        <v>14</v>
      </c>
      <c r="AB15" s="19">
        <v>1271.7999999999997</v>
      </c>
      <c r="AC15" s="19">
        <f t="shared" si="6"/>
        <v>890.25999999999988</v>
      </c>
      <c r="AD15" s="19">
        <v>733.42000000000007</v>
      </c>
      <c r="AE15" s="19">
        <f t="shared" si="7"/>
        <v>156.8399999999998</v>
      </c>
      <c r="AF15" s="19">
        <f t="shared" si="8"/>
        <v>81.839999999999804</v>
      </c>
      <c r="AG15" s="20"/>
      <c r="AH15" s="19"/>
      <c r="AJ15" s="19">
        <v>14</v>
      </c>
      <c r="AK15" s="19">
        <v>1271.7999999999997</v>
      </c>
      <c r="AL15" s="19">
        <f t="shared" si="9"/>
        <v>890.25999999999988</v>
      </c>
      <c r="AM15" s="19">
        <v>641.57999999999993</v>
      </c>
      <c r="AN15" s="19">
        <f t="shared" si="10"/>
        <v>248.67999999999995</v>
      </c>
      <c r="AO15" s="20"/>
      <c r="AP15" s="19"/>
      <c r="AR15" s="19">
        <v>14</v>
      </c>
      <c r="AS15" s="19">
        <v>1271.7999999999997</v>
      </c>
      <c r="AT15" s="19">
        <f t="shared" si="11"/>
        <v>890.25999999999988</v>
      </c>
      <c r="AU15" s="19">
        <v>738.54999999999973</v>
      </c>
      <c r="AV15" s="19">
        <f t="shared" si="12"/>
        <v>151.71000000000015</v>
      </c>
      <c r="AW15" s="20"/>
      <c r="AX15" s="19"/>
      <c r="AZ15" s="19">
        <v>14</v>
      </c>
      <c r="BA15" s="19">
        <v>1271.7999999999997</v>
      </c>
      <c r="BB15" s="19">
        <f t="shared" si="13"/>
        <v>890.25999999999988</v>
      </c>
      <c r="BC15" s="19">
        <v>815.06999999999971</v>
      </c>
      <c r="BD15" s="19">
        <f t="shared" si="14"/>
        <v>75.190000000000168</v>
      </c>
      <c r="BE15" s="20"/>
      <c r="BF15" s="19"/>
      <c r="BH15" s="19">
        <v>14</v>
      </c>
      <c r="BI15" s="19">
        <v>1271.7999999999997</v>
      </c>
      <c r="BJ15" s="19">
        <f t="shared" si="15"/>
        <v>890.25999999999988</v>
      </c>
      <c r="BK15" s="19">
        <v>754.77</v>
      </c>
      <c r="BL15" s="19">
        <f t="shared" si="16"/>
        <v>135.4899999999999</v>
      </c>
      <c r="BM15" s="20"/>
      <c r="BN15" s="19"/>
      <c r="BP15" s="19">
        <v>14</v>
      </c>
      <c r="BQ15" s="19">
        <v>1271.7999999999997</v>
      </c>
      <c r="BR15" s="19">
        <f t="shared" si="17"/>
        <v>890.25999999999988</v>
      </c>
      <c r="BS15" s="19">
        <v>682.94</v>
      </c>
      <c r="BT15" s="19">
        <f t="shared" si="18"/>
        <v>207.31999999999982</v>
      </c>
      <c r="BU15" s="20"/>
      <c r="BV15" s="19"/>
      <c r="BX15" s="19">
        <v>14</v>
      </c>
      <c r="BY15" s="19">
        <v>1271.7999999999997</v>
      </c>
      <c r="BZ15" s="19">
        <f t="shared" si="19"/>
        <v>890.25999999999988</v>
      </c>
      <c r="CA15" s="19">
        <v>690.34999999999991</v>
      </c>
      <c r="CB15" s="19">
        <f t="shared" si="20"/>
        <v>199.90999999999997</v>
      </c>
      <c r="CC15" s="20"/>
      <c r="CD15" s="19"/>
      <c r="CF15" s="19">
        <v>14</v>
      </c>
      <c r="CG15" s="19">
        <v>1271.7999999999997</v>
      </c>
      <c r="CH15" s="19">
        <f t="shared" si="21"/>
        <v>890.25999999999988</v>
      </c>
      <c r="CI15" s="19">
        <v>672.15999999999985</v>
      </c>
      <c r="CJ15" s="19">
        <f t="shared" si="22"/>
        <v>218.10000000000002</v>
      </c>
      <c r="CK15" s="20"/>
      <c r="CL15" s="19"/>
      <c r="CN15" s="19">
        <v>14</v>
      </c>
      <c r="CO15" s="19">
        <v>1271.7999999999997</v>
      </c>
      <c r="CP15" s="19">
        <f t="shared" si="23"/>
        <v>890.25999999999988</v>
      </c>
      <c r="CQ15" s="19">
        <v>759.06999999999971</v>
      </c>
      <c r="CR15" s="19">
        <f t="shared" si="24"/>
        <v>131.19000000000017</v>
      </c>
      <c r="CS15" s="20"/>
      <c r="CT15" s="19"/>
      <c r="CV15" s="19">
        <v>14</v>
      </c>
      <c r="CW15" s="19">
        <v>1271.7999999999997</v>
      </c>
      <c r="CX15" s="19">
        <f t="shared" si="25"/>
        <v>890.25999999999988</v>
      </c>
      <c r="CY15" s="19">
        <v>619.59999999999991</v>
      </c>
      <c r="CZ15" s="19">
        <f t="shared" si="26"/>
        <v>270.65999999999997</v>
      </c>
      <c r="DA15" s="20"/>
      <c r="DB15" s="19"/>
      <c r="DD15" s="19">
        <v>14</v>
      </c>
      <c r="DE15" s="19">
        <v>1271.7999999999997</v>
      </c>
      <c r="DF15" s="19">
        <f t="shared" si="27"/>
        <v>890.25999999999988</v>
      </c>
      <c r="DG15" s="19">
        <v>784.67999999999984</v>
      </c>
      <c r="DH15" s="19">
        <f t="shared" si="28"/>
        <v>105.58000000000004</v>
      </c>
      <c r="DI15" s="20"/>
      <c r="DJ15" s="19"/>
      <c r="DL15" s="19">
        <v>14</v>
      </c>
      <c r="DM15" s="19">
        <v>1271.7999999999997</v>
      </c>
      <c r="DN15" s="19">
        <f t="shared" si="29"/>
        <v>890.25999999999988</v>
      </c>
      <c r="DO15" s="19">
        <v>795.65000000000009</v>
      </c>
      <c r="DP15" s="19">
        <f t="shared" si="30"/>
        <v>94.609999999999786</v>
      </c>
      <c r="DQ15" s="20"/>
      <c r="DR15" s="19"/>
    </row>
    <row r="16" spans="1:122" x14ac:dyDescent="0.25">
      <c r="A16" s="11">
        <v>15</v>
      </c>
      <c r="B16" s="11">
        <v>1187.2</v>
      </c>
      <c r="C16" s="11">
        <f t="shared" si="0"/>
        <v>831.04</v>
      </c>
      <c r="D16" s="11">
        <v>803.76999999999975</v>
      </c>
      <c r="E16" s="11">
        <f t="shared" si="1"/>
        <v>27.270000000000209</v>
      </c>
      <c r="F16" s="17"/>
      <c r="G16" s="11"/>
      <c r="I16" s="19">
        <v>15</v>
      </c>
      <c r="J16" s="19">
        <v>1187.2</v>
      </c>
      <c r="K16" s="19">
        <f t="shared" si="2"/>
        <v>831.04</v>
      </c>
      <c r="L16" s="19">
        <v>677.68000000000006</v>
      </c>
      <c r="M16" s="19">
        <f t="shared" si="3"/>
        <v>153.3599999999999</v>
      </c>
      <c r="N16" s="25">
        <v>100</v>
      </c>
      <c r="O16" s="20"/>
      <c r="P16" s="19"/>
      <c r="R16" s="11">
        <v>15</v>
      </c>
      <c r="S16" s="11">
        <v>1187.2</v>
      </c>
      <c r="T16" s="11">
        <f t="shared" si="4"/>
        <v>831.04</v>
      </c>
      <c r="U16" s="11">
        <v>700.22</v>
      </c>
      <c r="V16" s="11">
        <f t="shared" si="5"/>
        <v>130.81999999999994</v>
      </c>
      <c r="W16" s="25"/>
      <c r="AA16" s="19">
        <v>15</v>
      </c>
      <c r="AB16" s="19">
        <v>1187.2</v>
      </c>
      <c r="AC16" s="19">
        <f t="shared" si="6"/>
        <v>831.04</v>
      </c>
      <c r="AD16" s="19">
        <v>621.60000000000014</v>
      </c>
      <c r="AE16" s="19">
        <f t="shared" si="7"/>
        <v>209.43999999999983</v>
      </c>
      <c r="AF16" s="19">
        <f t="shared" si="8"/>
        <v>134.43999999999983</v>
      </c>
      <c r="AG16" s="20"/>
      <c r="AH16" s="19"/>
      <c r="AJ16" s="19">
        <v>15</v>
      </c>
      <c r="AK16" s="19">
        <v>1187.2</v>
      </c>
      <c r="AL16" s="19">
        <f t="shared" si="9"/>
        <v>831.04</v>
      </c>
      <c r="AM16" s="19">
        <v>559.33000000000015</v>
      </c>
      <c r="AN16" s="19">
        <f t="shared" si="10"/>
        <v>271.70999999999981</v>
      </c>
      <c r="AO16" s="20"/>
      <c r="AP16" s="19"/>
      <c r="AR16" s="19">
        <v>15</v>
      </c>
      <c r="AS16" s="19">
        <v>1187.2</v>
      </c>
      <c r="AT16" s="19">
        <f t="shared" si="11"/>
        <v>831.04</v>
      </c>
      <c r="AU16" s="19">
        <v>692.93000000000006</v>
      </c>
      <c r="AV16" s="19">
        <f t="shared" si="12"/>
        <v>138.1099999999999</v>
      </c>
      <c r="AW16" s="20"/>
      <c r="AX16" s="19"/>
      <c r="AZ16" s="19">
        <v>15</v>
      </c>
      <c r="BA16" s="19">
        <v>1187.2</v>
      </c>
      <c r="BB16" s="19">
        <f t="shared" si="13"/>
        <v>831.04</v>
      </c>
      <c r="BC16" s="19">
        <v>736.91999999999985</v>
      </c>
      <c r="BD16" s="19">
        <f t="shared" si="14"/>
        <v>94.120000000000118</v>
      </c>
      <c r="BE16" s="20"/>
      <c r="BF16" s="19"/>
      <c r="BH16" s="19">
        <v>15</v>
      </c>
      <c r="BI16" s="19">
        <v>1187.2</v>
      </c>
      <c r="BJ16" s="19">
        <f t="shared" si="15"/>
        <v>831.04</v>
      </c>
      <c r="BK16" s="19">
        <v>675.35000000000014</v>
      </c>
      <c r="BL16" s="19">
        <f t="shared" si="16"/>
        <v>155.68999999999983</v>
      </c>
      <c r="BM16" s="20"/>
      <c r="BN16" s="19"/>
      <c r="BP16" s="19">
        <v>15</v>
      </c>
      <c r="BQ16" s="19">
        <v>1187.2</v>
      </c>
      <c r="BR16" s="19">
        <f t="shared" si="17"/>
        <v>831.04</v>
      </c>
      <c r="BS16" s="19">
        <v>596.85000000000014</v>
      </c>
      <c r="BT16" s="19">
        <f t="shared" si="18"/>
        <v>234.18999999999983</v>
      </c>
      <c r="BU16" s="20"/>
      <c r="BV16" s="19"/>
      <c r="BX16" s="19">
        <v>15</v>
      </c>
      <c r="BY16" s="19">
        <v>1187.2</v>
      </c>
      <c r="BZ16" s="19">
        <f t="shared" si="19"/>
        <v>831.04</v>
      </c>
      <c r="CA16" s="19">
        <v>616.18999999999983</v>
      </c>
      <c r="CB16" s="19">
        <f t="shared" si="20"/>
        <v>214.85000000000014</v>
      </c>
      <c r="CC16" s="20"/>
      <c r="CD16" s="19"/>
      <c r="CF16" s="19">
        <v>15</v>
      </c>
      <c r="CG16" s="19">
        <v>1187.2</v>
      </c>
      <c r="CH16" s="19">
        <f t="shared" si="21"/>
        <v>831.04</v>
      </c>
      <c r="CI16" s="19">
        <v>591.76999999999975</v>
      </c>
      <c r="CJ16" s="19">
        <f t="shared" si="22"/>
        <v>239.27000000000021</v>
      </c>
      <c r="CK16" s="20"/>
      <c r="CL16" s="19"/>
      <c r="CN16" s="19">
        <v>15</v>
      </c>
      <c r="CO16" s="19">
        <v>1187.2</v>
      </c>
      <c r="CP16" s="19">
        <f t="shared" si="23"/>
        <v>831.04</v>
      </c>
      <c r="CQ16" s="19">
        <v>704.2</v>
      </c>
      <c r="CR16" s="19">
        <f t="shared" si="24"/>
        <v>126.83999999999992</v>
      </c>
      <c r="CS16" s="20"/>
      <c r="CT16" s="19"/>
      <c r="CV16" s="19">
        <v>15</v>
      </c>
      <c r="CW16" s="19">
        <v>1187.2</v>
      </c>
      <c r="CX16" s="19">
        <f t="shared" si="25"/>
        <v>831.04</v>
      </c>
      <c r="CY16" s="19">
        <v>562.66999999999985</v>
      </c>
      <c r="CZ16" s="19">
        <f t="shared" si="26"/>
        <v>268.37000000000012</v>
      </c>
      <c r="DA16" s="20"/>
      <c r="DB16" s="19"/>
      <c r="DD16" s="19">
        <v>15</v>
      </c>
      <c r="DE16" s="19">
        <v>1187.2</v>
      </c>
      <c r="DF16" s="19">
        <f t="shared" si="27"/>
        <v>831.04</v>
      </c>
      <c r="DG16" s="19">
        <v>735.78</v>
      </c>
      <c r="DH16" s="19">
        <f t="shared" si="28"/>
        <v>95.259999999999991</v>
      </c>
      <c r="DI16" s="20"/>
      <c r="DJ16" s="19"/>
      <c r="DL16" s="19">
        <v>15</v>
      </c>
      <c r="DM16" s="19">
        <v>1187.2</v>
      </c>
      <c r="DN16" s="19">
        <f t="shared" si="29"/>
        <v>831.04</v>
      </c>
      <c r="DO16" s="19">
        <v>712.20999999999981</v>
      </c>
      <c r="DP16" s="19">
        <f t="shared" si="30"/>
        <v>118.83000000000015</v>
      </c>
      <c r="DQ16" s="20"/>
      <c r="DR16" s="19"/>
    </row>
    <row r="17" spans="1:122" x14ac:dyDescent="0.25">
      <c r="A17" s="11">
        <v>16</v>
      </c>
      <c r="B17" s="11">
        <v>1276.7000000000003</v>
      </c>
      <c r="C17" s="11">
        <f t="shared" si="0"/>
        <v>893.69000000000017</v>
      </c>
      <c r="D17" s="11">
        <v>980.61000000000013</v>
      </c>
      <c r="E17" s="11">
        <f t="shared" si="1"/>
        <v>-86.919999999999959</v>
      </c>
      <c r="F17" s="17"/>
      <c r="G17" s="11"/>
      <c r="I17" s="11">
        <v>16</v>
      </c>
      <c r="J17" s="11">
        <v>1276.7000000000003</v>
      </c>
      <c r="K17" s="11">
        <f t="shared" si="2"/>
        <v>893.69000000000017</v>
      </c>
      <c r="L17" s="11">
        <v>888.34999999999991</v>
      </c>
      <c r="M17" s="11">
        <f t="shared" si="3"/>
        <v>5.3400000000002592</v>
      </c>
      <c r="N17" s="25"/>
      <c r="O17" s="17"/>
      <c r="P17" s="11"/>
      <c r="R17" s="11">
        <v>16</v>
      </c>
      <c r="S17" s="11">
        <v>1276.7000000000003</v>
      </c>
      <c r="T17" s="11">
        <f t="shared" si="4"/>
        <v>893.69000000000017</v>
      </c>
      <c r="U17" s="11">
        <v>836.45000000000027</v>
      </c>
      <c r="V17" s="11">
        <f t="shared" si="5"/>
        <v>57.239999999999895</v>
      </c>
      <c r="W17" s="25"/>
      <c r="AA17" s="19">
        <v>16</v>
      </c>
      <c r="AB17" s="19">
        <v>1276.7000000000003</v>
      </c>
      <c r="AC17" s="19">
        <f t="shared" si="6"/>
        <v>893.69000000000017</v>
      </c>
      <c r="AD17" s="19">
        <v>779.05000000000018</v>
      </c>
      <c r="AE17" s="19">
        <f t="shared" si="7"/>
        <v>114.63999999999999</v>
      </c>
      <c r="AF17" s="19">
        <f t="shared" si="8"/>
        <v>39.639999999999986</v>
      </c>
      <c r="AG17" s="20"/>
      <c r="AH17" s="19"/>
      <c r="AJ17" s="19">
        <v>16</v>
      </c>
      <c r="AK17" s="19">
        <v>1276.7000000000003</v>
      </c>
      <c r="AL17" s="19">
        <f t="shared" si="9"/>
        <v>893.69000000000017</v>
      </c>
      <c r="AM17" s="19">
        <v>684.51000000000022</v>
      </c>
      <c r="AN17" s="19">
        <f t="shared" si="10"/>
        <v>209.17999999999995</v>
      </c>
      <c r="AO17" s="20"/>
      <c r="AP17" s="19"/>
      <c r="AR17" s="19">
        <v>16</v>
      </c>
      <c r="AS17" s="19">
        <v>1276.7000000000003</v>
      </c>
      <c r="AT17" s="19">
        <f t="shared" si="11"/>
        <v>893.69000000000017</v>
      </c>
      <c r="AU17" s="19">
        <v>755.51000000000022</v>
      </c>
      <c r="AV17" s="19">
        <f t="shared" si="12"/>
        <v>138.17999999999995</v>
      </c>
      <c r="AW17" s="20"/>
      <c r="AX17" s="19"/>
      <c r="AZ17" s="19">
        <v>16</v>
      </c>
      <c r="BA17" s="19">
        <v>1276.7000000000003</v>
      </c>
      <c r="BB17" s="19">
        <f t="shared" si="13"/>
        <v>893.69000000000017</v>
      </c>
      <c r="BC17" s="19">
        <v>818.96</v>
      </c>
      <c r="BD17" s="19">
        <f t="shared" si="14"/>
        <v>74.730000000000132</v>
      </c>
      <c r="BE17" s="20"/>
      <c r="BF17" s="19"/>
      <c r="BH17" s="19">
        <v>16</v>
      </c>
      <c r="BI17" s="19">
        <v>1276.7000000000003</v>
      </c>
      <c r="BJ17" s="19">
        <f t="shared" si="15"/>
        <v>893.69000000000017</v>
      </c>
      <c r="BK17" s="19">
        <v>761.11000000000013</v>
      </c>
      <c r="BL17" s="19">
        <f t="shared" si="16"/>
        <v>132.58000000000004</v>
      </c>
      <c r="BM17" s="20"/>
      <c r="BN17" s="19"/>
      <c r="BP17" s="19">
        <v>16</v>
      </c>
      <c r="BQ17" s="19">
        <v>1276.7000000000003</v>
      </c>
      <c r="BR17" s="19">
        <f t="shared" si="17"/>
        <v>893.69000000000017</v>
      </c>
      <c r="BS17" s="19">
        <v>698.13000000000011</v>
      </c>
      <c r="BT17" s="19">
        <f t="shared" si="18"/>
        <v>195.56000000000006</v>
      </c>
      <c r="BU17" s="20"/>
      <c r="BV17" s="19"/>
      <c r="BX17" s="19">
        <v>16</v>
      </c>
      <c r="BY17" s="19">
        <v>1276.7000000000003</v>
      </c>
      <c r="BZ17" s="19">
        <f t="shared" si="19"/>
        <v>893.69000000000017</v>
      </c>
      <c r="CA17" s="19">
        <v>713.52</v>
      </c>
      <c r="CB17" s="19">
        <f t="shared" si="20"/>
        <v>180.17000000000019</v>
      </c>
      <c r="CC17" s="20"/>
      <c r="CD17" s="19"/>
      <c r="CF17" s="19">
        <v>16</v>
      </c>
      <c r="CG17" s="19">
        <v>1276.7000000000003</v>
      </c>
      <c r="CH17" s="19">
        <f t="shared" si="21"/>
        <v>893.69000000000017</v>
      </c>
      <c r="CI17" s="19">
        <v>685.55000000000018</v>
      </c>
      <c r="CJ17" s="19">
        <f t="shared" si="22"/>
        <v>208.14</v>
      </c>
      <c r="CK17" s="20"/>
      <c r="CL17" s="19"/>
      <c r="CN17" s="19">
        <v>16</v>
      </c>
      <c r="CO17" s="19">
        <v>1276.7000000000003</v>
      </c>
      <c r="CP17" s="19">
        <f t="shared" si="23"/>
        <v>893.69000000000017</v>
      </c>
      <c r="CQ17" s="19">
        <v>781.45000000000027</v>
      </c>
      <c r="CR17" s="19">
        <f t="shared" si="24"/>
        <v>112.2399999999999</v>
      </c>
      <c r="CS17" s="20"/>
      <c r="CT17" s="19"/>
      <c r="CV17" s="19">
        <v>16</v>
      </c>
      <c r="CW17" s="19">
        <v>1276.7000000000003</v>
      </c>
      <c r="CX17" s="19">
        <f t="shared" si="25"/>
        <v>893.69000000000017</v>
      </c>
      <c r="CY17" s="19">
        <v>656.23</v>
      </c>
      <c r="CZ17" s="19">
        <f t="shared" si="26"/>
        <v>237.46000000000015</v>
      </c>
      <c r="DA17" s="20"/>
      <c r="DB17" s="19"/>
      <c r="DD17" s="19">
        <v>16</v>
      </c>
      <c r="DE17" s="19">
        <v>1276.7000000000003</v>
      </c>
      <c r="DF17" s="19">
        <f t="shared" si="27"/>
        <v>893.69000000000017</v>
      </c>
      <c r="DG17" s="19">
        <v>805.54</v>
      </c>
      <c r="DH17" s="19">
        <f t="shared" si="28"/>
        <v>88.150000000000205</v>
      </c>
      <c r="DI17" s="20"/>
      <c r="DJ17" s="19"/>
      <c r="DL17" s="19">
        <v>16</v>
      </c>
      <c r="DM17" s="19">
        <v>1276.7000000000003</v>
      </c>
      <c r="DN17" s="19">
        <f t="shared" si="29"/>
        <v>893.69000000000017</v>
      </c>
      <c r="DO17" s="19">
        <v>809.72000000000025</v>
      </c>
      <c r="DP17" s="19">
        <f t="shared" si="30"/>
        <v>83.969999999999914</v>
      </c>
      <c r="DQ17" s="20"/>
      <c r="DR17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4F6A-A165-4607-9306-B405942ACDA7}">
  <dimension ref="B1:R17"/>
  <sheetViews>
    <sheetView topLeftCell="C1" workbookViewId="0">
      <selection activeCell="S15" sqref="S15"/>
    </sheetView>
  </sheetViews>
  <sheetFormatPr defaultRowHeight="15" x14ac:dyDescent="0.25"/>
  <cols>
    <col min="2" max="2" width="15.140625" bestFit="1" customWidth="1"/>
    <col min="3" max="3" width="21" bestFit="1" customWidth="1"/>
    <col min="4" max="4" width="9.85546875" bestFit="1" customWidth="1"/>
    <col min="6" max="6" width="14.140625" customWidth="1"/>
    <col min="11" max="11" width="15.140625" bestFit="1" customWidth="1"/>
    <col min="12" max="12" width="21" bestFit="1" customWidth="1"/>
    <col min="13" max="13" width="10.28515625" bestFit="1" customWidth="1"/>
    <col min="15" max="15" width="12.5703125" bestFit="1" customWidth="1"/>
  </cols>
  <sheetData>
    <row r="1" spans="2:18" x14ac:dyDescent="0.25">
      <c r="B1" s="162" t="s">
        <v>89</v>
      </c>
      <c r="C1" s="162"/>
      <c r="D1" s="55" t="s">
        <v>88</v>
      </c>
      <c r="E1" s="56" t="s">
        <v>71</v>
      </c>
      <c r="F1" s="56" t="s">
        <v>72</v>
      </c>
      <c r="G1" s="56" t="s">
        <v>73</v>
      </c>
      <c r="H1" s="56" t="s">
        <v>74</v>
      </c>
      <c r="I1" s="56" t="s">
        <v>75</v>
      </c>
      <c r="K1" s="162" t="s">
        <v>89</v>
      </c>
      <c r="L1" s="162"/>
      <c r="M1" s="55" t="s">
        <v>88</v>
      </c>
      <c r="N1" s="56" t="s">
        <v>71</v>
      </c>
      <c r="O1" s="56" t="s">
        <v>72</v>
      </c>
      <c r="P1" s="56" t="s">
        <v>73</v>
      </c>
      <c r="Q1" s="56" t="s">
        <v>74</v>
      </c>
      <c r="R1" s="56" t="s">
        <v>75</v>
      </c>
    </row>
    <row r="2" spans="2:18" x14ac:dyDescent="0.25">
      <c r="B2" s="60">
        <f>E2-3</f>
        <v>77</v>
      </c>
      <c r="C2" s="61">
        <f>E2+3</f>
        <v>83</v>
      </c>
      <c r="D2" s="92" t="s">
        <v>77</v>
      </c>
      <c r="E2" s="37">
        <v>80</v>
      </c>
      <c r="F2" s="37">
        <v>32</v>
      </c>
      <c r="G2" s="38">
        <f>0.61081*EXP((17.27*F2)/(237.3+F2))</f>
        <v>4.7548532413075932</v>
      </c>
      <c r="H2" s="38">
        <f>E2*G2/100</f>
        <v>3.8038825930460747</v>
      </c>
      <c r="I2" s="39">
        <f>G2-H2</f>
        <v>0.95097064826151856</v>
      </c>
      <c r="K2" s="60">
        <f>N2-3</f>
        <v>77</v>
      </c>
      <c r="L2" s="61">
        <f>N2+3</f>
        <v>83</v>
      </c>
      <c r="M2" s="92" t="s">
        <v>77</v>
      </c>
      <c r="N2" s="37">
        <v>80</v>
      </c>
      <c r="O2" s="37">
        <v>32</v>
      </c>
      <c r="P2" s="38">
        <f>0.61081*EXP((17.27*O2)/(237.3+O2))</f>
        <v>4.7548532413075932</v>
      </c>
      <c r="Q2" s="38">
        <f>N2*P2/100</f>
        <v>3.8038825930460747</v>
      </c>
      <c r="R2" s="39">
        <f>P2-Q2</f>
        <v>0.95097064826151856</v>
      </c>
    </row>
    <row r="3" spans="2:18" x14ac:dyDescent="0.25">
      <c r="B3" s="62">
        <f t="shared" ref="B3:B7" si="0">E3-3</f>
        <v>65</v>
      </c>
      <c r="C3" s="36">
        <f t="shared" ref="C3:C7" si="1">E3+3</f>
        <v>71</v>
      </c>
      <c r="D3" s="93" t="s">
        <v>78</v>
      </c>
      <c r="E3" s="40">
        <f>E2-12</f>
        <v>68</v>
      </c>
      <c r="F3" s="40">
        <v>32</v>
      </c>
      <c r="G3" s="41">
        <f t="shared" ref="G3:G7" si="2">0.61081*EXP((17.27*F3)/(237.3+F3))</f>
        <v>4.7548532413075932</v>
      </c>
      <c r="H3" s="41">
        <f t="shared" ref="H3:H7" si="3">E3*G3/100</f>
        <v>3.2333002040891632</v>
      </c>
      <c r="I3" s="42">
        <f t="shared" ref="I3:I7" si="4">G3-H3</f>
        <v>1.52155303721843</v>
      </c>
      <c r="K3" s="62">
        <f t="shared" ref="K3:K7" si="5">N3-3</f>
        <v>65</v>
      </c>
      <c r="L3" s="36">
        <f t="shared" ref="L3:L7" si="6">N3+3</f>
        <v>71</v>
      </c>
      <c r="M3" s="93" t="s">
        <v>78</v>
      </c>
      <c r="N3" s="40">
        <f>N2-12</f>
        <v>68</v>
      </c>
      <c r="O3" s="40">
        <v>32</v>
      </c>
      <c r="P3" s="41">
        <f t="shared" ref="P3:P7" si="7">0.61081*EXP((17.27*O3)/(237.3+O3))</f>
        <v>4.7548532413075932</v>
      </c>
      <c r="Q3" s="41">
        <f t="shared" ref="Q3:Q7" si="8">N3*P3/100</f>
        <v>3.2333002040891632</v>
      </c>
      <c r="R3" s="42">
        <f t="shared" ref="R3:R7" si="9">P3-Q3</f>
        <v>1.52155303721843</v>
      </c>
    </row>
    <row r="4" spans="2:18" x14ac:dyDescent="0.25">
      <c r="B4" s="62">
        <f t="shared" si="0"/>
        <v>53</v>
      </c>
      <c r="C4" s="36">
        <f t="shared" si="1"/>
        <v>59</v>
      </c>
      <c r="D4" s="94" t="s">
        <v>79</v>
      </c>
      <c r="E4" s="43">
        <f t="shared" ref="E4:E7" si="10">E3-12</f>
        <v>56</v>
      </c>
      <c r="F4" s="43">
        <v>32</v>
      </c>
      <c r="G4" s="44">
        <f t="shared" si="2"/>
        <v>4.7548532413075932</v>
      </c>
      <c r="H4" s="44">
        <f t="shared" si="3"/>
        <v>2.6627178151322521</v>
      </c>
      <c r="I4" s="45">
        <f t="shared" si="4"/>
        <v>2.0921354261753411</v>
      </c>
      <c r="K4" s="62">
        <f t="shared" si="5"/>
        <v>53</v>
      </c>
      <c r="L4" s="36">
        <f t="shared" si="6"/>
        <v>59</v>
      </c>
      <c r="M4" s="94" t="s">
        <v>79</v>
      </c>
      <c r="N4" s="43">
        <f t="shared" ref="N4:N7" si="11">N3-12</f>
        <v>56</v>
      </c>
      <c r="O4" s="43">
        <v>32</v>
      </c>
      <c r="P4" s="44">
        <f t="shared" si="7"/>
        <v>4.7548532413075932</v>
      </c>
      <c r="Q4" s="44">
        <f t="shared" si="8"/>
        <v>2.6627178151322521</v>
      </c>
      <c r="R4" s="45">
        <f t="shared" si="9"/>
        <v>2.0921354261753411</v>
      </c>
    </row>
    <row r="5" spans="2:18" x14ac:dyDescent="0.25">
      <c r="B5" s="62">
        <f t="shared" si="0"/>
        <v>41</v>
      </c>
      <c r="C5" s="36">
        <f t="shared" si="1"/>
        <v>47</v>
      </c>
      <c r="D5" s="95" t="s">
        <v>80</v>
      </c>
      <c r="E5" s="46">
        <f t="shared" si="10"/>
        <v>44</v>
      </c>
      <c r="F5" s="46">
        <v>32</v>
      </c>
      <c r="G5" s="47">
        <f t="shared" si="2"/>
        <v>4.7548532413075932</v>
      </c>
      <c r="H5" s="47">
        <f t="shared" si="3"/>
        <v>2.0921354261753411</v>
      </c>
      <c r="I5" s="48">
        <f t="shared" si="4"/>
        <v>2.6627178151322521</v>
      </c>
      <c r="K5" s="62">
        <f t="shared" si="5"/>
        <v>41</v>
      </c>
      <c r="L5" s="36">
        <f t="shared" si="6"/>
        <v>47</v>
      </c>
      <c r="M5" s="95" t="s">
        <v>80</v>
      </c>
      <c r="N5" s="46">
        <f t="shared" si="11"/>
        <v>44</v>
      </c>
      <c r="O5" s="46">
        <v>32</v>
      </c>
      <c r="P5" s="47">
        <f t="shared" si="7"/>
        <v>4.7548532413075932</v>
      </c>
      <c r="Q5" s="47">
        <f t="shared" si="8"/>
        <v>2.0921354261753411</v>
      </c>
      <c r="R5" s="48">
        <f t="shared" si="9"/>
        <v>2.6627178151322521</v>
      </c>
    </row>
    <row r="6" spans="2:18" x14ac:dyDescent="0.25">
      <c r="B6" s="62">
        <f t="shared" si="0"/>
        <v>29</v>
      </c>
      <c r="C6" s="36">
        <f t="shared" si="1"/>
        <v>35</v>
      </c>
      <c r="D6" s="96" t="s">
        <v>81</v>
      </c>
      <c r="E6" s="49">
        <f t="shared" si="10"/>
        <v>32</v>
      </c>
      <c r="F6" s="49">
        <v>32</v>
      </c>
      <c r="G6" s="50">
        <f t="shared" si="2"/>
        <v>4.7548532413075932</v>
      </c>
      <c r="H6" s="50">
        <f t="shared" si="3"/>
        <v>1.5215530372184298</v>
      </c>
      <c r="I6" s="51">
        <f t="shared" si="4"/>
        <v>3.2333002040891632</v>
      </c>
      <c r="K6" s="62">
        <f t="shared" si="5"/>
        <v>29</v>
      </c>
      <c r="L6" s="36">
        <f t="shared" si="6"/>
        <v>35</v>
      </c>
      <c r="M6" s="96" t="s">
        <v>81</v>
      </c>
      <c r="N6" s="49">
        <f t="shared" si="11"/>
        <v>32</v>
      </c>
      <c r="O6" s="49">
        <v>32</v>
      </c>
      <c r="P6" s="50">
        <f t="shared" si="7"/>
        <v>4.7548532413075932</v>
      </c>
      <c r="Q6" s="50">
        <f t="shared" si="8"/>
        <v>1.5215530372184298</v>
      </c>
      <c r="R6" s="51">
        <f t="shared" si="9"/>
        <v>3.2333002040891632</v>
      </c>
    </row>
    <row r="7" spans="2:18" x14ac:dyDescent="0.25">
      <c r="B7" s="63">
        <f t="shared" si="0"/>
        <v>17</v>
      </c>
      <c r="C7" s="64">
        <f t="shared" si="1"/>
        <v>23</v>
      </c>
      <c r="D7" s="97" t="s">
        <v>82</v>
      </c>
      <c r="E7" s="52">
        <f t="shared" si="10"/>
        <v>20</v>
      </c>
      <c r="F7" s="52">
        <v>32</v>
      </c>
      <c r="G7" s="53">
        <f t="shared" si="2"/>
        <v>4.7548532413075932</v>
      </c>
      <c r="H7" s="53">
        <f t="shared" si="3"/>
        <v>0.95097064826151867</v>
      </c>
      <c r="I7" s="54">
        <f t="shared" si="4"/>
        <v>3.8038825930460747</v>
      </c>
      <c r="K7" s="63">
        <f t="shared" si="5"/>
        <v>17</v>
      </c>
      <c r="L7" s="64">
        <f t="shared" si="6"/>
        <v>23</v>
      </c>
      <c r="M7" s="97" t="s">
        <v>82</v>
      </c>
      <c r="N7" s="52">
        <f t="shared" si="11"/>
        <v>20</v>
      </c>
      <c r="O7" s="52">
        <v>32</v>
      </c>
      <c r="P7" s="53">
        <f t="shared" si="7"/>
        <v>4.7548532413075932</v>
      </c>
      <c r="Q7" s="53">
        <f t="shared" si="8"/>
        <v>0.95097064826151867</v>
      </c>
      <c r="R7" s="54">
        <f t="shared" si="9"/>
        <v>3.8038825930460747</v>
      </c>
    </row>
    <row r="9" spans="2:18" x14ac:dyDescent="0.25">
      <c r="R9" t="s">
        <v>133</v>
      </c>
    </row>
    <row r="11" spans="2:18" x14ac:dyDescent="0.25">
      <c r="B11" s="56" t="s">
        <v>90</v>
      </c>
      <c r="C11" s="73" t="s">
        <v>91</v>
      </c>
      <c r="D11" s="163" t="s">
        <v>131</v>
      </c>
      <c r="E11" s="163"/>
      <c r="F11" s="163"/>
      <c r="G11" s="163"/>
      <c r="H11" s="163"/>
      <c r="I11" s="163"/>
      <c r="K11" s="56" t="s">
        <v>90</v>
      </c>
      <c r="L11" s="73" t="s">
        <v>91</v>
      </c>
      <c r="M11" s="163" t="s">
        <v>132</v>
      </c>
      <c r="N11" s="163"/>
      <c r="O11" s="163"/>
      <c r="P11" s="163"/>
      <c r="Q11" s="163"/>
      <c r="R11" s="163"/>
    </row>
    <row r="12" spans="2:18" x14ac:dyDescent="0.25">
      <c r="B12" s="9" t="s">
        <v>92</v>
      </c>
      <c r="C12" s="9">
        <v>60</v>
      </c>
      <c r="D12" s="6">
        <v>77</v>
      </c>
      <c r="E12" s="57">
        <v>68</v>
      </c>
      <c r="F12" s="65">
        <v>57</v>
      </c>
      <c r="G12" s="67">
        <v>46</v>
      </c>
      <c r="H12" s="69">
        <v>35</v>
      </c>
      <c r="I12" s="71">
        <v>31</v>
      </c>
      <c r="K12" s="9" t="s">
        <v>92</v>
      </c>
      <c r="L12" s="9">
        <v>60</v>
      </c>
      <c r="M12" s="6">
        <v>79</v>
      </c>
      <c r="N12" s="57">
        <v>69</v>
      </c>
      <c r="O12" s="65">
        <v>58</v>
      </c>
      <c r="P12" s="67">
        <v>46</v>
      </c>
      <c r="Q12" s="69">
        <v>35</v>
      </c>
      <c r="R12" s="71"/>
    </row>
    <row r="13" spans="2:18" x14ac:dyDescent="0.25">
      <c r="B13" s="9" t="s">
        <v>93</v>
      </c>
      <c r="C13" s="9">
        <v>28</v>
      </c>
      <c r="D13" s="6">
        <v>32.4</v>
      </c>
      <c r="E13" s="57">
        <v>32.299999999999997</v>
      </c>
      <c r="F13" s="65">
        <v>31.8</v>
      </c>
      <c r="G13" s="67">
        <v>32.200000000000003</v>
      </c>
      <c r="H13" s="69">
        <v>32</v>
      </c>
      <c r="I13" s="71">
        <v>32.700000000000003</v>
      </c>
      <c r="K13" s="9" t="s">
        <v>93</v>
      </c>
      <c r="L13" s="9">
        <v>28</v>
      </c>
      <c r="M13" s="6">
        <v>32.200000000000003</v>
      </c>
      <c r="N13" s="57">
        <v>32.4</v>
      </c>
      <c r="O13" s="65">
        <v>31.9</v>
      </c>
      <c r="P13" s="67">
        <v>31.6</v>
      </c>
      <c r="Q13" s="69">
        <v>32.1</v>
      </c>
      <c r="R13" s="71"/>
    </row>
    <row r="14" spans="2:18" x14ac:dyDescent="0.25">
      <c r="B14" s="9" t="s">
        <v>94</v>
      </c>
      <c r="C14" s="29">
        <f>0.61081*EXP((17.27*C13)/(237.3+C13))</f>
        <v>3.7799922489062645</v>
      </c>
      <c r="D14" s="38">
        <f t="shared" ref="D14:I14" si="12">0.61081*EXP((17.27*D13)/(237.3+D13))</f>
        <v>4.8633908200436711</v>
      </c>
      <c r="E14" s="58">
        <f t="shared" si="12"/>
        <v>4.8360567002314436</v>
      </c>
      <c r="F14" s="44">
        <f t="shared" si="12"/>
        <v>4.7013779111236333</v>
      </c>
      <c r="G14" s="47">
        <f t="shared" si="12"/>
        <v>4.8088560944274183</v>
      </c>
      <c r="H14" s="50">
        <f t="shared" si="12"/>
        <v>4.7548532413075932</v>
      </c>
      <c r="I14" s="53">
        <f t="shared" si="12"/>
        <v>4.9461997531360256</v>
      </c>
      <c r="K14" s="9" t="s">
        <v>94</v>
      </c>
      <c r="L14" s="29">
        <f>0.61081*EXP((17.27*L13)/(237.3+L13))</f>
        <v>3.7799922489062645</v>
      </c>
      <c r="M14" s="38">
        <f t="shared" ref="M14:R14" si="13">0.61081*EXP((17.27*M13)/(237.3+M13))</f>
        <v>4.8088560944274183</v>
      </c>
      <c r="N14" s="58">
        <f t="shared" si="13"/>
        <v>4.8633908200436711</v>
      </c>
      <c r="O14" s="44">
        <f t="shared" si="13"/>
        <v>4.7280499066035517</v>
      </c>
      <c r="P14" s="47">
        <f t="shared" si="13"/>
        <v>4.6484257822496353</v>
      </c>
      <c r="Q14" s="50">
        <f t="shared" si="13"/>
        <v>4.7817884563091235</v>
      </c>
      <c r="R14" s="53">
        <f t="shared" si="13"/>
        <v>0.61080999999999996</v>
      </c>
    </row>
    <row r="15" spans="2:18" x14ac:dyDescent="0.25">
      <c r="B15" s="9" t="s">
        <v>95</v>
      </c>
      <c r="C15" s="29">
        <f>C12*C14/100</f>
        <v>2.2679953493437583</v>
      </c>
      <c r="D15" s="38">
        <f t="shared" ref="D15:I15" si="14">D12*D14/100</f>
        <v>3.7448109314336269</v>
      </c>
      <c r="E15" s="58">
        <f t="shared" si="14"/>
        <v>3.2885185561573813</v>
      </c>
      <c r="F15" s="44">
        <f t="shared" si="14"/>
        <v>2.6797854093404707</v>
      </c>
      <c r="G15" s="47">
        <f t="shared" si="14"/>
        <v>2.2120738034366125</v>
      </c>
      <c r="H15" s="50">
        <f t="shared" si="14"/>
        <v>1.6641986344576578</v>
      </c>
      <c r="I15" s="53">
        <f t="shared" si="14"/>
        <v>1.533321923472168</v>
      </c>
      <c r="K15" s="9" t="s">
        <v>95</v>
      </c>
      <c r="L15" s="29">
        <f>L12*L14/100</f>
        <v>2.2679953493437583</v>
      </c>
      <c r="M15" s="38">
        <f t="shared" ref="M15:R15" si="15">M12*M14/100</f>
        <v>3.7989963145976606</v>
      </c>
      <c r="N15" s="58">
        <f t="shared" si="15"/>
        <v>3.3557396658301331</v>
      </c>
      <c r="O15" s="44">
        <f t="shared" si="15"/>
        <v>2.7422689458300602</v>
      </c>
      <c r="P15" s="47">
        <f t="shared" si="15"/>
        <v>2.1382758598348324</v>
      </c>
      <c r="Q15" s="50">
        <f t="shared" si="15"/>
        <v>1.6736259597081931</v>
      </c>
      <c r="R15" s="53">
        <f t="shared" si="15"/>
        <v>0</v>
      </c>
    </row>
    <row r="16" spans="2:18" x14ac:dyDescent="0.25">
      <c r="B16" s="9" t="s">
        <v>96</v>
      </c>
      <c r="C16" s="29">
        <f>C14-C15</f>
        <v>1.5119968995625062</v>
      </c>
      <c r="D16" s="38">
        <f>D14-D15</f>
        <v>1.1185798886100442</v>
      </c>
      <c r="E16" s="58">
        <f t="shared" ref="E16:I16" si="16">E14-E15</f>
        <v>1.5475381440740623</v>
      </c>
      <c r="F16" s="44">
        <f t="shared" si="16"/>
        <v>2.0215925017831626</v>
      </c>
      <c r="G16" s="47">
        <f t="shared" si="16"/>
        <v>2.5967822909908058</v>
      </c>
      <c r="H16" s="50">
        <f t="shared" si="16"/>
        <v>3.0906546068499354</v>
      </c>
      <c r="I16" s="53">
        <f t="shared" si="16"/>
        <v>3.4128778296638576</v>
      </c>
      <c r="K16" s="9" t="s">
        <v>96</v>
      </c>
      <c r="L16" s="29">
        <f>L14-L15</f>
        <v>1.5119968995625062</v>
      </c>
      <c r="M16" s="38">
        <f>M14-M15</f>
        <v>1.0098597798297577</v>
      </c>
      <c r="N16" s="58">
        <f t="shared" ref="N16:R16" si="17">N14-N15</f>
        <v>1.507651154213538</v>
      </c>
      <c r="O16" s="44">
        <f t="shared" si="17"/>
        <v>1.9857809607734915</v>
      </c>
      <c r="P16" s="47">
        <f t="shared" si="17"/>
        <v>2.5101499224148029</v>
      </c>
      <c r="Q16" s="50">
        <f t="shared" si="17"/>
        <v>3.1081624966009302</v>
      </c>
      <c r="R16" s="53">
        <f t="shared" si="17"/>
        <v>0.61080999999999996</v>
      </c>
    </row>
    <row r="17" spans="4:18" x14ac:dyDescent="0.25">
      <c r="D17" s="2" t="s">
        <v>77</v>
      </c>
      <c r="E17" s="59" t="s">
        <v>78</v>
      </c>
      <c r="F17" s="66" t="s">
        <v>79</v>
      </c>
      <c r="G17" s="68" t="s">
        <v>80</v>
      </c>
      <c r="H17" s="70" t="s">
        <v>81</v>
      </c>
      <c r="I17" s="72" t="s">
        <v>82</v>
      </c>
      <c r="M17" s="2" t="s">
        <v>77</v>
      </c>
      <c r="N17" s="59" t="s">
        <v>78</v>
      </c>
      <c r="O17" s="66" t="s">
        <v>79</v>
      </c>
      <c r="P17" s="68" t="s">
        <v>80</v>
      </c>
      <c r="Q17" s="70" t="s">
        <v>81</v>
      </c>
      <c r="R17" s="72" t="s">
        <v>82</v>
      </c>
    </row>
  </sheetData>
  <mergeCells count="4">
    <mergeCell ref="B1:C1"/>
    <mergeCell ref="D11:I11"/>
    <mergeCell ref="M11:R11"/>
    <mergeCell ref="K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EA9E-174F-4929-8D18-C754D49C5871}">
  <dimension ref="A1:T24"/>
  <sheetViews>
    <sheetView topLeftCell="E1" workbookViewId="0">
      <selection activeCell="X16" sqref="X16"/>
    </sheetView>
  </sheetViews>
  <sheetFormatPr defaultRowHeight="15" x14ac:dyDescent="0.25"/>
  <cols>
    <col min="3" max="3" width="12.5703125" bestFit="1" customWidth="1"/>
    <col min="14" max="14" width="12.5703125" bestFit="1" customWidth="1"/>
  </cols>
  <sheetData>
    <row r="1" spans="1:20" x14ac:dyDescent="0.25">
      <c r="A1" s="28" t="s">
        <v>43</v>
      </c>
      <c r="B1" s="28" t="s">
        <v>71</v>
      </c>
      <c r="C1" s="28" t="s">
        <v>72</v>
      </c>
      <c r="D1" s="28" t="s">
        <v>73</v>
      </c>
      <c r="E1" s="28" t="s">
        <v>74</v>
      </c>
      <c r="F1" s="28" t="s">
        <v>75</v>
      </c>
      <c r="H1" s="28" t="s">
        <v>76</v>
      </c>
      <c r="I1" s="160" t="s">
        <v>124</v>
      </c>
      <c r="L1" s="28" t="s">
        <v>43</v>
      </c>
      <c r="M1" s="28" t="s">
        <v>71</v>
      </c>
      <c r="N1" s="28" t="s">
        <v>72</v>
      </c>
      <c r="O1" s="28" t="s">
        <v>73</v>
      </c>
      <c r="P1" s="28" t="s">
        <v>74</v>
      </c>
      <c r="Q1" s="28" t="s">
        <v>75</v>
      </c>
      <c r="S1" s="28" t="s">
        <v>76</v>
      </c>
      <c r="T1" s="160" t="s">
        <v>124</v>
      </c>
    </row>
    <row r="2" spans="1:20" x14ac:dyDescent="0.25">
      <c r="A2" s="88">
        <v>0.38541666666666669</v>
      </c>
      <c r="B2" s="37">
        <v>78</v>
      </c>
      <c r="C2" s="37">
        <v>32.200000000000003</v>
      </c>
      <c r="D2" s="38">
        <f>0.61081*EXP((17.27*C2)/(237.3+C2))</f>
        <v>4.8088560944274183</v>
      </c>
      <c r="E2" s="38">
        <f>B2*D2/100</f>
        <v>3.7509077536533861</v>
      </c>
      <c r="F2" s="39">
        <f>D2-E2</f>
        <v>1.0579483407740322</v>
      </c>
      <c r="H2" s="30" t="s">
        <v>77</v>
      </c>
      <c r="I2" s="201">
        <f>AVERAGE(F2:F6)</f>
        <v>0.97759261326295488</v>
      </c>
      <c r="J2" s="159"/>
      <c r="L2" s="88">
        <v>0.38541666666666669</v>
      </c>
      <c r="M2" s="37">
        <v>79</v>
      </c>
      <c r="N2" s="37">
        <v>32.1</v>
      </c>
      <c r="O2" s="38">
        <f>0.61081*EXP((17.27*N2)/(237.3+N2))</f>
        <v>4.7817884563091235</v>
      </c>
      <c r="P2" s="38">
        <f>M2*O2/100</f>
        <v>3.7776128804842073</v>
      </c>
      <c r="Q2" s="39">
        <f>O2-P2</f>
        <v>1.0041755758249162</v>
      </c>
      <c r="S2" s="30" t="s">
        <v>77</v>
      </c>
      <c r="T2" s="201">
        <f>AVERAGE(Q2:Q4)</f>
        <v>0.94624691213785905</v>
      </c>
    </row>
    <row r="3" spans="1:20" x14ac:dyDescent="0.25">
      <c r="A3" s="88">
        <v>0.38958333333333334</v>
      </c>
      <c r="B3" s="37">
        <v>79</v>
      </c>
      <c r="C3" s="37">
        <v>32</v>
      </c>
      <c r="D3" s="38">
        <f t="shared" ref="D3:D23" si="0">0.61081*EXP((17.27*C3)/(237.3+C3))</f>
        <v>4.7548532413075932</v>
      </c>
      <c r="E3" s="38">
        <f t="shared" ref="E3:E23" si="1">B3*D3/100</f>
        <v>3.7563340606329985</v>
      </c>
      <c r="F3" s="39">
        <f t="shared" ref="F3:F23" si="2">D3-E3</f>
        <v>0.99851918067459478</v>
      </c>
      <c r="H3" s="31" t="s">
        <v>78</v>
      </c>
      <c r="I3" s="201">
        <f>AVERAGE(F7:F10)</f>
        <v>1.591701802255042</v>
      </c>
      <c r="L3" s="88">
        <v>0.3923611111111111</v>
      </c>
      <c r="M3" s="37">
        <v>80</v>
      </c>
      <c r="N3" s="37">
        <v>32.1</v>
      </c>
      <c r="O3" s="38">
        <f t="shared" ref="O3:O23" si="3">0.61081*EXP((17.27*N3)/(237.3+N3))</f>
        <v>4.7817884563091235</v>
      </c>
      <c r="P3" s="38">
        <f t="shared" ref="P3:P23" si="4">M3*O3/100</f>
        <v>3.8254307650472987</v>
      </c>
      <c r="Q3" s="39">
        <f t="shared" ref="Q3:Q23" si="5">O3-P3</f>
        <v>0.95635769126182479</v>
      </c>
      <c r="S3" s="31" t="s">
        <v>78</v>
      </c>
      <c r="T3" s="201">
        <f>AVERAGE(Q7:Q9)</f>
        <v>1.5988013195048605</v>
      </c>
    </row>
    <row r="4" spans="1:20" x14ac:dyDescent="0.25">
      <c r="A4" s="88">
        <v>0.39513888888888887</v>
      </c>
      <c r="B4" s="37">
        <v>80</v>
      </c>
      <c r="C4" s="37">
        <v>31.9</v>
      </c>
      <c r="D4" s="38">
        <f t="shared" si="0"/>
        <v>4.7280499066035517</v>
      </c>
      <c r="E4" s="38">
        <f t="shared" si="1"/>
        <v>3.7824399252828416</v>
      </c>
      <c r="F4" s="39">
        <f t="shared" si="2"/>
        <v>0.94560998132071017</v>
      </c>
      <c r="H4" s="32" t="s">
        <v>79</v>
      </c>
      <c r="I4" s="201">
        <f>AVERAGE(F11:F13)</f>
        <v>2.0605809932282297</v>
      </c>
      <c r="L4" s="88">
        <v>0.40347222222222223</v>
      </c>
      <c r="M4" s="37">
        <v>81</v>
      </c>
      <c r="N4" s="37">
        <v>31.5</v>
      </c>
      <c r="O4" s="38">
        <f t="shared" si="3"/>
        <v>4.622144575404401</v>
      </c>
      <c r="P4" s="38">
        <f t="shared" si="4"/>
        <v>3.7439371060775648</v>
      </c>
      <c r="Q4" s="39">
        <f t="shared" si="5"/>
        <v>0.87820746932683624</v>
      </c>
      <c r="S4" s="32" t="s">
        <v>79</v>
      </c>
      <c r="T4" s="201">
        <f>AVERAGE(Q11:Q13)</f>
        <v>2.0881005266169326</v>
      </c>
    </row>
    <row r="5" spans="1:20" x14ac:dyDescent="0.25">
      <c r="A5" s="88">
        <v>0.4</v>
      </c>
      <c r="B5" s="37">
        <v>80</v>
      </c>
      <c r="C5" s="37">
        <v>31.9</v>
      </c>
      <c r="D5" s="38">
        <f t="shared" si="0"/>
        <v>4.7280499066035517</v>
      </c>
      <c r="E5" s="38">
        <f t="shared" si="1"/>
        <v>3.7824399252828416</v>
      </c>
      <c r="F5" s="39">
        <f t="shared" si="2"/>
        <v>0.94560998132071017</v>
      </c>
      <c r="H5" s="33" t="s">
        <v>80</v>
      </c>
      <c r="I5" s="201">
        <f>AVERAGE(F14:F16)</f>
        <v>2.637548739283583</v>
      </c>
      <c r="L5" s="88"/>
      <c r="M5" s="37"/>
      <c r="N5" s="37"/>
      <c r="O5" s="38">
        <f t="shared" si="3"/>
        <v>0.61080999999999996</v>
      </c>
      <c r="P5" s="38">
        <f t="shared" si="4"/>
        <v>0</v>
      </c>
      <c r="Q5" s="39">
        <f t="shared" si="5"/>
        <v>0.61080999999999996</v>
      </c>
      <c r="S5" s="33" t="s">
        <v>80</v>
      </c>
      <c r="T5" s="201">
        <f>AVERAGE(Q14:Q16)</f>
        <v>2.642099131008516</v>
      </c>
    </row>
    <row r="6" spans="1:20" x14ac:dyDescent="0.25">
      <c r="A6" s="88">
        <v>0.40625</v>
      </c>
      <c r="B6" s="37">
        <v>80</v>
      </c>
      <c r="C6" s="37">
        <v>31.8</v>
      </c>
      <c r="D6" s="38">
        <f t="shared" si="0"/>
        <v>4.7013779111236333</v>
      </c>
      <c r="E6" s="38">
        <f t="shared" si="1"/>
        <v>3.7611023288989065</v>
      </c>
      <c r="F6" s="39">
        <f t="shared" si="2"/>
        <v>0.94027558222472685</v>
      </c>
      <c r="H6" s="34" t="s">
        <v>81</v>
      </c>
      <c r="I6" s="201">
        <f>AVERAGE(F17:F19)</f>
        <v>3.1502637764597723</v>
      </c>
      <c r="L6" s="88"/>
      <c r="M6" s="37"/>
      <c r="N6" s="37"/>
      <c r="O6" s="38">
        <f t="shared" si="3"/>
        <v>0.61080999999999996</v>
      </c>
      <c r="P6" s="38">
        <f t="shared" si="4"/>
        <v>0</v>
      </c>
      <c r="Q6" s="39">
        <f t="shared" si="5"/>
        <v>0.61080999999999996</v>
      </c>
      <c r="S6" s="34" t="s">
        <v>81</v>
      </c>
      <c r="T6" s="201">
        <f>AVERAGE(Q17:Q19)</f>
        <v>3.1166032701691271</v>
      </c>
    </row>
    <row r="7" spans="1:20" x14ac:dyDescent="0.25">
      <c r="A7" s="110">
        <v>0.43680555555555556</v>
      </c>
      <c r="B7" s="40">
        <v>66</v>
      </c>
      <c r="C7" s="40">
        <v>32.200000000000003</v>
      </c>
      <c r="D7" s="41">
        <f t="shared" si="0"/>
        <v>4.8088560944274183</v>
      </c>
      <c r="E7" s="41">
        <f t="shared" si="1"/>
        <v>3.1738450223220962</v>
      </c>
      <c r="F7" s="42">
        <f t="shared" si="2"/>
        <v>1.6350110721053221</v>
      </c>
      <c r="H7" s="35" t="s">
        <v>82</v>
      </c>
      <c r="I7" s="201">
        <f>AVERAGE(F20:F22)</f>
        <v>3.3546922605101468</v>
      </c>
      <c r="L7" s="110">
        <v>0.4284722222222222</v>
      </c>
      <c r="M7" s="40">
        <v>65</v>
      </c>
      <c r="N7" s="40">
        <v>32.200000000000003</v>
      </c>
      <c r="O7" s="41">
        <f t="shared" si="3"/>
        <v>4.8088560944274183</v>
      </c>
      <c r="P7" s="41">
        <f t="shared" si="4"/>
        <v>3.1257564613778221</v>
      </c>
      <c r="Q7" s="42">
        <f t="shared" si="5"/>
        <v>1.6830996330495962</v>
      </c>
      <c r="S7" s="35" t="s">
        <v>82</v>
      </c>
      <c r="T7" s="201">
        <f>AVERAGE(Q20:Q23)</f>
        <v>3.6110786249494264</v>
      </c>
    </row>
    <row r="8" spans="1:20" x14ac:dyDescent="0.25">
      <c r="A8" s="110">
        <v>0.44097222222222221</v>
      </c>
      <c r="B8" s="40">
        <v>66</v>
      </c>
      <c r="C8" s="40">
        <v>31.8</v>
      </c>
      <c r="D8" s="41">
        <f t="shared" si="0"/>
        <v>4.7013779111236333</v>
      </c>
      <c r="E8" s="41">
        <f t="shared" si="1"/>
        <v>3.1029094213415984</v>
      </c>
      <c r="F8" s="42">
        <f t="shared" si="2"/>
        <v>1.5984684897820349</v>
      </c>
      <c r="H8" s="11"/>
      <c r="L8" s="110">
        <v>0.43194444444444446</v>
      </c>
      <c r="M8" s="40">
        <v>66</v>
      </c>
      <c r="N8" s="40">
        <v>32.1</v>
      </c>
      <c r="O8" s="41">
        <f t="shared" si="3"/>
        <v>4.7817884563091235</v>
      </c>
      <c r="P8" s="41">
        <f t="shared" si="4"/>
        <v>3.1559803811640217</v>
      </c>
      <c r="Q8" s="42">
        <f t="shared" si="5"/>
        <v>1.6258080751451018</v>
      </c>
    </row>
    <row r="9" spans="1:20" x14ac:dyDescent="0.25">
      <c r="A9" s="110">
        <v>0.44722222222222224</v>
      </c>
      <c r="B9" s="40">
        <v>67</v>
      </c>
      <c r="C9" s="40">
        <v>31.4</v>
      </c>
      <c r="D9" s="41">
        <f t="shared" si="0"/>
        <v>4.5959925608734213</v>
      </c>
      <c r="E9" s="41">
        <f t="shared" si="1"/>
        <v>3.0793150157851921</v>
      </c>
      <c r="F9" s="42">
        <f t="shared" si="2"/>
        <v>1.5166775450882293</v>
      </c>
      <c r="H9" s="11"/>
      <c r="L9" s="110">
        <v>0.44930555555555557</v>
      </c>
      <c r="M9" s="40">
        <v>68</v>
      </c>
      <c r="N9" s="40">
        <v>31.6</v>
      </c>
      <c r="O9" s="41">
        <f t="shared" si="3"/>
        <v>4.6484257822496353</v>
      </c>
      <c r="P9" s="41">
        <f t="shared" si="4"/>
        <v>3.1609295319297517</v>
      </c>
      <c r="Q9" s="42">
        <f t="shared" si="5"/>
        <v>1.4874962503198836</v>
      </c>
    </row>
    <row r="10" spans="1:20" x14ac:dyDescent="0.25">
      <c r="A10" s="110">
        <v>0.45208333333333334</v>
      </c>
      <c r="B10" s="40">
        <v>66</v>
      </c>
      <c r="C10" s="40">
        <v>32</v>
      </c>
      <c r="D10" s="41">
        <f t="shared" si="0"/>
        <v>4.7548532413075932</v>
      </c>
      <c r="E10" s="41">
        <f t="shared" si="1"/>
        <v>3.1382031392630112</v>
      </c>
      <c r="F10" s="42">
        <f t="shared" si="2"/>
        <v>1.616650102044582</v>
      </c>
      <c r="H10" s="11"/>
      <c r="L10" s="110"/>
      <c r="M10" s="40"/>
      <c r="N10" s="40"/>
      <c r="O10" s="41">
        <f t="shared" si="3"/>
        <v>0.61080999999999996</v>
      </c>
      <c r="P10" s="41">
        <f t="shared" si="4"/>
        <v>0</v>
      </c>
      <c r="Q10" s="42">
        <f t="shared" si="5"/>
        <v>0.61080999999999996</v>
      </c>
    </row>
    <row r="11" spans="1:20" x14ac:dyDescent="0.25">
      <c r="A11" s="122">
        <v>0.4777777777777778</v>
      </c>
      <c r="B11" s="43">
        <v>56</v>
      </c>
      <c r="C11" s="43">
        <v>31.9</v>
      </c>
      <c r="D11" s="44">
        <f t="shared" si="0"/>
        <v>4.7280499066035517</v>
      </c>
      <c r="E11" s="44">
        <f t="shared" si="1"/>
        <v>2.647707947697989</v>
      </c>
      <c r="F11" s="45">
        <f t="shared" si="2"/>
        <v>2.0803419589055627</v>
      </c>
      <c r="H11" s="11"/>
      <c r="L11" s="122">
        <v>0.47569444444444442</v>
      </c>
      <c r="M11" s="43">
        <v>57</v>
      </c>
      <c r="N11" s="43">
        <v>31.9</v>
      </c>
      <c r="O11" s="44">
        <f t="shared" si="3"/>
        <v>4.7280499066035517</v>
      </c>
      <c r="P11" s="44">
        <f t="shared" si="4"/>
        <v>2.6949884467640244</v>
      </c>
      <c r="Q11" s="45">
        <f t="shared" si="5"/>
        <v>2.0330614598395274</v>
      </c>
    </row>
    <row r="12" spans="1:20" x14ac:dyDescent="0.25">
      <c r="A12" s="122">
        <v>0.4826388888888889</v>
      </c>
      <c r="B12" s="43">
        <v>55</v>
      </c>
      <c r="C12" s="43">
        <v>31.8</v>
      </c>
      <c r="D12" s="44">
        <f t="shared" si="0"/>
        <v>4.7013779111236333</v>
      </c>
      <c r="E12" s="44">
        <f t="shared" si="1"/>
        <v>2.5857578511179984</v>
      </c>
      <c r="F12" s="45">
        <f t="shared" si="2"/>
        <v>2.115620060005635</v>
      </c>
      <c r="H12" s="11"/>
      <c r="L12" s="122">
        <v>0.48333333333333334</v>
      </c>
      <c r="M12" s="43">
        <v>56</v>
      </c>
      <c r="N12" s="43">
        <v>31.8</v>
      </c>
      <c r="O12" s="44">
        <f t="shared" si="3"/>
        <v>4.7013779111236333</v>
      </c>
      <c r="P12" s="44">
        <f t="shared" si="4"/>
        <v>2.6327716302292345</v>
      </c>
      <c r="Q12" s="45">
        <f t="shared" si="5"/>
        <v>2.0686062808943988</v>
      </c>
    </row>
    <row r="13" spans="1:20" x14ac:dyDescent="0.25">
      <c r="A13" s="122">
        <v>0.49513888888888891</v>
      </c>
      <c r="B13" s="43">
        <v>58</v>
      </c>
      <c r="C13" s="43">
        <v>31.9</v>
      </c>
      <c r="D13" s="44">
        <f t="shared" si="0"/>
        <v>4.7280499066035517</v>
      </c>
      <c r="E13" s="44">
        <f t="shared" si="1"/>
        <v>2.7422689458300602</v>
      </c>
      <c r="F13" s="45">
        <f t="shared" si="2"/>
        <v>1.9857809607734915</v>
      </c>
      <c r="H13" s="11"/>
      <c r="L13" s="122">
        <v>0.49652777777777779</v>
      </c>
      <c r="M13" s="43">
        <v>54</v>
      </c>
      <c r="N13" s="43">
        <v>31.8</v>
      </c>
      <c r="O13" s="44">
        <f t="shared" si="3"/>
        <v>4.7013779111236333</v>
      </c>
      <c r="P13" s="44">
        <f t="shared" si="4"/>
        <v>2.5387440720067618</v>
      </c>
      <c r="Q13" s="45">
        <f t="shared" si="5"/>
        <v>2.1626338391168716</v>
      </c>
    </row>
    <row r="14" spans="1:20" x14ac:dyDescent="0.25">
      <c r="A14" s="134">
        <v>0.53263888888888888</v>
      </c>
      <c r="B14" s="46">
        <v>45</v>
      </c>
      <c r="C14" s="46">
        <v>32.200000000000003</v>
      </c>
      <c r="D14" s="47">
        <f t="shared" si="0"/>
        <v>4.8088560944274183</v>
      </c>
      <c r="E14" s="47">
        <f t="shared" si="1"/>
        <v>2.163985242492338</v>
      </c>
      <c r="F14" s="48">
        <f t="shared" si="2"/>
        <v>2.6448708519350803</v>
      </c>
      <c r="H14" s="11"/>
      <c r="L14" s="134">
        <v>0.52361111111111114</v>
      </c>
      <c r="M14" s="46">
        <v>45</v>
      </c>
      <c r="N14" s="46">
        <v>31.7</v>
      </c>
      <c r="O14" s="47">
        <f t="shared" si="3"/>
        <v>4.6748367155366184</v>
      </c>
      <c r="P14" s="47">
        <f t="shared" si="4"/>
        <v>2.1036765219914786</v>
      </c>
      <c r="Q14" s="48">
        <f t="shared" si="5"/>
        <v>2.5711601935451398</v>
      </c>
    </row>
    <row r="15" spans="1:20" x14ac:dyDescent="0.25">
      <c r="A15" s="134">
        <v>0.54861111111111116</v>
      </c>
      <c r="B15" s="46">
        <v>44</v>
      </c>
      <c r="C15" s="46">
        <v>31.6</v>
      </c>
      <c r="D15" s="47">
        <f t="shared" si="0"/>
        <v>4.6484257822496353</v>
      </c>
      <c r="E15" s="47">
        <f t="shared" si="1"/>
        <v>2.0453073441898395</v>
      </c>
      <c r="F15" s="48">
        <f t="shared" si="2"/>
        <v>2.6031184380597958</v>
      </c>
      <c r="H15" s="11"/>
      <c r="L15" s="134">
        <v>0.54166666666666663</v>
      </c>
      <c r="M15" s="46">
        <v>43</v>
      </c>
      <c r="N15" s="46">
        <v>32</v>
      </c>
      <c r="O15" s="47">
        <f t="shared" si="3"/>
        <v>4.7548532413075932</v>
      </c>
      <c r="P15" s="47">
        <f t="shared" si="4"/>
        <v>2.0445868937622653</v>
      </c>
      <c r="Q15" s="48">
        <f t="shared" si="5"/>
        <v>2.7102663475453279</v>
      </c>
    </row>
    <row r="16" spans="1:20" x14ac:dyDescent="0.25">
      <c r="A16" s="134">
        <v>0.55208333333333337</v>
      </c>
      <c r="B16" s="46">
        <v>43</v>
      </c>
      <c r="C16" s="46">
        <v>31.7</v>
      </c>
      <c r="D16" s="47">
        <f t="shared" si="0"/>
        <v>4.6748367155366184</v>
      </c>
      <c r="E16" s="47">
        <f t="shared" si="1"/>
        <v>2.0101797876807459</v>
      </c>
      <c r="F16" s="48">
        <f t="shared" si="2"/>
        <v>2.6646569278558725</v>
      </c>
      <c r="H16" s="11"/>
      <c r="L16" s="134">
        <v>0.55000000000000004</v>
      </c>
      <c r="M16" s="46">
        <v>45</v>
      </c>
      <c r="N16" s="46">
        <v>32.200000000000003</v>
      </c>
      <c r="O16" s="47">
        <f t="shared" si="3"/>
        <v>4.8088560944274183</v>
      </c>
      <c r="P16" s="47">
        <f t="shared" si="4"/>
        <v>2.163985242492338</v>
      </c>
      <c r="Q16" s="48">
        <f t="shared" si="5"/>
        <v>2.6448708519350803</v>
      </c>
    </row>
    <row r="17" spans="1:17" x14ac:dyDescent="0.25">
      <c r="A17" s="146">
        <v>0.6</v>
      </c>
      <c r="B17" s="49">
        <v>35</v>
      </c>
      <c r="C17" s="49">
        <v>32</v>
      </c>
      <c r="D17" s="50">
        <f t="shared" si="0"/>
        <v>4.7548532413075932</v>
      </c>
      <c r="E17" s="50">
        <f t="shared" si="1"/>
        <v>1.6641986344576578</v>
      </c>
      <c r="F17" s="51">
        <f t="shared" si="2"/>
        <v>3.0906546068499354</v>
      </c>
      <c r="H17" s="11"/>
      <c r="L17" s="146">
        <v>0.59513888888888888</v>
      </c>
      <c r="M17" s="49">
        <v>35</v>
      </c>
      <c r="N17" s="49">
        <v>32.1</v>
      </c>
      <c r="O17" s="50">
        <f t="shared" si="3"/>
        <v>4.7817884563091235</v>
      </c>
      <c r="P17" s="50">
        <f t="shared" si="4"/>
        <v>1.6736259597081931</v>
      </c>
      <c r="Q17" s="51">
        <f t="shared" si="5"/>
        <v>3.1081624966009302</v>
      </c>
    </row>
    <row r="18" spans="1:17" x14ac:dyDescent="0.25">
      <c r="A18" s="146">
        <v>0.60902777777777772</v>
      </c>
      <c r="B18" s="49">
        <v>34</v>
      </c>
      <c r="C18" s="49">
        <v>32</v>
      </c>
      <c r="D18" s="50">
        <f t="shared" si="0"/>
        <v>4.7548532413075932</v>
      </c>
      <c r="E18" s="50">
        <f t="shared" si="1"/>
        <v>1.6166501020445816</v>
      </c>
      <c r="F18" s="51">
        <f t="shared" si="2"/>
        <v>3.1382031392630116</v>
      </c>
      <c r="H18" s="11"/>
      <c r="L18" s="146">
        <v>0.60416666666666663</v>
      </c>
      <c r="M18" s="49">
        <v>35</v>
      </c>
      <c r="N18" s="49">
        <v>31.8</v>
      </c>
      <c r="O18" s="50">
        <f t="shared" si="3"/>
        <v>4.7013779111236333</v>
      </c>
      <c r="P18" s="50">
        <f t="shared" si="4"/>
        <v>1.6454822688932718</v>
      </c>
      <c r="Q18" s="51">
        <f t="shared" si="5"/>
        <v>3.0558956422303618</v>
      </c>
    </row>
    <row r="19" spans="1:17" x14ac:dyDescent="0.25">
      <c r="A19" s="146">
        <v>0.61250000000000004</v>
      </c>
      <c r="B19" s="49">
        <v>33</v>
      </c>
      <c r="C19" s="49">
        <v>32.200000000000003</v>
      </c>
      <c r="D19" s="50">
        <f t="shared" si="0"/>
        <v>4.8088560944274183</v>
      </c>
      <c r="E19" s="50">
        <f t="shared" si="1"/>
        <v>1.5869225111610481</v>
      </c>
      <c r="F19" s="51">
        <f t="shared" si="2"/>
        <v>3.2219335832663702</v>
      </c>
      <c r="H19" s="11"/>
      <c r="L19" s="146">
        <v>0.61111111111111116</v>
      </c>
      <c r="M19" s="49">
        <v>33</v>
      </c>
      <c r="N19" s="49">
        <v>32</v>
      </c>
      <c r="O19" s="50">
        <f t="shared" si="3"/>
        <v>4.7548532413075932</v>
      </c>
      <c r="P19" s="50">
        <f t="shared" si="4"/>
        <v>1.5691015696315056</v>
      </c>
      <c r="Q19" s="51">
        <f t="shared" si="5"/>
        <v>3.1857516716760879</v>
      </c>
    </row>
    <row r="20" spans="1:17" x14ac:dyDescent="0.25">
      <c r="A20" s="158">
        <v>0.65486111111111112</v>
      </c>
      <c r="B20" s="52">
        <v>32</v>
      </c>
      <c r="C20" s="52">
        <v>32.5</v>
      </c>
      <c r="D20" s="53">
        <f t="shared" ref="D20:D22" si="6">0.61081*EXP((17.27*C20)/(237.3+C20))</f>
        <v>4.8908590019438289</v>
      </c>
      <c r="E20" s="53">
        <f t="shared" ref="E20:E22" si="7">B20*D20/100</f>
        <v>1.5650748806220252</v>
      </c>
      <c r="F20" s="54">
        <f t="shared" ref="F20:F22" si="8">D20-E20</f>
        <v>3.3257841213218038</v>
      </c>
      <c r="H20" s="11"/>
      <c r="L20" s="158">
        <v>0.64444444444444449</v>
      </c>
      <c r="M20" s="52">
        <v>29</v>
      </c>
      <c r="N20" s="52">
        <v>32.6</v>
      </c>
      <c r="O20" s="53">
        <f t="shared" si="3"/>
        <v>4.9184617957727275</v>
      </c>
      <c r="P20" s="53">
        <f t="shared" si="4"/>
        <v>1.4263539207740912</v>
      </c>
      <c r="Q20" s="54">
        <f t="shared" si="5"/>
        <v>3.4921078749986361</v>
      </c>
    </row>
    <row r="21" spans="1:17" x14ac:dyDescent="0.25">
      <c r="A21" s="158">
        <v>0.65625</v>
      </c>
      <c r="B21" s="52">
        <v>32</v>
      </c>
      <c r="C21" s="52">
        <v>32.6</v>
      </c>
      <c r="D21" s="53">
        <f t="shared" si="6"/>
        <v>4.9184617957727275</v>
      </c>
      <c r="E21" s="53">
        <f t="shared" si="7"/>
        <v>1.5739077746472727</v>
      </c>
      <c r="F21" s="54">
        <f t="shared" si="8"/>
        <v>3.3445540211254547</v>
      </c>
      <c r="H21" s="11"/>
      <c r="L21" s="158">
        <v>0.65208333333333335</v>
      </c>
      <c r="M21" s="52">
        <v>27</v>
      </c>
      <c r="N21" s="52">
        <v>32.6</v>
      </c>
      <c r="O21" s="53">
        <f t="shared" si="3"/>
        <v>4.9184617957727275</v>
      </c>
      <c r="P21" s="53">
        <f t="shared" si="4"/>
        <v>1.3279846848586365</v>
      </c>
      <c r="Q21" s="54">
        <f t="shared" si="5"/>
        <v>3.5904771109140912</v>
      </c>
    </row>
    <row r="22" spans="1:17" x14ac:dyDescent="0.25">
      <c r="A22" s="158">
        <v>0.66874999999999996</v>
      </c>
      <c r="B22" s="52">
        <v>31</v>
      </c>
      <c r="C22" s="52">
        <v>32.6</v>
      </c>
      <c r="D22" s="53">
        <f t="shared" si="6"/>
        <v>4.9184617957727275</v>
      </c>
      <c r="E22" s="53">
        <f t="shared" si="7"/>
        <v>1.5247231566895456</v>
      </c>
      <c r="F22" s="54">
        <f t="shared" si="8"/>
        <v>3.3937386390831819</v>
      </c>
      <c r="H22" s="11"/>
      <c r="L22" s="158">
        <v>0.65833333333333333</v>
      </c>
      <c r="M22" s="52">
        <v>26</v>
      </c>
      <c r="N22" s="52">
        <v>32.9</v>
      </c>
      <c r="O22" s="53">
        <f t="shared" si="3"/>
        <v>5.0020833737355668</v>
      </c>
      <c r="P22" s="53">
        <f t="shared" si="4"/>
        <v>1.3005416771712472</v>
      </c>
      <c r="Q22" s="54">
        <f t="shared" si="5"/>
        <v>3.7015416965643197</v>
      </c>
    </row>
    <row r="23" spans="1:17" x14ac:dyDescent="0.25">
      <c r="A23" s="158">
        <v>0.67986111111111114</v>
      </c>
      <c r="B23" s="52">
        <v>30</v>
      </c>
      <c r="C23" s="52">
        <v>32.4</v>
      </c>
      <c r="D23" s="53">
        <f t="shared" si="0"/>
        <v>4.8633908200436711</v>
      </c>
      <c r="E23" s="53">
        <f t="shared" si="1"/>
        <v>1.4590172460131012</v>
      </c>
      <c r="F23" s="54">
        <f t="shared" si="2"/>
        <v>3.4043735740305698</v>
      </c>
      <c r="H23" s="11"/>
      <c r="L23" s="158">
        <v>0.66111111111111109</v>
      </c>
      <c r="M23" s="52">
        <v>26</v>
      </c>
      <c r="N23" s="52">
        <v>32.700000000000003</v>
      </c>
      <c r="O23" s="53">
        <f t="shared" si="3"/>
        <v>4.9461997531360256</v>
      </c>
      <c r="P23" s="53">
        <f t="shared" si="4"/>
        <v>1.2860119358153668</v>
      </c>
      <c r="Q23" s="54">
        <f t="shared" si="5"/>
        <v>3.6601878173206588</v>
      </c>
    </row>
    <row r="24" spans="1:17" x14ac:dyDescent="0.25">
      <c r="A24" s="164" t="s">
        <v>125</v>
      </c>
      <c r="B24" s="164"/>
      <c r="C24" s="164"/>
      <c r="D24" s="164"/>
      <c r="E24" s="164"/>
      <c r="F24" s="164"/>
      <c r="H24" s="11"/>
      <c r="L24" s="164" t="s">
        <v>126</v>
      </c>
      <c r="M24" s="164"/>
      <c r="N24" s="164"/>
      <c r="O24" s="164"/>
      <c r="P24" s="164"/>
      <c r="Q24" s="164"/>
    </row>
  </sheetData>
  <mergeCells count="2">
    <mergeCell ref="A24:F24"/>
    <mergeCell ref="L24:Q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34A40-A2CA-46D9-8D3E-A71967E7F160}">
  <dimension ref="A1:W193"/>
  <sheetViews>
    <sheetView tabSelected="1" workbookViewId="0">
      <pane xSplit="2" ySplit="1" topLeftCell="K177" activePane="bottomRight" state="frozen"/>
      <selection pane="topRight" activeCell="C1" sqref="C1"/>
      <selection pane="bottomLeft" activeCell="A2" sqref="A2"/>
      <selection pane="bottomRight" activeCell="Z181" sqref="Z181"/>
    </sheetView>
  </sheetViews>
  <sheetFormatPr defaultRowHeight="15" x14ac:dyDescent="0.25"/>
  <cols>
    <col min="4" max="4" width="13.140625" customWidth="1"/>
    <col min="5" max="5" width="17.28515625" customWidth="1"/>
    <col min="6" max="6" width="14.140625" customWidth="1"/>
    <col min="7" max="7" width="13.7109375" customWidth="1"/>
    <col min="8" max="8" width="12.5703125" customWidth="1"/>
    <col min="9" max="9" width="15" customWidth="1"/>
    <col min="10" max="10" width="18.7109375" customWidth="1"/>
    <col min="17" max="17" width="13.140625" customWidth="1"/>
    <col min="18" max="18" width="16" customWidth="1"/>
    <col min="19" max="19" width="12.7109375" customWidth="1"/>
    <col min="20" max="20" width="14.7109375" customWidth="1"/>
    <col min="21" max="21" width="12.7109375" customWidth="1"/>
    <col min="22" max="22" width="15.140625" customWidth="1"/>
  </cols>
  <sheetData>
    <row r="1" spans="1:23" ht="47.25" x14ac:dyDescent="0.25">
      <c r="A1" s="74" t="s">
        <v>43</v>
      </c>
      <c r="B1" s="74" t="s">
        <v>87</v>
      </c>
      <c r="C1" s="74" t="s">
        <v>83</v>
      </c>
      <c r="D1" s="75" t="s">
        <v>84</v>
      </c>
      <c r="E1" s="76" t="s">
        <v>130</v>
      </c>
      <c r="F1" s="76" t="s">
        <v>25</v>
      </c>
      <c r="G1" s="76" t="s">
        <v>85</v>
      </c>
      <c r="H1" s="76" t="s">
        <v>26</v>
      </c>
      <c r="I1" s="76" t="s">
        <v>86</v>
      </c>
      <c r="J1" s="76" t="s">
        <v>42</v>
      </c>
      <c r="N1" s="74" t="s">
        <v>43</v>
      </c>
      <c r="O1" s="74" t="s">
        <v>87</v>
      </c>
      <c r="P1" s="74" t="s">
        <v>83</v>
      </c>
      <c r="Q1" s="75" t="s">
        <v>84</v>
      </c>
      <c r="R1" s="76" t="s">
        <v>129</v>
      </c>
      <c r="S1" s="76" t="s">
        <v>25</v>
      </c>
      <c r="T1" s="76" t="s">
        <v>85</v>
      </c>
      <c r="U1" s="76" t="s">
        <v>26</v>
      </c>
      <c r="V1" s="76" t="s">
        <v>86</v>
      </c>
      <c r="W1" s="76" t="s">
        <v>42</v>
      </c>
    </row>
    <row r="2" spans="1:23" x14ac:dyDescent="0.25">
      <c r="A2" s="195">
        <v>0.38472222222222224</v>
      </c>
      <c r="B2" s="195" t="s">
        <v>112</v>
      </c>
      <c r="C2" s="77">
        <v>1</v>
      </c>
      <c r="D2" s="30">
        <v>1603.6</v>
      </c>
      <c r="E2" s="78">
        <v>2506.02</v>
      </c>
      <c r="F2" s="78">
        <f>E2- D2</f>
        <v>902.42000000000007</v>
      </c>
      <c r="G2" s="79">
        <v>1316.3000000000002</v>
      </c>
      <c r="H2" s="89">
        <f>(F2/$G2)*100</f>
        <v>68.557319759933151</v>
      </c>
      <c r="I2" s="78">
        <v>921.4100000000002</v>
      </c>
      <c r="J2" s="80">
        <f>I2-F2</f>
        <v>18.990000000000123</v>
      </c>
      <c r="N2" s="195">
        <v>0.37847222222222221</v>
      </c>
      <c r="O2" s="195" t="s">
        <v>112</v>
      </c>
      <c r="P2" s="77">
        <v>1</v>
      </c>
      <c r="Q2" s="30">
        <v>1603.6</v>
      </c>
      <c r="R2" s="78">
        <v>2505.69</v>
      </c>
      <c r="S2" s="78">
        <f>R2- Q2</f>
        <v>902.09000000000015</v>
      </c>
      <c r="T2" s="79">
        <v>1316.3000000000002</v>
      </c>
      <c r="U2" s="89">
        <f>(S2/$G2)*100</f>
        <v>68.532249487198968</v>
      </c>
      <c r="V2" s="78">
        <v>921.4100000000002</v>
      </c>
      <c r="W2" s="80">
        <f>V2-S2</f>
        <v>19.32000000000005</v>
      </c>
    </row>
    <row r="3" spans="1:23" x14ac:dyDescent="0.25">
      <c r="A3" s="196"/>
      <c r="B3" s="196"/>
      <c r="C3" s="81">
        <v>2</v>
      </c>
      <c r="D3" s="30">
        <v>1758.6</v>
      </c>
      <c r="E3" s="30">
        <v>2681.33</v>
      </c>
      <c r="F3" s="30">
        <f t="shared" ref="F3:F17" si="0">E3- D3</f>
        <v>922.73</v>
      </c>
      <c r="G3" s="82">
        <v>1342.6</v>
      </c>
      <c r="H3" s="90">
        <f t="shared" ref="H3:H17" si="1">(F3/$G3)*100</f>
        <v>68.727096678087293</v>
      </c>
      <c r="I3" s="30">
        <v>939.82</v>
      </c>
      <c r="J3" s="83">
        <f t="shared" ref="J3:J17" si="2">I3-F3</f>
        <v>17.090000000000032</v>
      </c>
      <c r="N3" s="196"/>
      <c r="O3" s="196"/>
      <c r="P3" s="81">
        <v>2</v>
      </c>
      <c r="Q3" s="30">
        <v>1758.6</v>
      </c>
      <c r="R3" s="30">
        <v>2679.85</v>
      </c>
      <c r="S3" s="30">
        <f t="shared" ref="S3:S17" si="3">R3- Q3</f>
        <v>921.25</v>
      </c>
      <c r="T3" s="82">
        <v>1342.6</v>
      </c>
      <c r="U3" s="90">
        <f t="shared" ref="U3:U17" si="4">(S3/$G3)*100</f>
        <v>68.616862803515573</v>
      </c>
      <c r="V3" s="30">
        <v>939.82</v>
      </c>
      <c r="W3" s="83">
        <f t="shared" ref="W3:W17" si="5">V3-S3</f>
        <v>18.57000000000005</v>
      </c>
    </row>
    <row r="4" spans="1:23" x14ac:dyDescent="0.25">
      <c r="A4" s="196"/>
      <c r="B4" s="196"/>
      <c r="C4" s="81">
        <v>3</v>
      </c>
      <c r="D4" s="30">
        <v>1573.8</v>
      </c>
      <c r="E4" s="30">
        <v>2534.34</v>
      </c>
      <c r="F4" s="30">
        <f t="shared" si="0"/>
        <v>960.54000000000019</v>
      </c>
      <c r="G4" s="82">
        <v>1413.6000000000001</v>
      </c>
      <c r="H4" s="90">
        <f t="shared" si="1"/>
        <v>67.949915110356542</v>
      </c>
      <c r="I4" s="30">
        <v>989.5200000000001</v>
      </c>
      <c r="J4" s="83">
        <f t="shared" si="2"/>
        <v>28.979999999999905</v>
      </c>
      <c r="N4" s="196"/>
      <c r="O4" s="196"/>
      <c r="P4" s="81">
        <v>3</v>
      </c>
      <c r="Q4" s="30">
        <v>1573.8</v>
      </c>
      <c r="R4" s="30">
        <v>2531.81</v>
      </c>
      <c r="S4" s="30">
        <f t="shared" si="3"/>
        <v>958.01</v>
      </c>
      <c r="T4" s="82">
        <v>1413.6000000000001</v>
      </c>
      <c r="U4" s="90">
        <f t="shared" si="4"/>
        <v>67.770939445387654</v>
      </c>
      <c r="V4" s="30">
        <v>989.5200000000001</v>
      </c>
      <c r="W4" s="83">
        <f t="shared" si="5"/>
        <v>31.510000000000105</v>
      </c>
    </row>
    <row r="5" spans="1:23" x14ac:dyDescent="0.25">
      <c r="A5" s="196"/>
      <c r="B5" s="196"/>
      <c r="C5" s="81">
        <v>4</v>
      </c>
      <c r="D5" s="30">
        <v>1558.8</v>
      </c>
      <c r="E5" s="30">
        <v>2623.65</v>
      </c>
      <c r="F5" s="30">
        <f t="shared" si="0"/>
        <v>1064.8500000000001</v>
      </c>
      <c r="G5" s="82">
        <v>1556.6000000000001</v>
      </c>
      <c r="H5" s="90">
        <f t="shared" si="1"/>
        <v>68.408711293845556</v>
      </c>
      <c r="I5" s="30">
        <v>1089.6200000000001</v>
      </c>
      <c r="J5" s="83">
        <f t="shared" si="2"/>
        <v>24.769999999999982</v>
      </c>
      <c r="N5" s="196"/>
      <c r="O5" s="196"/>
      <c r="P5" s="81">
        <v>4</v>
      </c>
      <c r="Q5" s="30">
        <v>1558.8</v>
      </c>
      <c r="R5" s="30">
        <v>2625.02</v>
      </c>
      <c r="S5" s="30">
        <f t="shared" si="3"/>
        <v>1066.22</v>
      </c>
      <c r="T5" s="82">
        <v>1556.6000000000001</v>
      </c>
      <c r="U5" s="90">
        <f t="shared" si="4"/>
        <v>68.496723628420909</v>
      </c>
      <c r="V5" s="30">
        <v>1089.6200000000001</v>
      </c>
      <c r="W5" s="83">
        <f t="shared" si="5"/>
        <v>23.400000000000091</v>
      </c>
    </row>
    <row r="6" spans="1:23" x14ac:dyDescent="0.25">
      <c r="A6" s="196"/>
      <c r="B6" s="196"/>
      <c r="C6" s="81">
        <v>5</v>
      </c>
      <c r="D6" s="30">
        <v>1747.9</v>
      </c>
      <c r="E6" s="30">
        <v>2813.14</v>
      </c>
      <c r="F6" s="30">
        <f t="shared" si="0"/>
        <v>1065.2399999999998</v>
      </c>
      <c r="G6" s="82">
        <v>1545.4</v>
      </c>
      <c r="H6" s="90">
        <f t="shared" si="1"/>
        <v>68.929726931538738</v>
      </c>
      <c r="I6" s="30">
        <v>1081.78</v>
      </c>
      <c r="J6" s="83">
        <f t="shared" si="2"/>
        <v>16.540000000000191</v>
      </c>
      <c r="N6" s="196"/>
      <c r="O6" s="196"/>
      <c r="P6" s="81">
        <v>5</v>
      </c>
      <c r="Q6" s="30">
        <v>1747.9</v>
      </c>
      <c r="R6" s="30">
        <v>2817.17</v>
      </c>
      <c r="S6" s="30">
        <f t="shared" si="3"/>
        <v>1069.27</v>
      </c>
      <c r="T6" s="82">
        <v>1545.4</v>
      </c>
      <c r="U6" s="90">
        <f t="shared" si="4"/>
        <v>69.190500841206159</v>
      </c>
      <c r="V6" s="30">
        <v>1081.78</v>
      </c>
      <c r="W6" s="83">
        <f t="shared" si="5"/>
        <v>12.509999999999991</v>
      </c>
    </row>
    <row r="7" spans="1:23" x14ac:dyDescent="0.25">
      <c r="A7" s="196"/>
      <c r="B7" s="196"/>
      <c r="C7" s="81">
        <v>6</v>
      </c>
      <c r="D7" s="30">
        <v>1789</v>
      </c>
      <c r="E7" s="30">
        <v>2767.26</v>
      </c>
      <c r="F7" s="30">
        <f t="shared" si="0"/>
        <v>978.26000000000022</v>
      </c>
      <c r="G7" s="82">
        <v>1440.1999999999998</v>
      </c>
      <c r="H7" s="90">
        <f t="shared" si="1"/>
        <v>67.925288154423029</v>
      </c>
      <c r="I7" s="30">
        <v>1008.1399999999999</v>
      </c>
      <c r="J7" s="83">
        <f t="shared" si="2"/>
        <v>29.879999999999654</v>
      </c>
      <c r="N7" s="196"/>
      <c r="O7" s="196"/>
      <c r="P7" s="81">
        <v>6</v>
      </c>
      <c r="Q7" s="30">
        <v>1789</v>
      </c>
      <c r="R7" s="30">
        <v>2766.4</v>
      </c>
      <c r="S7" s="30">
        <f t="shared" si="3"/>
        <v>977.40000000000009</v>
      </c>
      <c r="T7" s="82">
        <v>1440.1999999999998</v>
      </c>
      <c r="U7" s="90">
        <f t="shared" si="4"/>
        <v>67.865574225801979</v>
      </c>
      <c r="V7" s="30">
        <v>1008.1399999999999</v>
      </c>
      <c r="W7" s="83">
        <f t="shared" si="5"/>
        <v>30.739999999999782</v>
      </c>
    </row>
    <row r="8" spans="1:23" x14ac:dyDescent="0.25">
      <c r="A8" s="196"/>
      <c r="B8" s="196"/>
      <c r="C8" s="81">
        <v>7</v>
      </c>
      <c r="D8" s="30">
        <v>1565.53</v>
      </c>
      <c r="E8" s="30">
        <v>2485.87</v>
      </c>
      <c r="F8" s="30">
        <f t="shared" si="0"/>
        <v>920.33999999999992</v>
      </c>
      <c r="G8" s="82">
        <v>1343.2700000000002</v>
      </c>
      <c r="H8" s="90">
        <f t="shared" si="1"/>
        <v>68.51489276169346</v>
      </c>
      <c r="I8" s="30">
        <v>940.2890000000001</v>
      </c>
      <c r="J8" s="83">
        <f t="shared" si="2"/>
        <v>19.949000000000183</v>
      </c>
      <c r="N8" s="196"/>
      <c r="O8" s="196"/>
      <c r="P8" s="81">
        <v>7</v>
      </c>
      <c r="Q8" s="30">
        <v>1565.53</v>
      </c>
      <c r="R8" s="30">
        <v>2484.23</v>
      </c>
      <c r="S8" s="30">
        <f t="shared" si="3"/>
        <v>918.7</v>
      </c>
      <c r="T8" s="82">
        <v>1343.2700000000002</v>
      </c>
      <c r="U8" s="90">
        <f t="shared" si="4"/>
        <v>68.392802638337784</v>
      </c>
      <c r="V8" s="30">
        <v>940.2890000000001</v>
      </c>
      <c r="W8" s="83">
        <f t="shared" si="5"/>
        <v>21.589000000000055</v>
      </c>
    </row>
    <row r="9" spans="1:23" x14ac:dyDescent="0.25">
      <c r="A9" s="196"/>
      <c r="B9" s="196"/>
      <c r="C9" s="81">
        <v>8</v>
      </c>
      <c r="D9" s="30">
        <v>1607.4</v>
      </c>
      <c r="E9" s="30">
        <v>2526.75</v>
      </c>
      <c r="F9" s="30">
        <f t="shared" si="0"/>
        <v>919.34999999999991</v>
      </c>
      <c r="G9" s="82">
        <v>1348.7999999999997</v>
      </c>
      <c r="H9" s="90">
        <f t="shared" si="1"/>
        <v>68.160587188612112</v>
      </c>
      <c r="I9" s="30">
        <v>944.15999999999985</v>
      </c>
      <c r="J9" s="83">
        <f t="shared" si="2"/>
        <v>24.809999999999945</v>
      </c>
      <c r="N9" s="196"/>
      <c r="O9" s="196"/>
      <c r="P9" s="81">
        <v>8</v>
      </c>
      <c r="Q9" s="30">
        <v>1607.4</v>
      </c>
      <c r="R9" s="30">
        <v>2519.9499999999998</v>
      </c>
      <c r="S9" s="30">
        <f t="shared" si="3"/>
        <v>912.54999999999973</v>
      </c>
      <c r="T9" s="82">
        <v>1348.7999999999997</v>
      </c>
      <c r="U9" s="90">
        <f t="shared" si="4"/>
        <v>67.656435349940679</v>
      </c>
      <c r="V9" s="30">
        <v>944.15999999999985</v>
      </c>
      <c r="W9" s="83">
        <f t="shared" si="5"/>
        <v>31.610000000000127</v>
      </c>
    </row>
    <row r="10" spans="1:23" x14ac:dyDescent="0.25">
      <c r="A10" s="196"/>
      <c r="B10" s="196"/>
      <c r="C10" s="81">
        <v>9</v>
      </c>
      <c r="D10" s="30">
        <v>1555.9</v>
      </c>
      <c r="E10" s="30">
        <v>2494.5300000000002</v>
      </c>
      <c r="F10" s="30">
        <f t="shared" si="0"/>
        <v>938.63000000000011</v>
      </c>
      <c r="G10" s="82">
        <v>1360.4</v>
      </c>
      <c r="H10" s="90">
        <f t="shared" si="1"/>
        <v>68.996618641576006</v>
      </c>
      <c r="I10" s="30">
        <v>952.28</v>
      </c>
      <c r="J10" s="83">
        <f t="shared" si="2"/>
        <v>13.649999999999864</v>
      </c>
      <c r="N10" s="196"/>
      <c r="O10" s="196"/>
      <c r="P10" s="81">
        <v>9</v>
      </c>
      <c r="Q10" s="30">
        <v>1555.9</v>
      </c>
      <c r="R10" s="30">
        <v>2490.87</v>
      </c>
      <c r="S10" s="30">
        <f t="shared" si="3"/>
        <v>934.9699999999998</v>
      </c>
      <c r="T10" s="82">
        <v>1360.4</v>
      </c>
      <c r="U10" s="90">
        <f t="shared" si="4"/>
        <v>68.72758012349307</v>
      </c>
      <c r="V10" s="30">
        <v>952.28</v>
      </c>
      <c r="W10" s="83">
        <f t="shared" si="5"/>
        <v>17.310000000000173</v>
      </c>
    </row>
    <row r="11" spans="1:23" x14ac:dyDescent="0.25">
      <c r="A11" s="196"/>
      <c r="B11" s="196"/>
      <c r="C11" s="81">
        <v>10</v>
      </c>
      <c r="D11" s="30">
        <v>1625.9</v>
      </c>
      <c r="E11" s="30">
        <v>2491.92</v>
      </c>
      <c r="F11" s="30">
        <f t="shared" si="0"/>
        <v>866.02</v>
      </c>
      <c r="G11" s="82">
        <v>1266.6999999999998</v>
      </c>
      <c r="H11" s="90">
        <f t="shared" si="1"/>
        <v>68.368200836820094</v>
      </c>
      <c r="I11" s="30">
        <v>886.68999999999983</v>
      </c>
      <c r="J11" s="83">
        <f t="shared" si="2"/>
        <v>20.669999999999845</v>
      </c>
      <c r="N11" s="196"/>
      <c r="O11" s="196"/>
      <c r="P11" s="81">
        <v>10</v>
      </c>
      <c r="Q11" s="30">
        <v>1625.9</v>
      </c>
      <c r="R11" s="30">
        <v>2489.36</v>
      </c>
      <c r="S11" s="30">
        <f t="shared" si="3"/>
        <v>863.46</v>
      </c>
      <c r="T11" s="82">
        <v>1266.6999999999998</v>
      </c>
      <c r="U11" s="90">
        <f t="shared" si="4"/>
        <v>68.166100892081801</v>
      </c>
      <c r="V11" s="30">
        <v>886.68999999999983</v>
      </c>
      <c r="W11" s="83">
        <f t="shared" si="5"/>
        <v>23.229999999999791</v>
      </c>
    </row>
    <row r="12" spans="1:23" x14ac:dyDescent="0.25">
      <c r="A12" s="196"/>
      <c r="B12" s="196"/>
      <c r="C12" s="81">
        <v>11</v>
      </c>
      <c r="D12" s="30">
        <v>1542.1</v>
      </c>
      <c r="E12" s="30">
        <v>2493.39</v>
      </c>
      <c r="F12" s="30">
        <f t="shared" si="0"/>
        <v>951.29</v>
      </c>
      <c r="G12" s="82">
        <v>1390.9</v>
      </c>
      <c r="H12" s="90">
        <f t="shared" si="1"/>
        <v>68.393845711409867</v>
      </c>
      <c r="I12" s="30">
        <v>973.63</v>
      </c>
      <c r="J12" s="83">
        <f t="shared" si="2"/>
        <v>22.340000000000032</v>
      </c>
      <c r="N12" s="196"/>
      <c r="O12" s="196"/>
      <c r="P12" s="81">
        <v>11</v>
      </c>
      <c r="Q12" s="30">
        <v>1542.1</v>
      </c>
      <c r="R12" s="30">
        <v>2495.09</v>
      </c>
      <c r="S12" s="30">
        <f t="shared" si="3"/>
        <v>952.99000000000024</v>
      </c>
      <c r="T12" s="82">
        <v>1390.9</v>
      </c>
      <c r="U12" s="90">
        <f t="shared" si="4"/>
        <v>68.516068732475389</v>
      </c>
      <c r="V12" s="30">
        <v>973.63</v>
      </c>
      <c r="W12" s="83">
        <f t="shared" si="5"/>
        <v>20.639999999999759</v>
      </c>
    </row>
    <row r="13" spans="1:23" x14ac:dyDescent="0.25">
      <c r="A13" s="196"/>
      <c r="B13" s="196"/>
      <c r="C13" s="81">
        <v>12</v>
      </c>
      <c r="D13" s="30">
        <v>1487.3</v>
      </c>
      <c r="E13" s="30">
        <v>2368.4499999999998</v>
      </c>
      <c r="F13" s="30">
        <f t="shared" si="0"/>
        <v>881.14999999999986</v>
      </c>
      <c r="G13" s="82">
        <v>1282.6000000000001</v>
      </c>
      <c r="H13" s="90">
        <f t="shared" si="1"/>
        <v>68.70029627319505</v>
      </c>
      <c r="I13" s="30">
        <v>897.82000000000016</v>
      </c>
      <c r="J13" s="83">
        <f t="shared" si="2"/>
        <v>16.6700000000003</v>
      </c>
      <c r="N13" s="196"/>
      <c r="O13" s="196"/>
      <c r="P13" s="81">
        <v>12</v>
      </c>
      <c r="Q13" s="30">
        <v>1487.3</v>
      </c>
      <c r="R13" s="30">
        <v>2253.71</v>
      </c>
      <c r="S13" s="30">
        <f t="shared" si="3"/>
        <v>766.41000000000008</v>
      </c>
      <c r="T13" s="82">
        <v>1282.6000000000001</v>
      </c>
      <c r="U13" s="90">
        <f t="shared" si="4"/>
        <v>59.75440511461094</v>
      </c>
      <c r="V13" s="30">
        <v>897.82000000000016</v>
      </c>
      <c r="W13" s="83">
        <f t="shared" si="5"/>
        <v>131.41000000000008</v>
      </c>
    </row>
    <row r="14" spans="1:23" x14ac:dyDescent="0.25">
      <c r="A14" s="196"/>
      <c r="B14" s="196"/>
      <c r="C14" s="81">
        <v>13</v>
      </c>
      <c r="D14" s="30">
        <v>1567.2</v>
      </c>
      <c r="E14" s="30">
        <v>2429.4499999999998</v>
      </c>
      <c r="F14" s="30">
        <f t="shared" si="0"/>
        <v>862.24999999999977</v>
      </c>
      <c r="G14" s="82">
        <v>1252.1000000000001</v>
      </c>
      <c r="H14" s="90">
        <f t="shared" si="1"/>
        <v>68.864307962622775</v>
      </c>
      <c r="I14" s="30">
        <v>876.47000000000014</v>
      </c>
      <c r="J14" s="83">
        <f t="shared" si="2"/>
        <v>14.220000000000368</v>
      </c>
      <c r="N14" s="196"/>
      <c r="O14" s="196"/>
      <c r="P14" s="81">
        <v>13</v>
      </c>
      <c r="Q14" s="30">
        <v>1567.2</v>
      </c>
      <c r="R14" s="30">
        <v>2470.29</v>
      </c>
      <c r="S14" s="30">
        <f t="shared" si="3"/>
        <v>903.08999999999992</v>
      </c>
      <c r="T14" s="82">
        <v>1252.1000000000001</v>
      </c>
      <c r="U14" s="90">
        <f t="shared" si="4"/>
        <v>72.126028272502182</v>
      </c>
      <c r="V14" s="30">
        <v>876.47000000000014</v>
      </c>
      <c r="W14" s="83">
        <f t="shared" si="5"/>
        <v>-26.619999999999777</v>
      </c>
    </row>
    <row r="15" spans="1:23" x14ac:dyDescent="0.25">
      <c r="A15" s="196"/>
      <c r="B15" s="196"/>
      <c r="C15" s="81">
        <v>14</v>
      </c>
      <c r="D15" s="30">
        <v>1704.9</v>
      </c>
      <c r="E15" s="30">
        <v>2573.5100000000002</v>
      </c>
      <c r="F15" s="30">
        <f t="shared" si="0"/>
        <v>868.61000000000013</v>
      </c>
      <c r="G15" s="82">
        <v>1271.7999999999997</v>
      </c>
      <c r="H15" s="90">
        <f t="shared" si="1"/>
        <v>68.297688315772945</v>
      </c>
      <c r="I15" s="30">
        <v>890.25999999999988</v>
      </c>
      <c r="J15" s="83">
        <f t="shared" si="2"/>
        <v>21.64999999999975</v>
      </c>
      <c r="N15" s="196"/>
      <c r="O15" s="196"/>
      <c r="P15" s="81">
        <v>14</v>
      </c>
      <c r="Q15" s="30">
        <v>1704.9</v>
      </c>
      <c r="R15" s="30">
        <v>2573.0300000000002</v>
      </c>
      <c r="S15" s="30">
        <f t="shared" si="3"/>
        <v>868.13000000000011</v>
      </c>
      <c r="T15" s="82">
        <v>1271.7999999999997</v>
      </c>
      <c r="U15" s="90">
        <f t="shared" si="4"/>
        <v>68.259946532473677</v>
      </c>
      <c r="V15" s="30">
        <v>890.25999999999988</v>
      </c>
      <c r="W15" s="83">
        <f t="shared" si="5"/>
        <v>22.129999999999768</v>
      </c>
    </row>
    <row r="16" spans="1:23" x14ac:dyDescent="0.25">
      <c r="A16" s="196"/>
      <c r="B16" s="196"/>
      <c r="C16" s="81">
        <v>15</v>
      </c>
      <c r="D16" s="30">
        <v>1558.2</v>
      </c>
      <c r="E16" s="30">
        <v>2378.1999999999998</v>
      </c>
      <c r="F16" s="30">
        <f t="shared" si="0"/>
        <v>819.99999999999977</v>
      </c>
      <c r="G16" s="82">
        <v>1187.2</v>
      </c>
      <c r="H16" s="90">
        <f t="shared" si="1"/>
        <v>69.070080862533672</v>
      </c>
      <c r="I16" s="30">
        <v>831.04</v>
      </c>
      <c r="J16" s="83">
        <f t="shared" si="2"/>
        <v>11.040000000000191</v>
      </c>
      <c r="N16" s="196"/>
      <c r="O16" s="196"/>
      <c r="P16" s="81">
        <v>15</v>
      </c>
      <c r="Q16" s="30">
        <v>1558.2</v>
      </c>
      <c r="R16" s="30">
        <v>2370.71</v>
      </c>
      <c r="S16" s="30">
        <f t="shared" si="3"/>
        <v>812.51</v>
      </c>
      <c r="T16" s="82">
        <v>1187.2</v>
      </c>
      <c r="U16" s="90">
        <f t="shared" si="4"/>
        <v>68.439184636118597</v>
      </c>
      <c r="V16" s="30">
        <v>831.04</v>
      </c>
      <c r="W16" s="83">
        <f t="shared" si="5"/>
        <v>18.529999999999973</v>
      </c>
    </row>
    <row r="17" spans="1:23" x14ac:dyDescent="0.25">
      <c r="A17" s="197"/>
      <c r="B17" s="197"/>
      <c r="C17" s="84">
        <v>16</v>
      </c>
      <c r="D17" s="6">
        <v>1512.1</v>
      </c>
      <c r="E17" s="85">
        <v>2406.1799999999998</v>
      </c>
      <c r="F17" s="85">
        <f t="shared" si="0"/>
        <v>894.07999999999993</v>
      </c>
      <c r="G17" s="86">
        <v>1276.7000000000003</v>
      </c>
      <c r="H17" s="91">
        <f t="shared" si="1"/>
        <v>70.030547505287046</v>
      </c>
      <c r="I17" s="85">
        <v>893.69000000000017</v>
      </c>
      <c r="J17" s="87">
        <f t="shared" si="2"/>
        <v>-0.38999999999975898</v>
      </c>
      <c r="N17" s="197"/>
      <c r="O17" s="197"/>
      <c r="P17" s="84">
        <v>16</v>
      </c>
      <c r="Q17" s="6">
        <v>1512.1</v>
      </c>
      <c r="R17" s="85">
        <v>2407.83</v>
      </c>
      <c r="S17" s="85">
        <f t="shared" si="3"/>
        <v>895.73</v>
      </c>
      <c r="T17" s="86">
        <v>1276.7000000000003</v>
      </c>
      <c r="U17" s="91">
        <f t="shared" si="4"/>
        <v>70.15978695073234</v>
      </c>
      <c r="V17" s="85">
        <v>893.69000000000017</v>
      </c>
      <c r="W17" s="87">
        <f t="shared" si="5"/>
        <v>-2.0399999999998499</v>
      </c>
    </row>
    <row r="18" spans="1:23" x14ac:dyDescent="0.25">
      <c r="A18" s="195">
        <v>0.41111111111111109</v>
      </c>
      <c r="B18" s="198" t="s">
        <v>113</v>
      </c>
      <c r="C18" s="77">
        <v>1</v>
      </c>
      <c r="D18" s="30">
        <v>1603.6</v>
      </c>
      <c r="E18" s="78">
        <v>2497.15</v>
      </c>
      <c r="F18" s="78">
        <f>E18- D18</f>
        <v>893.55000000000018</v>
      </c>
      <c r="G18" s="79">
        <v>1316.3000000000002</v>
      </c>
      <c r="H18" s="89">
        <f>(F18/$G18)*100</f>
        <v>67.883461217047795</v>
      </c>
      <c r="I18" s="78">
        <v>921.4100000000002</v>
      </c>
      <c r="J18" s="80">
        <f>I18-F18</f>
        <v>27.860000000000014</v>
      </c>
      <c r="N18" s="195">
        <v>0.40694444444444444</v>
      </c>
      <c r="O18" s="198" t="s">
        <v>113</v>
      </c>
      <c r="P18" s="77">
        <v>1</v>
      </c>
      <c r="Q18" s="30">
        <v>1603.6</v>
      </c>
      <c r="R18" s="78">
        <v>2494.61</v>
      </c>
      <c r="S18" s="78">
        <f>R18- Q18</f>
        <v>891.01000000000022</v>
      </c>
      <c r="T18" s="79">
        <v>1316.3000000000002</v>
      </c>
      <c r="U18" s="89">
        <f>(S18/$G18)*100</f>
        <v>67.690496087518042</v>
      </c>
      <c r="V18" s="78">
        <v>921.4100000000002</v>
      </c>
      <c r="W18" s="80">
        <f>V18-S18</f>
        <v>30.399999999999977</v>
      </c>
    </row>
    <row r="19" spans="1:23" x14ac:dyDescent="0.25">
      <c r="A19" s="196"/>
      <c r="B19" s="199"/>
      <c r="C19" s="81">
        <v>2</v>
      </c>
      <c r="D19" s="30">
        <v>1758.6</v>
      </c>
      <c r="E19" s="30">
        <v>2672.66</v>
      </c>
      <c r="F19" s="30">
        <f t="shared" ref="F19:F33" si="6">E19- D19</f>
        <v>914.06</v>
      </c>
      <c r="G19" s="82">
        <v>1342.6</v>
      </c>
      <c r="H19" s="90">
        <f t="shared" ref="H19:H33" si="7">(F19/$G19)*100</f>
        <v>68.081334723670494</v>
      </c>
      <c r="I19" s="30">
        <v>939.82</v>
      </c>
      <c r="J19" s="83">
        <f t="shared" ref="J19:J33" si="8">I19-F19</f>
        <v>25.760000000000105</v>
      </c>
      <c r="N19" s="196"/>
      <c r="O19" s="199"/>
      <c r="P19" s="81">
        <v>2</v>
      </c>
      <c r="Q19" s="30">
        <v>1758.6</v>
      </c>
      <c r="R19" s="30">
        <v>2668.82</v>
      </c>
      <c r="S19" s="30">
        <f t="shared" ref="S19:S33" si="9">R19- Q19</f>
        <v>910.22000000000025</v>
      </c>
      <c r="T19" s="82">
        <v>1342.6</v>
      </c>
      <c r="U19" s="90">
        <f t="shared" ref="U19:U33" si="10">(S19/$G19)*100</f>
        <v>67.795322508565491</v>
      </c>
      <c r="V19" s="30">
        <v>939.82</v>
      </c>
      <c r="W19" s="83">
        <f t="shared" ref="W19:W33" si="11">V19-S19</f>
        <v>29.599999999999795</v>
      </c>
    </row>
    <row r="20" spans="1:23" x14ac:dyDescent="0.25">
      <c r="A20" s="196"/>
      <c r="B20" s="199"/>
      <c r="C20" s="81">
        <v>3</v>
      </c>
      <c r="D20" s="30">
        <v>1573.8</v>
      </c>
      <c r="E20" s="30">
        <v>2523.1999999999998</v>
      </c>
      <c r="F20" s="30">
        <f t="shared" si="6"/>
        <v>949.39999999999986</v>
      </c>
      <c r="G20" s="82">
        <v>1413.6000000000001</v>
      </c>
      <c r="H20" s="90">
        <f t="shared" si="7"/>
        <v>67.161856253537053</v>
      </c>
      <c r="I20" s="30">
        <v>989.5200000000001</v>
      </c>
      <c r="J20" s="83">
        <f t="shared" si="8"/>
        <v>40.120000000000232</v>
      </c>
      <c r="N20" s="196"/>
      <c r="O20" s="199"/>
      <c r="P20" s="81">
        <v>3</v>
      </c>
      <c r="Q20" s="30">
        <v>1573.8</v>
      </c>
      <c r="R20" s="30">
        <v>2517.69</v>
      </c>
      <c r="S20" s="30">
        <f t="shared" si="9"/>
        <v>943.8900000000001</v>
      </c>
      <c r="T20" s="82">
        <v>1413.6000000000001</v>
      </c>
      <c r="U20" s="90">
        <f t="shared" si="10"/>
        <v>66.772071307300507</v>
      </c>
      <c r="V20" s="30">
        <v>989.5200000000001</v>
      </c>
      <c r="W20" s="83">
        <f t="shared" si="11"/>
        <v>45.629999999999995</v>
      </c>
    </row>
    <row r="21" spans="1:23" x14ac:dyDescent="0.25">
      <c r="A21" s="196"/>
      <c r="B21" s="199"/>
      <c r="C21" s="81">
        <v>4</v>
      </c>
      <c r="D21" s="30">
        <v>1558.8</v>
      </c>
      <c r="E21" s="30">
        <v>2613.54</v>
      </c>
      <c r="F21" s="30">
        <f t="shared" si="6"/>
        <v>1054.74</v>
      </c>
      <c r="G21" s="82">
        <v>1556.6000000000001</v>
      </c>
      <c r="H21" s="90">
        <f t="shared" si="7"/>
        <v>67.759218810227424</v>
      </c>
      <c r="I21" s="30">
        <v>1089.6200000000001</v>
      </c>
      <c r="J21" s="83">
        <f t="shared" si="8"/>
        <v>34.880000000000109</v>
      </c>
      <c r="N21" s="196"/>
      <c r="O21" s="199"/>
      <c r="P21" s="81">
        <v>4</v>
      </c>
      <c r="Q21" s="30">
        <v>1558.8</v>
      </c>
      <c r="R21" s="30">
        <v>2611.9899999999998</v>
      </c>
      <c r="S21" s="30">
        <f t="shared" si="9"/>
        <v>1053.1899999999998</v>
      </c>
      <c r="T21" s="82">
        <v>1556.6000000000001</v>
      </c>
      <c r="U21" s="90">
        <f t="shared" si="10"/>
        <v>67.659642811255281</v>
      </c>
      <c r="V21" s="30">
        <v>1089.6200000000001</v>
      </c>
      <c r="W21" s="83">
        <f t="shared" si="11"/>
        <v>36.430000000000291</v>
      </c>
    </row>
    <row r="22" spans="1:23" x14ac:dyDescent="0.25">
      <c r="A22" s="196"/>
      <c r="B22" s="199"/>
      <c r="C22" s="81">
        <v>5</v>
      </c>
      <c r="D22" s="30">
        <v>1747.9</v>
      </c>
      <c r="E22" s="30">
        <v>2805.36</v>
      </c>
      <c r="F22" s="30">
        <f t="shared" si="6"/>
        <v>1057.46</v>
      </c>
      <c r="G22" s="82">
        <v>1545.4</v>
      </c>
      <c r="H22" s="90">
        <f t="shared" si="7"/>
        <v>68.42629739873172</v>
      </c>
      <c r="I22" s="30">
        <v>1081.78</v>
      </c>
      <c r="J22" s="83">
        <f t="shared" si="8"/>
        <v>24.319999999999936</v>
      </c>
      <c r="N22" s="196"/>
      <c r="O22" s="199"/>
      <c r="P22" s="81">
        <v>5</v>
      </c>
      <c r="Q22" s="30">
        <v>1747.9</v>
      </c>
      <c r="R22" s="30">
        <v>2804.51</v>
      </c>
      <c r="S22" s="30">
        <f t="shared" si="9"/>
        <v>1056.6100000000001</v>
      </c>
      <c r="T22" s="82">
        <v>1545.4</v>
      </c>
      <c r="U22" s="90">
        <f t="shared" si="10"/>
        <v>68.371295457486738</v>
      </c>
      <c r="V22" s="30">
        <v>1081.78</v>
      </c>
      <c r="W22" s="83">
        <f t="shared" si="11"/>
        <v>25.169999999999845</v>
      </c>
    </row>
    <row r="23" spans="1:23" x14ac:dyDescent="0.25">
      <c r="A23" s="196"/>
      <c r="B23" s="199"/>
      <c r="C23" s="81">
        <v>6</v>
      </c>
      <c r="D23" s="30">
        <v>1789</v>
      </c>
      <c r="E23" s="30">
        <v>2757.58</v>
      </c>
      <c r="F23" s="30">
        <f t="shared" si="6"/>
        <v>968.57999999999993</v>
      </c>
      <c r="G23" s="82">
        <v>1440.1999999999998</v>
      </c>
      <c r="H23" s="90">
        <f t="shared" si="7"/>
        <v>67.253159283432865</v>
      </c>
      <c r="I23" s="30">
        <v>1008.1399999999999</v>
      </c>
      <c r="J23" s="83">
        <f t="shared" si="8"/>
        <v>39.559999999999945</v>
      </c>
      <c r="N23" s="196"/>
      <c r="O23" s="199"/>
      <c r="P23" s="81">
        <v>6</v>
      </c>
      <c r="Q23" s="30">
        <v>1789</v>
      </c>
      <c r="R23" s="30">
        <v>2755.39</v>
      </c>
      <c r="S23" s="30">
        <f t="shared" si="9"/>
        <v>966.38999999999987</v>
      </c>
      <c r="T23" s="82">
        <v>1440.1999999999998</v>
      </c>
      <c r="U23" s="90">
        <f t="shared" si="10"/>
        <v>67.101097069851406</v>
      </c>
      <c r="V23" s="30">
        <v>1008.1399999999999</v>
      </c>
      <c r="W23" s="83">
        <f t="shared" si="11"/>
        <v>41.75</v>
      </c>
    </row>
    <row r="24" spans="1:23" x14ac:dyDescent="0.25">
      <c r="A24" s="196"/>
      <c r="B24" s="199"/>
      <c r="C24" s="81">
        <v>7</v>
      </c>
      <c r="D24" s="30">
        <v>1565.53</v>
      </c>
      <c r="E24" s="30">
        <v>2474.0700000000002</v>
      </c>
      <c r="F24" s="30">
        <f t="shared" si="6"/>
        <v>908.54000000000019</v>
      </c>
      <c r="G24" s="82">
        <v>1343.2700000000002</v>
      </c>
      <c r="H24" s="90">
        <f t="shared" si="7"/>
        <v>67.63643943510985</v>
      </c>
      <c r="I24" s="30">
        <v>940.2890000000001</v>
      </c>
      <c r="J24" s="83">
        <f t="shared" si="8"/>
        <v>31.74899999999991</v>
      </c>
      <c r="N24" s="196"/>
      <c r="O24" s="199"/>
      <c r="P24" s="81">
        <v>7</v>
      </c>
      <c r="Q24" s="30">
        <v>1565.53</v>
      </c>
      <c r="R24" s="30">
        <v>2470.04</v>
      </c>
      <c r="S24" s="30">
        <f t="shared" si="9"/>
        <v>904.51</v>
      </c>
      <c r="T24" s="82">
        <v>1343.2700000000002</v>
      </c>
      <c r="U24" s="90">
        <f t="shared" si="10"/>
        <v>67.336425290522371</v>
      </c>
      <c r="V24" s="30">
        <v>940.2890000000001</v>
      </c>
      <c r="W24" s="83">
        <f t="shared" si="11"/>
        <v>35.77900000000011</v>
      </c>
    </row>
    <row r="25" spans="1:23" x14ac:dyDescent="0.25">
      <c r="A25" s="196"/>
      <c r="B25" s="199"/>
      <c r="C25" s="81">
        <v>8</v>
      </c>
      <c r="D25" s="30">
        <v>1607.4</v>
      </c>
      <c r="E25" s="30">
        <v>2516.8000000000002</v>
      </c>
      <c r="F25" s="30">
        <f t="shared" si="6"/>
        <v>909.40000000000009</v>
      </c>
      <c r="G25" s="82">
        <v>1348.7999999999997</v>
      </c>
      <c r="H25" s="90">
        <f t="shared" si="7"/>
        <v>67.422894424673814</v>
      </c>
      <c r="I25" s="30">
        <v>944.15999999999985</v>
      </c>
      <c r="J25" s="83">
        <f t="shared" si="8"/>
        <v>34.759999999999764</v>
      </c>
      <c r="N25" s="196"/>
      <c r="O25" s="199"/>
      <c r="P25" s="81">
        <v>8</v>
      </c>
      <c r="Q25" s="30">
        <v>1607.4</v>
      </c>
      <c r="R25" s="30">
        <v>2507.04</v>
      </c>
      <c r="S25" s="30">
        <f t="shared" si="9"/>
        <v>899.63999999999987</v>
      </c>
      <c r="T25" s="82">
        <v>1348.7999999999997</v>
      </c>
      <c r="U25" s="90">
        <f t="shared" si="10"/>
        <v>66.69928825622776</v>
      </c>
      <c r="V25" s="30">
        <v>944.15999999999985</v>
      </c>
      <c r="W25" s="83">
        <f t="shared" si="11"/>
        <v>44.519999999999982</v>
      </c>
    </row>
    <row r="26" spans="1:23" x14ac:dyDescent="0.25">
      <c r="A26" s="196"/>
      <c r="B26" s="199"/>
      <c r="C26" s="81">
        <v>9</v>
      </c>
      <c r="D26" s="30">
        <v>1555.9</v>
      </c>
      <c r="E26" s="30">
        <v>2484.13</v>
      </c>
      <c r="F26" s="30">
        <f t="shared" si="6"/>
        <v>928.23</v>
      </c>
      <c r="G26" s="82">
        <v>1360.4</v>
      </c>
      <c r="H26" s="90">
        <f t="shared" si="7"/>
        <v>68.232137606586292</v>
      </c>
      <c r="I26" s="30">
        <v>952.28</v>
      </c>
      <c r="J26" s="83">
        <f t="shared" si="8"/>
        <v>24.049999999999955</v>
      </c>
      <c r="N26" s="196"/>
      <c r="O26" s="199"/>
      <c r="P26" s="81">
        <v>9</v>
      </c>
      <c r="Q26" s="30">
        <v>1555.9</v>
      </c>
      <c r="R26" s="30">
        <v>2477.5700000000002</v>
      </c>
      <c r="S26" s="30">
        <f t="shared" si="9"/>
        <v>921.67000000000007</v>
      </c>
      <c r="T26" s="82">
        <v>1360.4</v>
      </c>
      <c r="U26" s="90">
        <f t="shared" si="10"/>
        <v>67.749926492208175</v>
      </c>
      <c r="V26" s="30">
        <v>952.28</v>
      </c>
      <c r="W26" s="83">
        <f t="shared" si="11"/>
        <v>30.6099999999999</v>
      </c>
    </row>
    <row r="27" spans="1:23" x14ac:dyDescent="0.25">
      <c r="A27" s="196"/>
      <c r="B27" s="199"/>
      <c r="C27" s="81">
        <v>10</v>
      </c>
      <c r="D27" s="30">
        <v>1625.9</v>
      </c>
      <c r="E27" s="30">
        <v>2483.46</v>
      </c>
      <c r="F27" s="30">
        <f t="shared" si="6"/>
        <v>857.56</v>
      </c>
      <c r="G27" s="82">
        <v>1266.6999999999998</v>
      </c>
      <c r="H27" s="90">
        <f t="shared" si="7"/>
        <v>67.700323675692758</v>
      </c>
      <c r="I27" s="30">
        <v>886.68999999999983</v>
      </c>
      <c r="J27" s="83">
        <f t="shared" si="8"/>
        <v>29.129999999999882</v>
      </c>
      <c r="N27" s="196"/>
      <c r="O27" s="199"/>
      <c r="P27" s="81">
        <v>10</v>
      </c>
      <c r="Q27" s="30">
        <v>1625.9</v>
      </c>
      <c r="R27" s="30">
        <v>2478.29</v>
      </c>
      <c r="S27" s="30">
        <f t="shared" si="9"/>
        <v>852.38999999999987</v>
      </c>
      <c r="T27" s="82">
        <v>1266.6999999999998</v>
      </c>
      <c r="U27" s="90">
        <f t="shared" si="10"/>
        <v>67.292176521670484</v>
      </c>
      <c r="V27" s="30">
        <v>886.68999999999983</v>
      </c>
      <c r="W27" s="83">
        <f t="shared" si="11"/>
        <v>34.299999999999955</v>
      </c>
    </row>
    <row r="28" spans="1:23" x14ac:dyDescent="0.25">
      <c r="A28" s="196"/>
      <c r="B28" s="199"/>
      <c r="C28" s="81">
        <v>11</v>
      </c>
      <c r="D28" s="30">
        <v>1542.1</v>
      </c>
      <c r="E28" s="30">
        <v>2481.0500000000002</v>
      </c>
      <c r="F28" s="30">
        <f t="shared" si="6"/>
        <v>938.95000000000027</v>
      </c>
      <c r="G28" s="82">
        <v>1390.9</v>
      </c>
      <c r="H28" s="90">
        <f t="shared" si="7"/>
        <v>67.50665037026387</v>
      </c>
      <c r="I28" s="30">
        <v>973.63</v>
      </c>
      <c r="J28" s="83">
        <f t="shared" si="8"/>
        <v>34.679999999999723</v>
      </c>
      <c r="N28" s="196"/>
      <c r="O28" s="199"/>
      <c r="P28" s="81">
        <v>11</v>
      </c>
      <c r="Q28" s="30">
        <v>1542.1</v>
      </c>
      <c r="R28" s="30">
        <v>2480.5</v>
      </c>
      <c r="S28" s="30">
        <f t="shared" si="9"/>
        <v>938.40000000000009</v>
      </c>
      <c r="T28" s="82">
        <v>1390.9</v>
      </c>
      <c r="U28" s="90">
        <f t="shared" si="10"/>
        <v>67.467107628154437</v>
      </c>
      <c r="V28" s="30">
        <v>973.63</v>
      </c>
      <c r="W28" s="83">
        <f t="shared" si="11"/>
        <v>35.229999999999905</v>
      </c>
    </row>
    <row r="29" spans="1:23" x14ac:dyDescent="0.25">
      <c r="A29" s="196"/>
      <c r="B29" s="199"/>
      <c r="C29" s="81">
        <v>12</v>
      </c>
      <c r="D29" s="30">
        <v>1487.3</v>
      </c>
      <c r="E29" s="30">
        <v>2360.14</v>
      </c>
      <c r="F29" s="30">
        <f t="shared" si="6"/>
        <v>872.83999999999992</v>
      </c>
      <c r="G29" s="82">
        <v>1282.6000000000001</v>
      </c>
      <c r="H29" s="90">
        <f t="shared" si="7"/>
        <v>68.052393575549658</v>
      </c>
      <c r="I29" s="30">
        <v>897.82000000000016</v>
      </c>
      <c r="J29" s="83">
        <f t="shared" si="8"/>
        <v>24.980000000000246</v>
      </c>
      <c r="N29" s="196"/>
      <c r="O29" s="199"/>
      <c r="P29" s="81">
        <v>12</v>
      </c>
      <c r="Q29" s="30">
        <v>1487.3</v>
      </c>
      <c r="R29" s="30">
        <v>2242.81</v>
      </c>
      <c r="S29" s="30">
        <f t="shared" si="9"/>
        <v>755.51</v>
      </c>
      <c r="T29" s="82">
        <v>1282.6000000000001</v>
      </c>
      <c r="U29" s="90">
        <f t="shared" si="10"/>
        <v>58.904568844534531</v>
      </c>
      <c r="V29" s="30">
        <v>897.82000000000016</v>
      </c>
      <c r="W29" s="83">
        <f t="shared" si="11"/>
        <v>142.31000000000017</v>
      </c>
    </row>
    <row r="30" spans="1:23" x14ac:dyDescent="0.25">
      <c r="A30" s="196"/>
      <c r="B30" s="199"/>
      <c r="C30" s="81">
        <v>13</v>
      </c>
      <c r="D30" s="30">
        <v>1567.2</v>
      </c>
      <c r="E30" s="30">
        <v>2418.34</v>
      </c>
      <c r="F30" s="30">
        <f t="shared" si="6"/>
        <v>851.1400000000001</v>
      </c>
      <c r="G30" s="82">
        <v>1252.1000000000001</v>
      </c>
      <c r="H30" s="90">
        <f t="shared" si="7"/>
        <v>67.976998642280975</v>
      </c>
      <c r="I30" s="30">
        <v>876.47000000000014</v>
      </c>
      <c r="J30" s="83">
        <f t="shared" si="8"/>
        <v>25.330000000000041</v>
      </c>
      <c r="N30" s="196"/>
      <c r="O30" s="199"/>
      <c r="P30" s="81">
        <v>13</v>
      </c>
      <c r="Q30" s="30">
        <v>1567.2</v>
      </c>
      <c r="R30" s="30">
        <v>2457.27</v>
      </c>
      <c r="S30" s="30">
        <f t="shared" si="9"/>
        <v>890.06999999999994</v>
      </c>
      <c r="T30" s="82">
        <v>1252.1000000000001</v>
      </c>
      <c r="U30" s="90">
        <f t="shared" si="10"/>
        <v>71.086175225620934</v>
      </c>
      <c r="V30" s="30">
        <v>876.47000000000014</v>
      </c>
      <c r="W30" s="83">
        <f t="shared" si="11"/>
        <v>-13.599999999999795</v>
      </c>
    </row>
    <row r="31" spans="1:23" x14ac:dyDescent="0.25">
      <c r="A31" s="196"/>
      <c r="B31" s="199"/>
      <c r="C31" s="81">
        <v>14</v>
      </c>
      <c r="D31" s="30">
        <v>1704.9</v>
      </c>
      <c r="E31" s="30">
        <v>2563.85</v>
      </c>
      <c r="F31" s="30">
        <f t="shared" si="6"/>
        <v>858.94999999999982</v>
      </c>
      <c r="G31" s="82">
        <v>1271.7999999999997</v>
      </c>
      <c r="H31" s="90">
        <f t="shared" si="7"/>
        <v>67.538134926875287</v>
      </c>
      <c r="I31" s="30">
        <v>890.25999999999988</v>
      </c>
      <c r="J31" s="83">
        <f t="shared" si="8"/>
        <v>31.310000000000059</v>
      </c>
      <c r="N31" s="196"/>
      <c r="O31" s="199"/>
      <c r="P31" s="81">
        <v>14</v>
      </c>
      <c r="Q31" s="30">
        <v>1704.9</v>
      </c>
      <c r="R31" s="30">
        <v>2562.1999999999998</v>
      </c>
      <c r="S31" s="30">
        <f t="shared" si="9"/>
        <v>857.29999999999973</v>
      </c>
      <c r="T31" s="82">
        <v>1271.7999999999997</v>
      </c>
      <c r="U31" s="90">
        <f t="shared" si="10"/>
        <v>67.408397546784087</v>
      </c>
      <c r="V31" s="30">
        <v>890.25999999999988</v>
      </c>
      <c r="W31" s="83">
        <f t="shared" si="11"/>
        <v>32.96000000000015</v>
      </c>
    </row>
    <row r="32" spans="1:23" x14ac:dyDescent="0.25">
      <c r="A32" s="196"/>
      <c r="B32" s="199"/>
      <c r="C32" s="81">
        <v>15</v>
      </c>
      <c r="D32" s="30">
        <v>1558.2</v>
      </c>
      <c r="E32" s="30">
        <v>2369.38</v>
      </c>
      <c r="F32" s="30">
        <f t="shared" si="6"/>
        <v>811.18000000000006</v>
      </c>
      <c r="G32" s="82">
        <v>1187.2</v>
      </c>
      <c r="H32" s="90">
        <f t="shared" si="7"/>
        <v>68.327156334231802</v>
      </c>
      <c r="I32" s="30">
        <v>831.04</v>
      </c>
      <c r="J32" s="83">
        <f t="shared" si="8"/>
        <v>19.8599999999999</v>
      </c>
      <c r="N32" s="196"/>
      <c r="O32" s="199"/>
      <c r="P32" s="81">
        <v>15</v>
      </c>
      <c r="Q32" s="30">
        <v>1558.2</v>
      </c>
      <c r="R32" s="30">
        <v>2359.0300000000002</v>
      </c>
      <c r="S32" s="30">
        <f t="shared" si="9"/>
        <v>800.83000000000015</v>
      </c>
      <c r="T32" s="82">
        <v>1187.2</v>
      </c>
      <c r="U32" s="90">
        <f t="shared" si="10"/>
        <v>67.455357142857153</v>
      </c>
      <c r="V32" s="30">
        <v>831.04</v>
      </c>
      <c r="W32" s="83">
        <f t="shared" si="11"/>
        <v>30.209999999999809</v>
      </c>
    </row>
    <row r="33" spans="1:23" x14ac:dyDescent="0.25">
      <c r="A33" s="197"/>
      <c r="B33" s="200"/>
      <c r="C33" s="84">
        <v>16</v>
      </c>
      <c r="D33" s="6">
        <v>1512.1</v>
      </c>
      <c r="E33" s="85">
        <v>2398.84</v>
      </c>
      <c r="F33" s="85">
        <f t="shared" si="6"/>
        <v>886.74000000000024</v>
      </c>
      <c r="G33" s="86">
        <v>1276.7000000000003</v>
      </c>
      <c r="H33" s="91">
        <f t="shared" si="7"/>
        <v>69.455627790397116</v>
      </c>
      <c r="I33" s="85">
        <v>893.69000000000017</v>
      </c>
      <c r="J33" s="87">
        <f t="shared" si="8"/>
        <v>6.9499999999999318</v>
      </c>
      <c r="N33" s="197"/>
      <c r="O33" s="200"/>
      <c r="P33" s="84">
        <v>16</v>
      </c>
      <c r="Q33" s="6">
        <v>1512.1</v>
      </c>
      <c r="R33" s="85">
        <v>2398.2199999999998</v>
      </c>
      <c r="S33" s="85">
        <f t="shared" si="9"/>
        <v>886.11999999999989</v>
      </c>
      <c r="T33" s="86">
        <v>1276.7000000000003</v>
      </c>
      <c r="U33" s="91">
        <f t="shared" si="10"/>
        <v>69.407065089684323</v>
      </c>
      <c r="V33" s="85">
        <v>893.69000000000017</v>
      </c>
      <c r="W33" s="87">
        <f t="shared" si="11"/>
        <v>7.5700000000002774</v>
      </c>
    </row>
    <row r="34" spans="1:23" x14ac:dyDescent="0.25">
      <c r="A34" s="183">
        <v>0.43125000000000002</v>
      </c>
      <c r="B34" s="186" t="s">
        <v>114</v>
      </c>
      <c r="C34" s="98">
        <v>1</v>
      </c>
      <c r="D34" s="31">
        <v>1603.6</v>
      </c>
      <c r="E34" s="99">
        <v>2489.08</v>
      </c>
      <c r="F34" s="99">
        <f>E34- D34</f>
        <v>885.48</v>
      </c>
      <c r="G34" s="100">
        <v>1316.3000000000002</v>
      </c>
      <c r="H34" s="89">
        <f>(F34/$G34)*100</f>
        <v>67.270379092911952</v>
      </c>
      <c r="I34" s="99">
        <v>921.4100000000002</v>
      </c>
      <c r="J34" s="107">
        <f>I34-F34</f>
        <v>35.930000000000177</v>
      </c>
      <c r="N34" s="183">
        <v>0.42291666666666666</v>
      </c>
      <c r="O34" s="186" t="s">
        <v>114</v>
      </c>
      <c r="P34" s="98">
        <v>1</v>
      </c>
      <c r="Q34" s="31">
        <v>1603.6</v>
      </c>
      <c r="R34" s="99">
        <v>2486.8200000000002</v>
      </c>
      <c r="S34" s="99">
        <f>R34- Q34</f>
        <v>883.22000000000025</v>
      </c>
      <c r="T34" s="100">
        <v>1316.3000000000002</v>
      </c>
      <c r="U34" s="89">
        <f>(S34/$G34)*100</f>
        <v>67.098685709944547</v>
      </c>
      <c r="V34" s="99">
        <v>921.4100000000002</v>
      </c>
      <c r="W34" s="107">
        <f>V34-S34</f>
        <v>38.189999999999941</v>
      </c>
    </row>
    <row r="35" spans="1:23" x14ac:dyDescent="0.25">
      <c r="A35" s="184"/>
      <c r="B35" s="187"/>
      <c r="C35" s="101">
        <v>2</v>
      </c>
      <c r="D35" s="31">
        <v>1758.6</v>
      </c>
      <c r="E35" s="31">
        <v>2664.49</v>
      </c>
      <c r="F35" s="31">
        <f t="shared" ref="F35:F49" si="12">E35- D35</f>
        <v>905.88999999999987</v>
      </c>
      <c r="G35" s="102">
        <v>1342.6</v>
      </c>
      <c r="H35" s="90">
        <f t="shared" ref="H35:H49" si="13">(F35/$G35)*100</f>
        <v>67.472813943095474</v>
      </c>
      <c r="I35" s="31">
        <v>939.82</v>
      </c>
      <c r="J35" s="108">
        <f t="shared" ref="J35:J49" si="14">I35-F35</f>
        <v>33.930000000000177</v>
      </c>
      <c r="N35" s="184"/>
      <c r="O35" s="187"/>
      <c r="P35" s="101">
        <v>2</v>
      </c>
      <c r="Q35" s="31">
        <v>1758.6</v>
      </c>
      <c r="R35" s="31">
        <v>2660.62</v>
      </c>
      <c r="S35" s="31">
        <f t="shared" ref="S35:S49" si="15">R35- Q35</f>
        <v>902.02</v>
      </c>
      <c r="T35" s="102">
        <v>1342.6</v>
      </c>
      <c r="U35" s="90">
        <f t="shared" ref="U35:U49" si="16">(S35/$G35)*100</f>
        <v>67.184567257559962</v>
      </c>
      <c r="V35" s="31">
        <v>939.82</v>
      </c>
      <c r="W35" s="108">
        <f t="shared" ref="W35:W49" si="17">V35-S35</f>
        <v>37.800000000000068</v>
      </c>
    </row>
    <row r="36" spans="1:23" x14ac:dyDescent="0.25">
      <c r="A36" s="184"/>
      <c r="B36" s="187"/>
      <c r="C36" s="101">
        <v>3</v>
      </c>
      <c r="D36" s="31">
        <v>1573.8</v>
      </c>
      <c r="E36" s="31">
        <v>2511.41</v>
      </c>
      <c r="F36" s="31">
        <f t="shared" si="12"/>
        <v>937.6099999999999</v>
      </c>
      <c r="G36" s="102">
        <v>1413.6000000000001</v>
      </c>
      <c r="H36" s="90">
        <f t="shared" si="13"/>
        <v>66.327815506508188</v>
      </c>
      <c r="I36" s="31">
        <v>989.5200000000001</v>
      </c>
      <c r="J36" s="108">
        <f t="shared" si="14"/>
        <v>51.910000000000196</v>
      </c>
      <c r="N36" s="184"/>
      <c r="O36" s="187"/>
      <c r="P36" s="101">
        <v>3</v>
      </c>
      <c r="Q36" s="31">
        <v>1573.8</v>
      </c>
      <c r="R36" s="31">
        <v>2506.4299999999998</v>
      </c>
      <c r="S36" s="31">
        <f t="shared" si="15"/>
        <v>932.62999999999988</v>
      </c>
      <c r="T36" s="102">
        <v>1413.6000000000001</v>
      </c>
      <c r="U36" s="90">
        <f t="shared" si="16"/>
        <v>65.975523486134676</v>
      </c>
      <c r="V36" s="31">
        <v>989.5200000000001</v>
      </c>
      <c r="W36" s="108">
        <f t="shared" si="17"/>
        <v>56.890000000000214</v>
      </c>
    </row>
    <row r="37" spans="1:23" x14ac:dyDescent="0.25">
      <c r="A37" s="184"/>
      <c r="B37" s="187"/>
      <c r="C37" s="101">
        <v>4</v>
      </c>
      <c r="D37" s="31">
        <v>1558.8</v>
      </c>
      <c r="E37" s="31">
        <v>2603.0100000000002</v>
      </c>
      <c r="F37" s="31">
        <f t="shared" si="12"/>
        <v>1044.2100000000003</v>
      </c>
      <c r="G37" s="102">
        <v>1556.6000000000001</v>
      </c>
      <c r="H37" s="90">
        <f t="shared" si="13"/>
        <v>67.082744443016836</v>
      </c>
      <c r="I37" s="31">
        <v>1089.6200000000001</v>
      </c>
      <c r="J37" s="108">
        <f t="shared" si="14"/>
        <v>45.409999999999854</v>
      </c>
      <c r="N37" s="184"/>
      <c r="O37" s="187"/>
      <c r="P37" s="101">
        <v>4</v>
      </c>
      <c r="Q37" s="31">
        <v>1558.8</v>
      </c>
      <c r="R37" s="31">
        <v>2601.7199999999998</v>
      </c>
      <c r="S37" s="31">
        <f t="shared" si="15"/>
        <v>1042.9199999999998</v>
      </c>
      <c r="T37" s="102">
        <v>1556.6000000000001</v>
      </c>
      <c r="U37" s="90">
        <f t="shared" si="16"/>
        <v>66.999871514840009</v>
      </c>
      <c r="V37" s="31">
        <v>1089.6200000000001</v>
      </c>
      <c r="W37" s="108">
        <f t="shared" si="17"/>
        <v>46.700000000000273</v>
      </c>
    </row>
    <row r="38" spans="1:23" x14ac:dyDescent="0.25">
      <c r="A38" s="184"/>
      <c r="B38" s="187"/>
      <c r="C38" s="101">
        <v>5</v>
      </c>
      <c r="D38" s="31">
        <v>1747.9</v>
      </c>
      <c r="E38" s="31">
        <v>2798.31</v>
      </c>
      <c r="F38" s="31">
        <f t="shared" si="12"/>
        <v>1050.4099999999999</v>
      </c>
      <c r="G38" s="102">
        <v>1545.4</v>
      </c>
      <c r="H38" s="90">
        <f t="shared" si="13"/>
        <v>67.970104827229179</v>
      </c>
      <c r="I38" s="31">
        <v>1081.78</v>
      </c>
      <c r="J38" s="108">
        <f t="shared" si="14"/>
        <v>31.370000000000118</v>
      </c>
      <c r="N38" s="184"/>
      <c r="O38" s="187"/>
      <c r="P38" s="101">
        <v>5</v>
      </c>
      <c r="Q38" s="31">
        <v>1747.9</v>
      </c>
      <c r="R38" s="31">
        <v>2797.78</v>
      </c>
      <c r="S38" s="31">
        <f t="shared" si="15"/>
        <v>1049.8800000000001</v>
      </c>
      <c r="T38" s="102">
        <v>1545.4</v>
      </c>
      <c r="U38" s="90">
        <f t="shared" si="16"/>
        <v>67.935809499158793</v>
      </c>
      <c r="V38" s="31">
        <v>1081.78</v>
      </c>
      <c r="W38" s="108">
        <f t="shared" si="17"/>
        <v>31.899999999999864</v>
      </c>
    </row>
    <row r="39" spans="1:23" x14ac:dyDescent="0.25">
      <c r="A39" s="184"/>
      <c r="B39" s="187"/>
      <c r="C39" s="101">
        <v>6</v>
      </c>
      <c r="D39" s="31">
        <v>1789</v>
      </c>
      <c r="E39" s="31">
        <v>2746.92</v>
      </c>
      <c r="F39" s="31">
        <f t="shared" si="12"/>
        <v>957.92000000000007</v>
      </c>
      <c r="G39" s="102">
        <v>1440.1999999999998</v>
      </c>
      <c r="H39" s="90">
        <f t="shared" si="13"/>
        <v>66.512984307735053</v>
      </c>
      <c r="I39" s="31">
        <v>1008.1399999999999</v>
      </c>
      <c r="J39" s="108">
        <f t="shared" si="14"/>
        <v>50.2199999999998</v>
      </c>
      <c r="N39" s="184"/>
      <c r="O39" s="187"/>
      <c r="P39" s="101">
        <v>6</v>
      </c>
      <c r="Q39" s="31">
        <v>1789</v>
      </c>
      <c r="R39" s="31">
        <v>2744.26</v>
      </c>
      <c r="S39" s="31">
        <f t="shared" si="15"/>
        <v>955.26000000000022</v>
      </c>
      <c r="T39" s="102">
        <v>1440.1999999999998</v>
      </c>
      <c r="U39" s="90">
        <f t="shared" si="16"/>
        <v>66.328287737814222</v>
      </c>
      <c r="V39" s="31">
        <v>1008.1399999999999</v>
      </c>
      <c r="W39" s="108">
        <f t="shared" si="17"/>
        <v>52.879999999999654</v>
      </c>
    </row>
    <row r="40" spans="1:23" x14ac:dyDescent="0.25">
      <c r="A40" s="184"/>
      <c r="B40" s="187"/>
      <c r="C40" s="101">
        <v>7</v>
      </c>
      <c r="D40" s="31">
        <v>1565.53</v>
      </c>
      <c r="E40" s="31">
        <v>2462.0500000000002</v>
      </c>
      <c r="F40" s="31">
        <f t="shared" si="12"/>
        <v>896.52000000000021</v>
      </c>
      <c r="G40" s="102">
        <v>1343.2700000000002</v>
      </c>
      <c r="H40" s="90">
        <f t="shared" si="13"/>
        <v>66.741608165149231</v>
      </c>
      <c r="I40" s="31">
        <v>940.2890000000001</v>
      </c>
      <c r="J40" s="108">
        <f t="shared" si="14"/>
        <v>43.768999999999892</v>
      </c>
      <c r="N40" s="184"/>
      <c r="O40" s="187"/>
      <c r="P40" s="101">
        <v>7</v>
      </c>
      <c r="Q40" s="31">
        <v>1565.53</v>
      </c>
      <c r="R40" s="31">
        <v>2457.62</v>
      </c>
      <c r="S40" s="31">
        <f t="shared" si="15"/>
        <v>892.08999999999992</v>
      </c>
      <c r="T40" s="102">
        <v>1343.2700000000002</v>
      </c>
      <c r="U40" s="90">
        <f t="shared" si="16"/>
        <v>66.411815941694513</v>
      </c>
      <c r="V40" s="31">
        <v>940.2890000000001</v>
      </c>
      <c r="W40" s="108">
        <f t="shared" si="17"/>
        <v>48.199000000000183</v>
      </c>
    </row>
    <row r="41" spans="1:23" x14ac:dyDescent="0.25">
      <c r="A41" s="184"/>
      <c r="B41" s="187"/>
      <c r="C41" s="101">
        <v>8</v>
      </c>
      <c r="D41" s="31">
        <v>1607.4</v>
      </c>
      <c r="E41" s="31">
        <v>2506.1799999999998</v>
      </c>
      <c r="F41" s="31">
        <f t="shared" si="12"/>
        <v>898.77999999999975</v>
      </c>
      <c r="G41" s="102">
        <v>1348.7999999999997</v>
      </c>
      <c r="H41" s="90">
        <f t="shared" si="13"/>
        <v>66.635527876631073</v>
      </c>
      <c r="I41" s="31">
        <v>944.15999999999985</v>
      </c>
      <c r="J41" s="108">
        <f t="shared" si="14"/>
        <v>45.380000000000109</v>
      </c>
      <c r="N41" s="184"/>
      <c r="O41" s="187"/>
      <c r="P41" s="101">
        <v>8</v>
      </c>
      <c r="Q41" s="31">
        <v>1607.4</v>
      </c>
      <c r="R41" s="31">
        <v>2496.25</v>
      </c>
      <c r="S41" s="31">
        <f t="shared" si="15"/>
        <v>888.84999999999991</v>
      </c>
      <c r="T41" s="102">
        <v>1348.7999999999997</v>
      </c>
      <c r="U41" s="90">
        <f t="shared" si="16"/>
        <v>65.899317912218265</v>
      </c>
      <c r="V41" s="31">
        <v>944.15999999999985</v>
      </c>
      <c r="W41" s="108">
        <f t="shared" si="17"/>
        <v>55.309999999999945</v>
      </c>
    </row>
    <row r="42" spans="1:23" x14ac:dyDescent="0.25">
      <c r="A42" s="184"/>
      <c r="B42" s="187"/>
      <c r="C42" s="101">
        <v>9</v>
      </c>
      <c r="D42" s="31">
        <v>1555.9</v>
      </c>
      <c r="E42" s="31">
        <v>2478.84</v>
      </c>
      <c r="F42" s="31">
        <f t="shared" si="12"/>
        <v>922.94</v>
      </c>
      <c r="G42" s="102">
        <v>1360.4</v>
      </c>
      <c r="H42" s="90">
        <f t="shared" si="13"/>
        <v>67.843281387827119</v>
      </c>
      <c r="I42" s="31">
        <v>952.28</v>
      </c>
      <c r="J42" s="108">
        <f t="shared" si="14"/>
        <v>29.339999999999918</v>
      </c>
      <c r="N42" s="184"/>
      <c r="O42" s="187"/>
      <c r="P42" s="101">
        <v>9</v>
      </c>
      <c r="Q42" s="31">
        <v>1555.9</v>
      </c>
      <c r="R42" s="31">
        <v>2473.1799999999998</v>
      </c>
      <c r="S42" s="31">
        <f t="shared" si="15"/>
        <v>917.27999999999975</v>
      </c>
      <c r="T42" s="102">
        <v>1360.4</v>
      </c>
      <c r="U42" s="90">
        <f t="shared" si="16"/>
        <v>67.427227286092304</v>
      </c>
      <c r="V42" s="31">
        <v>952.28</v>
      </c>
      <c r="W42" s="108">
        <f t="shared" si="17"/>
        <v>35.000000000000227</v>
      </c>
    </row>
    <row r="43" spans="1:23" x14ac:dyDescent="0.25">
      <c r="A43" s="184"/>
      <c r="B43" s="187"/>
      <c r="C43" s="101">
        <v>10</v>
      </c>
      <c r="D43" s="31">
        <v>1625.9</v>
      </c>
      <c r="E43" s="31">
        <v>2476.0500000000002</v>
      </c>
      <c r="F43" s="31">
        <f t="shared" si="12"/>
        <v>850.15000000000009</v>
      </c>
      <c r="G43" s="102">
        <v>1266.6999999999998</v>
      </c>
      <c r="H43" s="90">
        <f t="shared" si="13"/>
        <v>67.11533907002449</v>
      </c>
      <c r="I43" s="31">
        <v>886.68999999999983</v>
      </c>
      <c r="J43" s="108">
        <f t="shared" si="14"/>
        <v>36.539999999999736</v>
      </c>
      <c r="N43" s="184"/>
      <c r="O43" s="187"/>
      <c r="P43" s="101">
        <v>10</v>
      </c>
      <c r="Q43" s="31">
        <v>1625.9</v>
      </c>
      <c r="R43" s="31">
        <v>2471.59</v>
      </c>
      <c r="S43" s="31">
        <f t="shared" si="15"/>
        <v>845.69</v>
      </c>
      <c r="T43" s="102">
        <v>1266.6999999999998</v>
      </c>
      <c r="U43" s="90">
        <f t="shared" si="16"/>
        <v>66.763243072550736</v>
      </c>
      <c r="V43" s="31">
        <v>886.68999999999983</v>
      </c>
      <c r="W43" s="108">
        <f t="shared" si="17"/>
        <v>40.999999999999773</v>
      </c>
    </row>
    <row r="44" spans="1:23" x14ac:dyDescent="0.25">
      <c r="A44" s="184"/>
      <c r="B44" s="187"/>
      <c r="C44" s="101">
        <v>11</v>
      </c>
      <c r="D44" s="31">
        <v>1542.1</v>
      </c>
      <c r="E44" s="31">
        <v>2470.2800000000002</v>
      </c>
      <c r="F44" s="31">
        <f t="shared" si="12"/>
        <v>928.18000000000029</v>
      </c>
      <c r="G44" s="102">
        <v>1390.9</v>
      </c>
      <c r="H44" s="90">
        <f t="shared" si="13"/>
        <v>66.732331583866582</v>
      </c>
      <c r="I44" s="31">
        <v>973.63</v>
      </c>
      <c r="J44" s="108">
        <f t="shared" si="14"/>
        <v>45.449999999999704</v>
      </c>
      <c r="N44" s="184"/>
      <c r="O44" s="187"/>
      <c r="P44" s="101">
        <v>11</v>
      </c>
      <c r="Q44" s="31">
        <v>1542.1</v>
      </c>
      <c r="R44" s="31">
        <v>2468.85</v>
      </c>
      <c r="S44" s="31">
        <f t="shared" si="15"/>
        <v>926.75</v>
      </c>
      <c r="T44" s="102">
        <v>1390.9</v>
      </c>
      <c r="U44" s="90">
        <f t="shared" si="16"/>
        <v>66.629520454382046</v>
      </c>
      <c r="V44" s="31">
        <v>973.63</v>
      </c>
      <c r="W44" s="108">
        <f t="shared" si="17"/>
        <v>46.879999999999995</v>
      </c>
    </row>
    <row r="45" spans="1:23" x14ac:dyDescent="0.25">
      <c r="A45" s="184"/>
      <c r="B45" s="187"/>
      <c r="C45" s="101">
        <v>12</v>
      </c>
      <c r="D45" s="31">
        <v>1487.3</v>
      </c>
      <c r="E45" s="31">
        <v>2351.65</v>
      </c>
      <c r="F45" s="31">
        <f t="shared" si="12"/>
        <v>864.35000000000014</v>
      </c>
      <c r="G45" s="102">
        <v>1282.6000000000001</v>
      </c>
      <c r="H45" s="90">
        <f t="shared" si="13"/>
        <v>67.390456884453457</v>
      </c>
      <c r="I45" s="31">
        <v>897.82000000000016</v>
      </c>
      <c r="J45" s="108">
        <f t="shared" si="14"/>
        <v>33.470000000000027</v>
      </c>
      <c r="N45" s="184"/>
      <c r="O45" s="187"/>
      <c r="P45" s="101">
        <v>12</v>
      </c>
      <c r="Q45" s="31">
        <v>1487.3</v>
      </c>
      <c r="R45" s="31">
        <v>2234.06</v>
      </c>
      <c r="S45" s="31">
        <f t="shared" si="15"/>
        <v>746.76</v>
      </c>
      <c r="T45" s="102">
        <v>1282.6000000000001</v>
      </c>
      <c r="U45" s="90">
        <f t="shared" si="16"/>
        <v>58.222360829564934</v>
      </c>
      <c r="V45" s="31">
        <v>897.82000000000016</v>
      </c>
      <c r="W45" s="108">
        <f t="shared" si="17"/>
        <v>151.06000000000017</v>
      </c>
    </row>
    <row r="46" spans="1:23" x14ac:dyDescent="0.25">
      <c r="A46" s="184"/>
      <c r="B46" s="187"/>
      <c r="C46" s="101">
        <v>13</v>
      </c>
      <c r="D46" s="31">
        <v>1567.2</v>
      </c>
      <c r="E46" s="31">
        <v>2408.19</v>
      </c>
      <c r="F46" s="31">
        <f t="shared" si="12"/>
        <v>840.99</v>
      </c>
      <c r="G46" s="102">
        <v>1252.1000000000001</v>
      </c>
      <c r="H46" s="90">
        <f t="shared" si="13"/>
        <v>67.166360514335906</v>
      </c>
      <c r="I46" s="31">
        <v>876.47000000000014</v>
      </c>
      <c r="J46" s="108">
        <f t="shared" si="14"/>
        <v>35.480000000000132</v>
      </c>
      <c r="N46" s="184"/>
      <c r="O46" s="187"/>
      <c r="P46" s="101">
        <v>13</v>
      </c>
      <c r="Q46" s="31">
        <v>1567.2</v>
      </c>
      <c r="R46" s="31">
        <v>2448.48</v>
      </c>
      <c r="S46" s="31">
        <f t="shared" si="15"/>
        <v>881.28</v>
      </c>
      <c r="T46" s="102">
        <v>1252.1000000000001</v>
      </c>
      <c r="U46" s="90">
        <f t="shared" si="16"/>
        <v>70.384154620237993</v>
      </c>
      <c r="V46" s="31">
        <v>876.47000000000014</v>
      </c>
      <c r="W46" s="108">
        <f t="shared" si="17"/>
        <v>-4.8099999999998317</v>
      </c>
    </row>
    <row r="47" spans="1:23" x14ac:dyDescent="0.25">
      <c r="A47" s="184"/>
      <c r="B47" s="187"/>
      <c r="C47" s="101">
        <v>14</v>
      </c>
      <c r="D47" s="31">
        <v>1704.9</v>
      </c>
      <c r="E47" s="31">
        <v>2554.9</v>
      </c>
      <c r="F47" s="31">
        <f t="shared" si="12"/>
        <v>850</v>
      </c>
      <c r="G47" s="102">
        <v>1271.7999999999997</v>
      </c>
      <c r="H47" s="90">
        <f t="shared" si="13"/>
        <v>66.834407925774514</v>
      </c>
      <c r="I47" s="31">
        <v>890.25999999999988</v>
      </c>
      <c r="J47" s="108">
        <f t="shared" si="14"/>
        <v>40.259999999999877</v>
      </c>
      <c r="N47" s="184"/>
      <c r="O47" s="187"/>
      <c r="P47" s="101">
        <v>14</v>
      </c>
      <c r="Q47" s="31">
        <v>1704.9</v>
      </c>
      <c r="R47" s="31">
        <v>2553.91</v>
      </c>
      <c r="S47" s="31">
        <f t="shared" si="15"/>
        <v>849.00999999999976</v>
      </c>
      <c r="T47" s="102">
        <v>1271.7999999999997</v>
      </c>
      <c r="U47" s="90">
        <f t="shared" si="16"/>
        <v>66.756565497719762</v>
      </c>
      <c r="V47" s="31">
        <v>890.25999999999988</v>
      </c>
      <c r="W47" s="108">
        <f t="shared" si="17"/>
        <v>41.250000000000114</v>
      </c>
    </row>
    <row r="48" spans="1:23" x14ac:dyDescent="0.25">
      <c r="A48" s="184"/>
      <c r="B48" s="187"/>
      <c r="C48" s="101">
        <v>15</v>
      </c>
      <c r="D48" s="31">
        <v>1558.2</v>
      </c>
      <c r="E48" s="31">
        <v>2362.23</v>
      </c>
      <c r="F48" s="31">
        <f t="shared" si="12"/>
        <v>804.03</v>
      </c>
      <c r="G48" s="102">
        <v>1187.2</v>
      </c>
      <c r="H48" s="90">
        <f t="shared" si="13"/>
        <v>67.724898921832875</v>
      </c>
      <c r="I48" s="31">
        <v>831.04</v>
      </c>
      <c r="J48" s="108">
        <f t="shared" si="14"/>
        <v>27.009999999999991</v>
      </c>
      <c r="N48" s="184"/>
      <c r="O48" s="187"/>
      <c r="P48" s="101">
        <v>15</v>
      </c>
      <c r="Q48" s="31">
        <v>1558.2</v>
      </c>
      <c r="R48" s="31">
        <v>2351.7399999999998</v>
      </c>
      <c r="S48" s="31">
        <f t="shared" si="15"/>
        <v>793.53999999999974</v>
      </c>
      <c r="T48" s="102">
        <v>1187.2</v>
      </c>
      <c r="U48" s="90">
        <f t="shared" si="16"/>
        <v>66.841307277628005</v>
      </c>
      <c r="V48" s="31">
        <v>831.04</v>
      </c>
      <c r="W48" s="108">
        <f t="shared" si="17"/>
        <v>37.500000000000227</v>
      </c>
    </row>
    <row r="49" spans="1:23" x14ac:dyDescent="0.25">
      <c r="A49" s="185"/>
      <c r="B49" s="188"/>
      <c r="C49" s="103">
        <v>16</v>
      </c>
      <c r="D49" s="104">
        <v>1512.1</v>
      </c>
      <c r="E49" s="105">
        <v>2391.48</v>
      </c>
      <c r="F49" s="105">
        <f t="shared" si="12"/>
        <v>879.38000000000011</v>
      </c>
      <c r="G49" s="106">
        <v>1276.7000000000003</v>
      </c>
      <c r="H49" s="91">
        <f t="shared" si="13"/>
        <v>68.879141536774497</v>
      </c>
      <c r="I49" s="105">
        <v>893.69000000000017</v>
      </c>
      <c r="J49" s="109">
        <f t="shared" si="14"/>
        <v>14.310000000000059</v>
      </c>
      <c r="N49" s="185"/>
      <c r="O49" s="188"/>
      <c r="P49" s="103">
        <v>16</v>
      </c>
      <c r="Q49" s="104">
        <v>1512.1</v>
      </c>
      <c r="R49" s="105">
        <v>2391.7800000000002</v>
      </c>
      <c r="S49" s="105">
        <f t="shared" si="15"/>
        <v>879.68000000000029</v>
      </c>
      <c r="T49" s="106">
        <v>1276.7000000000003</v>
      </c>
      <c r="U49" s="91">
        <f t="shared" si="16"/>
        <v>68.902639617764564</v>
      </c>
      <c r="V49" s="105">
        <v>893.69000000000017</v>
      </c>
      <c r="W49" s="109">
        <f t="shared" si="17"/>
        <v>14.009999999999877</v>
      </c>
    </row>
    <row r="50" spans="1:23" x14ac:dyDescent="0.25">
      <c r="A50" s="183">
        <v>0.45694444444444443</v>
      </c>
      <c r="B50" s="186" t="s">
        <v>115</v>
      </c>
      <c r="C50" s="98">
        <v>1</v>
      </c>
      <c r="D50" s="31">
        <v>1603.6</v>
      </c>
      <c r="E50" s="99">
        <v>2474.9699999999998</v>
      </c>
      <c r="F50" s="99">
        <f>E50- D50</f>
        <v>871.36999999999989</v>
      </c>
      <c r="G50" s="100">
        <v>1316.3000000000002</v>
      </c>
      <c r="H50" s="89">
        <f>(F50/$G50)*100</f>
        <v>66.198435007217185</v>
      </c>
      <c r="I50" s="99">
        <v>921.4100000000002</v>
      </c>
      <c r="J50" s="107">
        <f>I50-F50</f>
        <v>50.040000000000305</v>
      </c>
      <c r="N50" s="183">
        <v>0.45</v>
      </c>
      <c r="O50" s="186" t="s">
        <v>115</v>
      </c>
      <c r="P50" s="98">
        <v>1</v>
      </c>
      <c r="Q50" s="31">
        <v>1603.6</v>
      </c>
      <c r="R50" s="99">
        <v>2470.1999999999998</v>
      </c>
      <c r="S50" s="99">
        <f>R50- Q50</f>
        <v>866.59999999999991</v>
      </c>
      <c r="T50" s="100">
        <v>1316.3000000000002</v>
      </c>
      <c r="U50" s="89">
        <f>(S50/$G50)*100</f>
        <v>65.836055610423145</v>
      </c>
      <c r="V50" s="99">
        <v>921.4100000000002</v>
      </c>
      <c r="W50" s="107">
        <f>V50-S50</f>
        <v>54.810000000000286</v>
      </c>
    </row>
    <row r="51" spans="1:23" x14ac:dyDescent="0.25">
      <c r="A51" s="184"/>
      <c r="B51" s="187"/>
      <c r="C51" s="101">
        <v>2</v>
      </c>
      <c r="D51" s="31">
        <v>1758.6</v>
      </c>
      <c r="E51" s="31">
        <v>2650.79</v>
      </c>
      <c r="F51" s="31">
        <f t="shared" ref="F51:F65" si="18">E51- D51</f>
        <v>892.19</v>
      </c>
      <c r="G51" s="102">
        <v>1342.6</v>
      </c>
      <c r="H51" s="90">
        <f t="shared" ref="H51:H65" si="19">(F51/$G51)*100</f>
        <v>66.452405779830187</v>
      </c>
      <c r="I51" s="31">
        <v>939.82</v>
      </c>
      <c r="J51" s="108">
        <f t="shared" ref="J51:J65" si="20">I51-F51</f>
        <v>47.629999999999995</v>
      </c>
      <c r="N51" s="184"/>
      <c r="O51" s="187"/>
      <c r="P51" s="101">
        <v>2</v>
      </c>
      <c r="Q51" s="31">
        <v>1758.6</v>
      </c>
      <c r="R51" s="31">
        <v>2643.89</v>
      </c>
      <c r="S51" s="31">
        <f t="shared" ref="S51:S65" si="21">R51- Q51</f>
        <v>885.29</v>
      </c>
      <c r="T51" s="102">
        <v>1342.6</v>
      </c>
      <c r="U51" s="90">
        <f t="shared" ref="U51:U65" si="22">(S51/$G51)*100</f>
        <v>65.938477580813355</v>
      </c>
      <c r="V51" s="31">
        <v>939.82</v>
      </c>
      <c r="W51" s="108">
        <f t="shared" ref="W51:W65" si="23">V51-S51</f>
        <v>54.530000000000086</v>
      </c>
    </row>
    <row r="52" spans="1:23" x14ac:dyDescent="0.25">
      <c r="A52" s="184"/>
      <c r="B52" s="187"/>
      <c r="C52" s="101">
        <v>3</v>
      </c>
      <c r="D52" s="31">
        <v>1573.8</v>
      </c>
      <c r="E52" s="31">
        <v>2492.62</v>
      </c>
      <c r="F52" s="31">
        <f t="shared" si="18"/>
        <v>918.81999999999994</v>
      </c>
      <c r="G52" s="102">
        <v>1413.6000000000001</v>
      </c>
      <c r="H52" s="90">
        <f t="shared" si="19"/>
        <v>64.998585172608941</v>
      </c>
      <c r="I52" s="31">
        <v>989.5200000000001</v>
      </c>
      <c r="J52" s="108">
        <f t="shared" si="20"/>
        <v>70.700000000000159</v>
      </c>
      <c r="N52" s="184"/>
      <c r="O52" s="187"/>
      <c r="P52" s="101">
        <v>3</v>
      </c>
      <c r="Q52" s="31">
        <v>1573.8</v>
      </c>
      <c r="R52" s="31">
        <v>2485.02</v>
      </c>
      <c r="S52" s="31">
        <f t="shared" si="21"/>
        <v>911.22</v>
      </c>
      <c r="T52" s="102">
        <v>1413.6000000000001</v>
      </c>
      <c r="U52" s="90">
        <f t="shared" si="22"/>
        <v>64.460950764006782</v>
      </c>
      <c r="V52" s="31">
        <v>989.5200000000001</v>
      </c>
      <c r="W52" s="108">
        <f t="shared" si="23"/>
        <v>78.300000000000068</v>
      </c>
    </row>
    <row r="53" spans="1:23" x14ac:dyDescent="0.25">
      <c r="A53" s="184"/>
      <c r="B53" s="187"/>
      <c r="C53" s="101">
        <v>4</v>
      </c>
      <c r="D53" s="31">
        <v>1558.8</v>
      </c>
      <c r="E53" s="31">
        <v>2588.5100000000002</v>
      </c>
      <c r="F53" s="31">
        <f t="shared" si="18"/>
        <v>1029.7100000000003</v>
      </c>
      <c r="G53" s="102">
        <v>1556.6000000000001</v>
      </c>
      <c r="H53" s="90">
        <f t="shared" si="19"/>
        <v>66.151227033277678</v>
      </c>
      <c r="I53" s="31">
        <v>1089.6200000000001</v>
      </c>
      <c r="J53" s="108">
        <f t="shared" si="20"/>
        <v>59.909999999999854</v>
      </c>
      <c r="N53" s="184"/>
      <c r="O53" s="187"/>
      <c r="P53" s="101">
        <v>4</v>
      </c>
      <c r="Q53" s="31">
        <v>1558.8</v>
      </c>
      <c r="R53" s="31">
        <v>2585.25</v>
      </c>
      <c r="S53" s="31">
        <f t="shared" si="21"/>
        <v>1026.45</v>
      </c>
      <c r="T53" s="102">
        <v>1556.6000000000001</v>
      </c>
      <c r="U53" s="90">
        <f t="shared" si="22"/>
        <v>65.941796222536297</v>
      </c>
      <c r="V53" s="31">
        <v>1089.6200000000001</v>
      </c>
      <c r="W53" s="108">
        <f t="shared" si="23"/>
        <v>63.170000000000073</v>
      </c>
    </row>
    <row r="54" spans="1:23" x14ac:dyDescent="0.25">
      <c r="A54" s="184"/>
      <c r="B54" s="187"/>
      <c r="C54" s="101">
        <v>5</v>
      </c>
      <c r="D54" s="31">
        <v>1747.9</v>
      </c>
      <c r="E54" s="31">
        <v>2785.87</v>
      </c>
      <c r="F54" s="31">
        <f t="shared" si="18"/>
        <v>1037.9699999999998</v>
      </c>
      <c r="G54" s="102">
        <v>1545.4</v>
      </c>
      <c r="H54" s="90">
        <f t="shared" si="19"/>
        <v>67.165135240067272</v>
      </c>
      <c r="I54" s="31">
        <v>1081.78</v>
      </c>
      <c r="J54" s="108">
        <f t="shared" si="20"/>
        <v>43.810000000000173</v>
      </c>
      <c r="N54" s="184"/>
      <c r="O54" s="187"/>
      <c r="P54" s="101">
        <v>5</v>
      </c>
      <c r="Q54" s="31">
        <v>1747.9</v>
      </c>
      <c r="R54" s="31">
        <v>2782.49</v>
      </c>
      <c r="S54" s="31">
        <f t="shared" si="21"/>
        <v>1034.5899999999997</v>
      </c>
      <c r="T54" s="102">
        <v>1545.4</v>
      </c>
      <c r="U54" s="90">
        <f t="shared" si="22"/>
        <v>66.94642163841074</v>
      </c>
      <c r="V54" s="31">
        <v>1081.78</v>
      </c>
      <c r="W54" s="108">
        <f t="shared" si="23"/>
        <v>47.190000000000282</v>
      </c>
    </row>
    <row r="55" spans="1:23" x14ac:dyDescent="0.25">
      <c r="A55" s="184"/>
      <c r="B55" s="187"/>
      <c r="C55" s="101">
        <v>6</v>
      </c>
      <c r="D55" s="31">
        <v>1789</v>
      </c>
      <c r="E55" s="31">
        <v>2730.78</v>
      </c>
      <c r="F55" s="31">
        <f t="shared" si="18"/>
        <v>941.7800000000002</v>
      </c>
      <c r="G55" s="102">
        <v>1440.1999999999998</v>
      </c>
      <c r="H55" s="90">
        <f t="shared" si="19"/>
        <v>65.392306624080007</v>
      </c>
      <c r="I55" s="31">
        <v>1008.1399999999999</v>
      </c>
      <c r="J55" s="108">
        <f t="shared" si="20"/>
        <v>66.359999999999673</v>
      </c>
      <c r="N55" s="184"/>
      <c r="O55" s="187"/>
      <c r="P55" s="101">
        <v>6</v>
      </c>
      <c r="Q55" s="31">
        <v>1789</v>
      </c>
      <c r="R55" s="31">
        <v>2726.33</v>
      </c>
      <c r="S55" s="31">
        <f t="shared" si="21"/>
        <v>937.32999999999993</v>
      </c>
      <c r="T55" s="102">
        <v>1440.1999999999998</v>
      </c>
      <c r="U55" s="90">
        <f t="shared" si="22"/>
        <v>65.083321760866554</v>
      </c>
      <c r="V55" s="31">
        <v>1008.1399999999999</v>
      </c>
      <c r="W55" s="108">
        <f t="shared" si="23"/>
        <v>70.809999999999945</v>
      </c>
    </row>
    <row r="56" spans="1:23" x14ac:dyDescent="0.25">
      <c r="A56" s="184"/>
      <c r="B56" s="187"/>
      <c r="C56" s="101">
        <v>7</v>
      </c>
      <c r="D56" s="31">
        <v>1565.53</v>
      </c>
      <c r="E56" s="31">
        <v>2439.44</v>
      </c>
      <c r="F56" s="31">
        <f t="shared" si="18"/>
        <v>873.91000000000008</v>
      </c>
      <c r="G56" s="102">
        <v>1343.2700000000002</v>
      </c>
      <c r="H56" s="90">
        <f t="shared" si="19"/>
        <v>65.058402257178372</v>
      </c>
      <c r="I56" s="31">
        <v>940.2890000000001</v>
      </c>
      <c r="J56" s="108">
        <f t="shared" si="20"/>
        <v>66.379000000000019</v>
      </c>
      <c r="N56" s="184"/>
      <c r="O56" s="187"/>
      <c r="P56" s="101">
        <v>7</v>
      </c>
      <c r="Q56" s="31">
        <v>1565.53</v>
      </c>
      <c r="R56" s="31">
        <v>2431.79</v>
      </c>
      <c r="S56" s="31">
        <f t="shared" si="21"/>
        <v>866.26</v>
      </c>
      <c r="T56" s="102">
        <v>1343.2700000000002</v>
      </c>
      <c r="U56" s="90">
        <f t="shared" si="22"/>
        <v>64.488896498842365</v>
      </c>
      <c r="V56" s="31">
        <v>940.2890000000001</v>
      </c>
      <c r="W56" s="108">
        <f t="shared" si="23"/>
        <v>74.02900000000011</v>
      </c>
    </row>
    <row r="57" spans="1:23" x14ac:dyDescent="0.25">
      <c r="A57" s="184"/>
      <c r="B57" s="187"/>
      <c r="C57" s="101">
        <v>8</v>
      </c>
      <c r="D57" s="31">
        <v>1607.4</v>
      </c>
      <c r="E57" s="31">
        <v>2490.86</v>
      </c>
      <c r="F57" s="31">
        <f t="shared" si="18"/>
        <v>883.46</v>
      </c>
      <c r="G57" s="102">
        <v>1348.7999999999997</v>
      </c>
      <c r="H57" s="90">
        <f t="shared" si="19"/>
        <v>65.499703440094919</v>
      </c>
      <c r="I57" s="31">
        <v>944.15999999999985</v>
      </c>
      <c r="J57" s="108">
        <f t="shared" si="20"/>
        <v>60.699999999999818</v>
      </c>
      <c r="N57" s="184"/>
      <c r="O57" s="187"/>
      <c r="P57" s="101">
        <v>8</v>
      </c>
      <c r="Q57" s="31">
        <v>1607.4</v>
      </c>
      <c r="R57" s="31">
        <v>2477.59</v>
      </c>
      <c r="S57" s="31">
        <f t="shared" si="21"/>
        <v>870.19</v>
      </c>
      <c r="T57" s="102">
        <v>1348.7999999999997</v>
      </c>
      <c r="U57" s="90">
        <f t="shared" si="22"/>
        <v>64.515865954922916</v>
      </c>
      <c r="V57" s="31">
        <v>944.15999999999985</v>
      </c>
      <c r="W57" s="108">
        <f t="shared" si="23"/>
        <v>73.9699999999998</v>
      </c>
    </row>
    <row r="58" spans="1:23" x14ac:dyDescent="0.25">
      <c r="A58" s="184"/>
      <c r="B58" s="187"/>
      <c r="C58" s="101">
        <v>9</v>
      </c>
      <c r="D58" s="31">
        <v>1555.9</v>
      </c>
      <c r="E58" s="31">
        <v>2464.92</v>
      </c>
      <c r="F58" s="31">
        <f t="shared" si="18"/>
        <v>909.02</v>
      </c>
      <c r="G58" s="102">
        <v>1360.4</v>
      </c>
      <c r="H58" s="90">
        <f t="shared" si="19"/>
        <v>66.820052925610113</v>
      </c>
      <c r="I58" s="31">
        <v>952.28</v>
      </c>
      <c r="J58" s="108">
        <f t="shared" si="20"/>
        <v>43.259999999999991</v>
      </c>
      <c r="N58" s="184"/>
      <c r="O58" s="187"/>
      <c r="P58" s="101">
        <v>9</v>
      </c>
      <c r="Q58" s="31">
        <v>1555.9</v>
      </c>
      <c r="R58" s="31">
        <v>2454.48</v>
      </c>
      <c r="S58" s="31">
        <f t="shared" si="21"/>
        <v>898.57999999999993</v>
      </c>
      <c r="T58" s="102">
        <v>1360.4</v>
      </c>
      <c r="U58" s="90">
        <f t="shared" si="22"/>
        <v>66.05263157894737</v>
      </c>
      <c r="V58" s="31">
        <v>952.28</v>
      </c>
      <c r="W58" s="108">
        <f t="shared" si="23"/>
        <v>53.700000000000045</v>
      </c>
    </row>
    <row r="59" spans="1:23" x14ac:dyDescent="0.25">
      <c r="A59" s="184"/>
      <c r="B59" s="187"/>
      <c r="C59" s="101">
        <v>10</v>
      </c>
      <c r="D59" s="31">
        <v>1625.9</v>
      </c>
      <c r="E59" s="31">
        <v>2465.21</v>
      </c>
      <c r="F59" s="31">
        <f t="shared" si="18"/>
        <v>839.31</v>
      </c>
      <c r="G59" s="102">
        <v>1266.6999999999998</v>
      </c>
      <c r="H59" s="90">
        <f t="shared" si="19"/>
        <v>66.259572116523259</v>
      </c>
      <c r="I59" s="31">
        <v>886.68999999999983</v>
      </c>
      <c r="J59" s="108">
        <f t="shared" si="20"/>
        <v>47.379999999999882</v>
      </c>
      <c r="N59" s="184"/>
      <c r="O59" s="187"/>
      <c r="P59" s="101">
        <v>10</v>
      </c>
      <c r="Q59" s="31">
        <v>1625.9</v>
      </c>
      <c r="R59" s="31">
        <v>2457.29</v>
      </c>
      <c r="S59" s="31">
        <f t="shared" si="21"/>
        <v>831.38999999999987</v>
      </c>
      <c r="T59" s="102">
        <v>1266.6999999999998</v>
      </c>
      <c r="U59" s="90">
        <f t="shared" si="22"/>
        <v>65.634325412489147</v>
      </c>
      <c r="V59" s="31">
        <v>886.68999999999983</v>
      </c>
      <c r="W59" s="108">
        <f t="shared" si="23"/>
        <v>55.299999999999955</v>
      </c>
    </row>
    <row r="60" spans="1:23" x14ac:dyDescent="0.25">
      <c r="A60" s="184"/>
      <c r="B60" s="187"/>
      <c r="C60" s="101">
        <v>11</v>
      </c>
      <c r="D60" s="31">
        <v>1542.1</v>
      </c>
      <c r="E60" s="31">
        <v>2449.83</v>
      </c>
      <c r="F60" s="31">
        <f t="shared" si="18"/>
        <v>907.73</v>
      </c>
      <c r="G60" s="102">
        <v>1390.9</v>
      </c>
      <c r="H60" s="90">
        <f t="shared" si="19"/>
        <v>65.26206053634337</v>
      </c>
      <c r="I60" s="31">
        <v>973.63</v>
      </c>
      <c r="J60" s="108">
        <f t="shared" si="20"/>
        <v>65.899999999999977</v>
      </c>
      <c r="N60" s="184"/>
      <c r="O60" s="187"/>
      <c r="P60" s="101">
        <v>11</v>
      </c>
      <c r="Q60" s="31">
        <v>1542.1</v>
      </c>
      <c r="R60" s="31">
        <v>2445.98</v>
      </c>
      <c r="S60" s="31">
        <f t="shared" si="21"/>
        <v>903.88000000000011</v>
      </c>
      <c r="T60" s="102">
        <v>1390.9</v>
      </c>
      <c r="U60" s="90">
        <f t="shared" si="22"/>
        <v>64.985261341577399</v>
      </c>
      <c r="V60" s="31">
        <v>973.63</v>
      </c>
      <c r="W60" s="108">
        <f t="shared" si="23"/>
        <v>69.749999999999886</v>
      </c>
    </row>
    <row r="61" spans="1:23" x14ac:dyDescent="0.25">
      <c r="A61" s="184"/>
      <c r="B61" s="187"/>
      <c r="C61" s="101">
        <v>12</v>
      </c>
      <c r="D61" s="31">
        <v>1487.3</v>
      </c>
      <c r="E61" s="31">
        <v>2338.4499999999998</v>
      </c>
      <c r="F61" s="31">
        <f t="shared" si="18"/>
        <v>851.14999999999986</v>
      </c>
      <c r="G61" s="102">
        <v>1282.6000000000001</v>
      </c>
      <c r="H61" s="90">
        <f t="shared" si="19"/>
        <v>66.361297364727875</v>
      </c>
      <c r="I61" s="31">
        <v>897.82000000000016</v>
      </c>
      <c r="J61" s="108">
        <f t="shared" si="20"/>
        <v>46.6700000000003</v>
      </c>
      <c r="N61" s="184"/>
      <c r="O61" s="187"/>
      <c r="P61" s="101">
        <v>12</v>
      </c>
      <c r="Q61" s="31">
        <v>1487.3</v>
      </c>
      <c r="R61" s="31">
        <v>2217.12</v>
      </c>
      <c r="S61" s="31">
        <f t="shared" si="21"/>
        <v>729.81999999999994</v>
      </c>
      <c r="T61" s="102">
        <v>1282.6000000000001</v>
      </c>
      <c r="U61" s="90">
        <f t="shared" si="22"/>
        <v>56.901606112583799</v>
      </c>
      <c r="V61" s="31">
        <v>897.82000000000016</v>
      </c>
      <c r="W61" s="108">
        <f t="shared" si="23"/>
        <v>168.00000000000023</v>
      </c>
    </row>
    <row r="62" spans="1:23" x14ac:dyDescent="0.25">
      <c r="A62" s="184"/>
      <c r="B62" s="187"/>
      <c r="C62" s="101">
        <v>13</v>
      </c>
      <c r="D62" s="31">
        <v>1567.2</v>
      </c>
      <c r="E62" s="31">
        <v>2390.3200000000002</v>
      </c>
      <c r="F62" s="31">
        <f t="shared" si="18"/>
        <v>823.12000000000012</v>
      </c>
      <c r="G62" s="102">
        <v>1252.1000000000001</v>
      </c>
      <c r="H62" s="90">
        <f t="shared" si="19"/>
        <v>65.739158214200145</v>
      </c>
      <c r="I62" s="31">
        <v>876.47000000000014</v>
      </c>
      <c r="J62" s="108">
        <f t="shared" si="20"/>
        <v>53.350000000000023</v>
      </c>
      <c r="N62" s="184"/>
      <c r="O62" s="187"/>
      <c r="P62" s="101">
        <v>13</v>
      </c>
      <c r="Q62" s="31">
        <v>1567.2</v>
      </c>
      <c r="R62" s="31">
        <v>2428.0500000000002</v>
      </c>
      <c r="S62" s="31">
        <f t="shared" si="21"/>
        <v>860.85000000000014</v>
      </c>
      <c r="T62" s="102">
        <v>1252.1000000000001</v>
      </c>
      <c r="U62" s="90">
        <f t="shared" si="22"/>
        <v>68.75249580704417</v>
      </c>
      <c r="V62" s="31">
        <v>876.47000000000014</v>
      </c>
      <c r="W62" s="108">
        <f t="shared" si="23"/>
        <v>15.620000000000005</v>
      </c>
    </row>
    <row r="63" spans="1:23" x14ac:dyDescent="0.25">
      <c r="A63" s="184"/>
      <c r="B63" s="187"/>
      <c r="C63" s="101">
        <v>14</v>
      </c>
      <c r="D63" s="31">
        <v>1704.9</v>
      </c>
      <c r="E63" s="31">
        <v>2540.66</v>
      </c>
      <c r="F63" s="31">
        <f t="shared" si="18"/>
        <v>835.75999999999976</v>
      </c>
      <c r="G63" s="102">
        <v>1271.7999999999997</v>
      </c>
      <c r="H63" s="90">
        <f t="shared" si="19"/>
        <v>65.714735021229757</v>
      </c>
      <c r="I63" s="31">
        <v>890.25999999999988</v>
      </c>
      <c r="J63" s="108">
        <f t="shared" si="20"/>
        <v>54.500000000000114</v>
      </c>
      <c r="N63" s="184"/>
      <c r="O63" s="187"/>
      <c r="P63" s="101">
        <v>14</v>
      </c>
      <c r="Q63" s="31">
        <v>1704.9</v>
      </c>
      <c r="R63" s="31">
        <v>2538.89</v>
      </c>
      <c r="S63" s="31">
        <f t="shared" si="21"/>
        <v>833.98999999999978</v>
      </c>
      <c r="T63" s="102">
        <v>1271.7999999999997</v>
      </c>
      <c r="U63" s="90">
        <f t="shared" si="22"/>
        <v>65.575562195313736</v>
      </c>
      <c r="V63" s="31">
        <v>890.25999999999988</v>
      </c>
      <c r="W63" s="108">
        <f t="shared" si="23"/>
        <v>56.270000000000095</v>
      </c>
    </row>
    <row r="64" spans="1:23" x14ac:dyDescent="0.25">
      <c r="A64" s="184"/>
      <c r="B64" s="187"/>
      <c r="C64" s="101">
        <v>15</v>
      </c>
      <c r="D64" s="31">
        <v>1558.2</v>
      </c>
      <c r="E64" s="31">
        <v>2348.1</v>
      </c>
      <c r="F64" s="31">
        <f t="shared" si="18"/>
        <v>789.89999999999986</v>
      </c>
      <c r="G64" s="102">
        <v>1187.2</v>
      </c>
      <c r="H64" s="90">
        <f t="shared" si="19"/>
        <v>66.534703504043108</v>
      </c>
      <c r="I64" s="31">
        <v>831.04</v>
      </c>
      <c r="J64" s="108">
        <f t="shared" si="20"/>
        <v>41.1400000000001</v>
      </c>
      <c r="N64" s="184"/>
      <c r="O64" s="187"/>
      <c r="P64" s="101">
        <v>15</v>
      </c>
      <c r="Q64" s="31">
        <v>1558.2</v>
      </c>
      <c r="R64" s="31">
        <v>2334.88</v>
      </c>
      <c r="S64" s="31">
        <f t="shared" si="21"/>
        <v>776.68000000000006</v>
      </c>
      <c r="T64" s="102">
        <v>1187.2</v>
      </c>
      <c r="U64" s="90">
        <f t="shared" si="22"/>
        <v>65.421159029649601</v>
      </c>
      <c r="V64" s="31">
        <v>831.04</v>
      </c>
      <c r="W64" s="108">
        <f t="shared" si="23"/>
        <v>54.3599999999999</v>
      </c>
    </row>
    <row r="65" spans="1:23" x14ac:dyDescent="0.25">
      <c r="A65" s="185"/>
      <c r="B65" s="188"/>
      <c r="C65" s="103">
        <v>16</v>
      </c>
      <c r="D65" s="104">
        <v>1512.1</v>
      </c>
      <c r="E65" s="105">
        <v>2379.16</v>
      </c>
      <c r="F65" s="105">
        <f t="shared" si="18"/>
        <v>867.06</v>
      </c>
      <c r="G65" s="106">
        <v>1276.7000000000003</v>
      </c>
      <c r="H65" s="91">
        <f t="shared" si="19"/>
        <v>67.914153677449647</v>
      </c>
      <c r="I65" s="105">
        <v>893.69000000000017</v>
      </c>
      <c r="J65" s="109">
        <f t="shared" si="20"/>
        <v>26.630000000000223</v>
      </c>
      <c r="N65" s="185"/>
      <c r="O65" s="188"/>
      <c r="P65" s="103">
        <v>16</v>
      </c>
      <c r="Q65" s="104">
        <v>1512.1</v>
      </c>
      <c r="R65" s="105">
        <v>2375.5700000000002</v>
      </c>
      <c r="S65" s="105">
        <f t="shared" si="21"/>
        <v>863.47000000000025</v>
      </c>
      <c r="T65" s="106">
        <v>1276.7000000000003</v>
      </c>
      <c r="U65" s="91">
        <f t="shared" si="22"/>
        <v>67.632959974935375</v>
      </c>
      <c r="V65" s="105">
        <v>893.69000000000017</v>
      </c>
      <c r="W65" s="109">
        <f t="shared" si="23"/>
        <v>30.219999999999914</v>
      </c>
    </row>
    <row r="66" spans="1:23" x14ac:dyDescent="0.25">
      <c r="A66" s="189">
        <v>0.47291666666666665</v>
      </c>
      <c r="B66" s="192" t="s">
        <v>116</v>
      </c>
      <c r="C66" s="111">
        <v>1</v>
      </c>
      <c r="D66" s="32">
        <v>1603.6</v>
      </c>
      <c r="E66" s="112">
        <v>2465.94</v>
      </c>
      <c r="F66" s="112">
        <f>E66- D66</f>
        <v>862.34000000000015</v>
      </c>
      <c r="G66" s="113">
        <v>1316.3000000000002</v>
      </c>
      <c r="H66" s="89">
        <f>(F66/$G66)*100</f>
        <v>65.512421180581939</v>
      </c>
      <c r="I66" s="112">
        <v>921.4100000000002</v>
      </c>
      <c r="J66" s="114">
        <f>I66-F66</f>
        <v>59.07000000000005</v>
      </c>
      <c r="N66" s="189">
        <v>0.47083333333333333</v>
      </c>
      <c r="O66" s="192" t="s">
        <v>116</v>
      </c>
      <c r="P66" s="111">
        <v>1</v>
      </c>
      <c r="Q66" s="32">
        <v>1603.6</v>
      </c>
      <c r="R66" s="112">
        <v>2456.84</v>
      </c>
      <c r="S66" s="112">
        <f>R66- Q66</f>
        <v>853.24000000000024</v>
      </c>
      <c r="T66" s="113">
        <v>1316.3000000000002</v>
      </c>
      <c r="U66" s="89">
        <f>(S66/$G66)*100</f>
        <v>64.821089417306098</v>
      </c>
      <c r="V66" s="112">
        <v>921.4100000000002</v>
      </c>
      <c r="W66" s="114">
        <f>V66-S66</f>
        <v>68.169999999999959</v>
      </c>
    </row>
    <row r="67" spans="1:23" x14ac:dyDescent="0.25">
      <c r="A67" s="190"/>
      <c r="B67" s="193"/>
      <c r="C67" s="115">
        <v>2</v>
      </c>
      <c r="D67" s="32">
        <v>1758.6</v>
      </c>
      <c r="E67" s="32">
        <v>2641.49</v>
      </c>
      <c r="F67" s="32">
        <f t="shared" ref="F67:F81" si="24">E67- D67</f>
        <v>882.88999999999987</v>
      </c>
      <c r="G67" s="116">
        <v>1342.6</v>
      </c>
      <c r="H67" s="90">
        <f t="shared" ref="H67:H81" si="25">(F67/$G67)*100</f>
        <v>65.759719946372712</v>
      </c>
      <c r="I67" s="32">
        <v>939.82</v>
      </c>
      <c r="J67" s="117">
        <f t="shared" ref="J67:J81" si="26">I67-F67</f>
        <v>56.930000000000177</v>
      </c>
      <c r="N67" s="190"/>
      <c r="O67" s="193"/>
      <c r="P67" s="115">
        <v>2</v>
      </c>
      <c r="Q67" s="32">
        <v>1758.6</v>
      </c>
      <c r="R67" s="32">
        <v>2631.05</v>
      </c>
      <c r="S67" s="32">
        <f t="shared" ref="S67:S81" si="27">R67- Q67</f>
        <v>872.45000000000027</v>
      </c>
      <c r="T67" s="116">
        <v>1342.6</v>
      </c>
      <c r="U67" s="90">
        <f t="shared" ref="U67:U81" si="28">(S67/$G67)*100</f>
        <v>64.982124236555961</v>
      </c>
      <c r="V67" s="32">
        <v>939.82</v>
      </c>
      <c r="W67" s="117">
        <f t="shared" ref="W67:W81" si="29">V67-S67</f>
        <v>67.369999999999777</v>
      </c>
    </row>
    <row r="68" spans="1:23" x14ac:dyDescent="0.25">
      <c r="A68" s="190"/>
      <c r="B68" s="193"/>
      <c r="C68" s="115">
        <v>3</v>
      </c>
      <c r="D68" s="32">
        <v>1573.8</v>
      </c>
      <c r="E68" s="32">
        <v>2480.4</v>
      </c>
      <c r="F68" s="32">
        <f t="shared" si="24"/>
        <v>906.60000000000014</v>
      </c>
      <c r="G68" s="116">
        <v>1413.6000000000001</v>
      </c>
      <c r="H68" s="90">
        <f t="shared" si="25"/>
        <v>64.134125636672337</v>
      </c>
      <c r="I68" s="32">
        <v>989.5200000000001</v>
      </c>
      <c r="J68" s="117">
        <f t="shared" si="26"/>
        <v>82.919999999999959</v>
      </c>
      <c r="N68" s="190"/>
      <c r="O68" s="193"/>
      <c r="P68" s="115">
        <v>3</v>
      </c>
      <c r="Q68" s="32">
        <v>1573.8</v>
      </c>
      <c r="R68" s="32">
        <v>2467.58</v>
      </c>
      <c r="S68" s="32">
        <f t="shared" si="27"/>
        <v>893.78</v>
      </c>
      <c r="T68" s="116">
        <v>1413.6000000000001</v>
      </c>
      <c r="U68" s="90">
        <f t="shared" si="28"/>
        <v>63.227221279003956</v>
      </c>
      <c r="V68" s="32">
        <v>989.5200000000001</v>
      </c>
      <c r="W68" s="117">
        <f t="shared" si="29"/>
        <v>95.740000000000123</v>
      </c>
    </row>
    <row r="69" spans="1:23" x14ac:dyDescent="0.25">
      <c r="A69" s="190"/>
      <c r="B69" s="193"/>
      <c r="C69" s="115">
        <v>4</v>
      </c>
      <c r="D69" s="32">
        <v>1558.8</v>
      </c>
      <c r="E69" s="32">
        <v>2578.6799999999998</v>
      </c>
      <c r="F69" s="32">
        <f t="shared" si="24"/>
        <v>1019.8799999999999</v>
      </c>
      <c r="G69" s="116">
        <v>1556.6000000000001</v>
      </c>
      <c r="H69" s="90">
        <f t="shared" si="25"/>
        <v>65.519722472054468</v>
      </c>
      <c r="I69" s="32">
        <v>1089.6200000000001</v>
      </c>
      <c r="J69" s="117">
        <f t="shared" si="26"/>
        <v>69.740000000000236</v>
      </c>
      <c r="N69" s="190"/>
      <c r="O69" s="193"/>
      <c r="P69" s="115">
        <v>4</v>
      </c>
      <c r="Q69" s="32">
        <v>1558.8</v>
      </c>
      <c r="R69" s="32">
        <v>2571.35</v>
      </c>
      <c r="S69" s="32">
        <f t="shared" si="27"/>
        <v>1012.55</v>
      </c>
      <c r="T69" s="116">
        <v>1556.6000000000001</v>
      </c>
      <c r="U69" s="90">
        <f t="shared" si="28"/>
        <v>65.048824360786313</v>
      </c>
      <c r="V69" s="32">
        <v>1089.6200000000001</v>
      </c>
      <c r="W69" s="117">
        <f t="shared" si="29"/>
        <v>77.070000000000164</v>
      </c>
    </row>
    <row r="70" spans="1:23" x14ac:dyDescent="0.25">
      <c r="A70" s="190"/>
      <c r="B70" s="193"/>
      <c r="C70" s="115">
        <v>5</v>
      </c>
      <c r="D70" s="32">
        <v>1747.9</v>
      </c>
      <c r="E70" s="32">
        <v>2777.63</v>
      </c>
      <c r="F70" s="32">
        <f t="shared" si="24"/>
        <v>1029.73</v>
      </c>
      <c r="G70" s="116">
        <v>1545.4</v>
      </c>
      <c r="H70" s="90">
        <f t="shared" si="25"/>
        <v>66.631939950821788</v>
      </c>
      <c r="I70" s="32">
        <v>1081.78</v>
      </c>
      <c r="J70" s="117">
        <f t="shared" si="26"/>
        <v>52.049999999999955</v>
      </c>
      <c r="N70" s="190"/>
      <c r="O70" s="193"/>
      <c r="P70" s="115">
        <v>5</v>
      </c>
      <c r="Q70" s="32">
        <v>1747.9</v>
      </c>
      <c r="R70" s="32">
        <v>2770.55</v>
      </c>
      <c r="S70" s="32">
        <f t="shared" si="27"/>
        <v>1022.6500000000001</v>
      </c>
      <c r="T70" s="116">
        <v>1545.4</v>
      </c>
      <c r="U70" s="90">
        <f t="shared" si="28"/>
        <v>66.173806134334157</v>
      </c>
      <c r="V70" s="32">
        <v>1081.78</v>
      </c>
      <c r="W70" s="117">
        <f t="shared" si="29"/>
        <v>59.129999999999882</v>
      </c>
    </row>
    <row r="71" spans="1:23" x14ac:dyDescent="0.25">
      <c r="A71" s="190"/>
      <c r="B71" s="193"/>
      <c r="C71" s="115">
        <v>6</v>
      </c>
      <c r="D71" s="32">
        <v>1789</v>
      </c>
      <c r="E71" s="32">
        <v>2719.27</v>
      </c>
      <c r="F71" s="32">
        <f t="shared" si="24"/>
        <v>930.27</v>
      </c>
      <c r="G71" s="116">
        <v>1440.1999999999998</v>
      </c>
      <c r="H71" s="90">
        <f t="shared" si="25"/>
        <v>64.593112067768374</v>
      </c>
      <c r="I71" s="32">
        <v>1008.1399999999999</v>
      </c>
      <c r="J71" s="117">
        <f t="shared" si="26"/>
        <v>77.869999999999891</v>
      </c>
      <c r="N71" s="190"/>
      <c r="O71" s="193"/>
      <c r="P71" s="115">
        <v>6</v>
      </c>
      <c r="Q71" s="32">
        <v>1789</v>
      </c>
      <c r="R71" s="32">
        <v>2709.53</v>
      </c>
      <c r="S71" s="32">
        <f t="shared" si="27"/>
        <v>920.5300000000002</v>
      </c>
      <c r="T71" s="116">
        <v>1440.1999999999998</v>
      </c>
      <c r="U71" s="90">
        <f t="shared" si="28"/>
        <v>63.916817108734925</v>
      </c>
      <c r="V71" s="32">
        <v>1008.1399999999999</v>
      </c>
      <c r="W71" s="117">
        <f t="shared" si="29"/>
        <v>87.609999999999673</v>
      </c>
    </row>
    <row r="72" spans="1:23" x14ac:dyDescent="0.25">
      <c r="A72" s="190"/>
      <c r="B72" s="193"/>
      <c r="C72" s="115">
        <v>7</v>
      </c>
      <c r="D72" s="32">
        <v>1565.53</v>
      </c>
      <c r="E72" s="32">
        <v>2424.88</v>
      </c>
      <c r="F72" s="32">
        <f t="shared" si="24"/>
        <v>859.35000000000014</v>
      </c>
      <c r="G72" s="116">
        <v>1343.2700000000002</v>
      </c>
      <c r="H72" s="90">
        <f t="shared" si="25"/>
        <v>63.974480186410773</v>
      </c>
      <c r="I72" s="32">
        <v>940.2890000000001</v>
      </c>
      <c r="J72" s="117">
        <f t="shared" si="26"/>
        <v>80.938999999999965</v>
      </c>
      <c r="N72" s="190"/>
      <c r="O72" s="193"/>
      <c r="P72" s="115">
        <v>7</v>
      </c>
      <c r="Q72" s="32">
        <v>1565.53</v>
      </c>
      <c r="R72" s="32">
        <v>2412.33</v>
      </c>
      <c r="S72" s="32">
        <f t="shared" si="27"/>
        <v>846.8</v>
      </c>
      <c r="T72" s="116">
        <v>1343.2700000000002</v>
      </c>
      <c r="U72" s="90">
        <f t="shared" si="28"/>
        <v>63.04019296195105</v>
      </c>
      <c r="V72" s="32">
        <v>940.2890000000001</v>
      </c>
      <c r="W72" s="117">
        <f t="shared" si="29"/>
        <v>93.489000000000146</v>
      </c>
    </row>
    <row r="73" spans="1:23" x14ac:dyDescent="0.25">
      <c r="A73" s="190"/>
      <c r="B73" s="193"/>
      <c r="C73" s="115">
        <v>8</v>
      </c>
      <c r="D73" s="32">
        <v>1607.4</v>
      </c>
      <c r="E73" s="32">
        <v>2480.3000000000002</v>
      </c>
      <c r="F73" s="32">
        <f t="shared" si="24"/>
        <v>872.90000000000009</v>
      </c>
      <c r="G73" s="116">
        <v>1348.7999999999997</v>
      </c>
      <c r="H73" s="90">
        <f t="shared" si="25"/>
        <v>64.716785290628735</v>
      </c>
      <c r="I73" s="32">
        <v>944.15999999999985</v>
      </c>
      <c r="J73" s="117">
        <f t="shared" si="26"/>
        <v>71.259999999999764</v>
      </c>
      <c r="N73" s="190"/>
      <c r="O73" s="193"/>
      <c r="P73" s="115">
        <v>8</v>
      </c>
      <c r="Q73" s="32">
        <v>1607.4</v>
      </c>
      <c r="R73" s="32">
        <v>2461.9499999999998</v>
      </c>
      <c r="S73" s="32">
        <f t="shared" si="27"/>
        <v>854.54999999999973</v>
      </c>
      <c r="T73" s="116">
        <v>1348.7999999999997</v>
      </c>
      <c r="U73" s="90">
        <f t="shared" si="28"/>
        <v>63.356316725978644</v>
      </c>
      <c r="V73" s="32">
        <v>944.15999999999985</v>
      </c>
      <c r="W73" s="117">
        <f t="shared" si="29"/>
        <v>89.610000000000127</v>
      </c>
    </row>
    <row r="74" spans="1:23" x14ac:dyDescent="0.25">
      <c r="A74" s="190"/>
      <c r="B74" s="193"/>
      <c r="C74" s="115">
        <v>9</v>
      </c>
      <c r="D74" s="32">
        <v>1555.9</v>
      </c>
      <c r="E74" s="32">
        <v>2456.64</v>
      </c>
      <c r="F74" s="32">
        <f t="shared" si="24"/>
        <v>900.73999999999978</v>
      </c>
      <c r="G74" s="116">
        <v>1360.4</v>
      </c>
      <c r="H74" s="90">
        <f t="shared" si="25"/>
        <v>66.211408409291366</v>
      </c>
      <c r="I74" s="32">
        <v>952.28</v>
      </c>
      <c r="J74" s="117">
        <f t="shared" si="26"/>
        <v>51.540000000000191</v>
      </c>
      <c r="N74" s="190"/>
      <c r="O74" s="193"/>
      <c r="P74" s="115">
        <v>9</v>
      </c>
      <c r="Q74" s="32">
        <v>1555.9</v>
      </c>
      <c r="R74" s="32">
        <v>2442.8000000000002</v>
      </c>
      <c r="S74" s="32">
        <f t="shared" si="27"/>
        <v>886.90000000000009</v>
      </c>
      <c r="T74" s="116">
        <v>1360.4</v>
      </c>
      <c r="U74" s="90">
        <f t="shared" si="28"/>
        <v>65.194060570420461</v>
      </c>
      <c r="V74" s="32">
        <v>952.28</v>
      </c>
      <c r="W74" s="117">
        <f t="shared" si="29"/>
        <v>65.379999999999882</v>
      </c>
    </row>
    <row r="75" spans="1:23" x14ac:dyDescent="0.25">
      <c r="A75" s="190"/>
      <c r="B75" s="193"/>
      <c r="C75" s="115">
        <v>10</v>
      </c>
      <c r="D75" s="32">
        <v>1625.9</v>
      </c>
      <c r="E75" s="32">
        <v>2458.58</v>
      </c>
      <c r="F75" s="32">
        <f t="shared" si="24"/>
        <v>832.67999999999984</v>
      </c>
      <c r="G75" s="116">
        <v>1266.6999999999998</v>
      </c>
      <c r="H75" s="90">
        <f t="shared" si="25"/>
        <v>65.736164837767419</v>
      </c>
      <c r="I75" s="32">
        <v>886.68999999999983</v>
      </c>
      <c r="J75" s="117">
        <f t="shared" si="26"/>
        <v>54.009999999999991</v>
      </c>
      <c r="N75" s="190"/>
      <c r="O75" s="193"/>
      <c r="P75" s="115">
        <v>10</v>
      </c>
      <c r="Q75" s="32">
        <v>1625.9</v>
      </c>
      <c r="R75" s="32">
        <v>2446.0500000000002</v>
      </c>
      <c r="S75" s="32">
        <f t="shared" si="27"/>
        <v>820.15000000000009</v>
      </c>
      <c r="T75" s="116">
        <v>1266.6999999999998</v>
      </c>
      <c r="U75" s="90">
        <f t="shared" si="28"/>
        <v>64.746980342622578</v>
      </c>
      <c r="V75" s="32">
        <v>886.68999999999983</v>
      </c>
      <c r="W75" s="117">
        <f t="shared" si="29"/>
        <v>66.539999999999736</v>
      </c>
    </row>
    <row r="76" spans="1:23" x14ac:dyDescent="0.25">
      <c r="A76" s="190"/>
      <c r="B76" s="193"/>
      <c r="C76" s="115">
        <v>11</v>
      </c>
      <c r="D76" s="32">
        <v>1542.1</v>
      </c>
      <c r="E76" s="32">
        <v>2436.0300000000002</v>
      </c>
      <c r="F76" s="32">
        <f t="shared" si="24"/>
        <v>893.93000000000029</v>
      </c>
      <c r="G76" s="116">
        <v>1390.9</v>
      </c>
      <c r="H76" s="90">
        <f t="shared" si="25"/>
        <v>64.26989718887053</v>
      </c>
      <c r="I76" s="32">
        <v>973.63</v>
      </c>
      <c r="J76" s="117">
        <f t="shared" si="26"/>
        <v>79.699999999999704</v>
      </c>
      <c r="N76" s="190"/>
      <c r="O76" s="193"/>
      <c r="P76" s="115">
        <v>11</v>
      </c>
      <c r="Q76" s="32">
        <v>1542.1</v>
      </c>
      <c r="R76" s="32">
        <v>2428.8000000000002</v>
      </c>
      <c r="S76" s="32">
        <f t="shared" si="27"/>
        <v>886.70000000000027</v>
      </c>
      <c r="T76" s="116">
        <v>1390.9</v>
      </c>
      <c r="U76" s="90">
        <f t="shared" si="28"/>
        <v>63.75008986986844</v>
      </c>
      <c r="V76" s="32">
        <v>973.63</v>
      </c>
      <c r="W76" s="117">
        <f t="shared" si="29"/>
        <v>86.929999999999723</v>
      </c>
    </row>
    <row r="77" spans="1:23" x14ac:dyDescent="0.25">
      <c r="A77" s="190"/>
      <c r="B77" s="193"/>
      <c r="C77" s="115">
        <v>12</v>
      </c>
      <c r="D77" s="32">
        <v>1487.3</v>
      </c>
      <c r="E77" s="32">
        <v>2329.35</v>
      </c>
      <c r="F77" s="32">
        <f t="shared" si="24"/>
        <v>842.05</v>
      </c>
      <c r="G77" s="116">
        <v>1282.6000000000001</v>
      </c>
      <c r="H77" s="90">
        <f t="shared" si="25"/>
        <v>65.6518010291595</v>
      </c>
      <c r="I77" s="32">
        <v>897.82000000000016</v>
      </c>
      <c r="J77" s="117">
        <f t="shared" si="26"/>
        <v>55.770000000000209</v>
      </c>
      <c r="N77" s="190"/>
      <c r="O77" s="193"/>
      <c r="P77" s="115">
        <v>12</v>
      </c>
      <c r="Q77" s="32">
        <v>1487.3</v>
      </c>
      <c r="R77" s="32">
        <v>2203.06</v>
      </c>
      <c r="S77" s="32">
        <f t="shared" si="27"/>
        <v>715.76</v>
      </c>
      <c r="T77" s="116">
        <v>1282.6000000000001</v>
      </c>
      <c r="U77" s="90">
        <f t="shared" si="28"/>
        <v>55.805395290815532</v>
      </c>
      <c r="V77" s="32">
        <v>897.82000000000016</v>
      </c>
      <c r="W77" s="117">
        <f t="shared" si="29"/>
        <v>182.06000000000017</v>
      </c>
    </row>
    <row r="78" spans="1:23" x14ac:dyDescent="0.25">
      <c r="A78" s="190"/>
      <c r="B78" s="193"/>
      <c r="C78" s="115">
        <v>13</v>
      </c>
      <c r="D78" s="32">
        <v>1567.2</v>
      </c>
      <c r="E78" s="32">
        <v>2376.9</v>
      </c>
      <c r="F78" s="32">
        <f t="shared" si="24"/>
        <v>809.7</v>
      </c>
      <c r="G78" s="116">
        <v>1252.1000000000001</v>
      </c>
      <c r="H78" s="90">
        <f t="shared" si="25"/>
        <v>64.667358837153571</v>
      </c>
      <c r="I78" s="32">
        <v>876.47000000000014</v>
      </c>
      <c r="J78" s="117">
        <f t="shared" si="26"/>
        <v>66.770000000000095</v>
      </c>
      <c r="N78" s="190"/>
      <c r="O78" s="193"/>
      <c r="P78" s="115">
        <v>13</v>
      </c>
      <c r="Q78" s="32">
        <v>1567.2</v>
      </c>
      <c r="R78" s="32">
        <v>2412.19</v>
      </c>
      <c r="S78" s="32">
        <f t="shared" si="27"/>
        <v>844.99</v>
      </c>
      <c r="T78" s="116">
        <v>1252.1000000000001</v>
      </c>
      <c r="U78" s="90">
        <f t="shared" si="28"/>
        <v>67.485823815989136</v>
      </c>
      <c r="V78" s="32">
        <v>876.47000000000014</v>
      </c>
      <c r="W78" s="117">
        <f t="shared" si="29"/>
        <v>31.480000000000132</v>
      </c>
    </row>
    <row r="79" spans="1:23" x14ac:dyDescent="0.25">
      <c r="A79" s="190"/>
      <c r="B79" s="193"/>
      <c r="C79" s="115">
        <v>14</v>
      </c>
      <c r="D79" s="32">
        <v>1704.9</v>
      </c>
      <c r="E79" s="32">
        <v>2532.13</v>
      </c>
      <c r="F79" s="32">
        <f t="shared" si="24"/>
        <v>827.23</v>
      </c>
      <c r="G79" s="116">
        <v>1271.7999999999997</v>
      </c>
      <c r="H79" s="90">
        <f t="shared" si="25"/>
        <v>65.044032080515819</v>
      </c>
      <c r="I79" s="32">
        <v>890.25999999999988</v>
      </c>
      <c r="J79" s="117">
        <f t="shared" si="26"/>
        <v>63.029999999999859</v>
      </c>
      <c r="N79" s="190"/>
      <c r="O79" s="193"/>
      <c r="P79" s="115">
        <v>14</v>
      </c>
      <c r="Q79" s="32">
        <v>1704.9</v>
      </c>
      <c r="R79" s="32">
        <v>2525.7399999999998</v>
      </c>
      <c r="S79" s="32">
        <f t="shared" si="27"/>
        <v>820.83999999999969</v>
      </c>
      <c r="T79" s="116">
        <v>1271.7999999999997</v>
      </c>
      <c r="U79" s="90">
        <f t="shared" si="28"/>
        <v>64.541594590344388</v>
      </c>
      <c r="V79" s="32">
        <v>890.25999999999988</v>
      </c>
      <c r="W79" s="117">
        <f t="shared" si="29"/>
        <v>69.420000000000186</v>
      </c>
    </row>
    <row r="80" spans="1:23" x14ac:dyDescent="0.25">
      <c r="A80" s="190"/>
      <c r="B80" s="193"/>
      <c r="C80" s="115">
        <v>15</v>
      </c>
      <c r="D80" s="32">
        <v>1558.2</v>
      </c>
      <c r="E80" s="32">
        <v>2338.39</v>
      </c>
      <c r="F80" s="32">
        <f t="shared" si="24"/>
        <v>780.18999999999983</v>
      </c>
      <c r="G80" s="116">
        <v>1187.2</v>
      </c>
      <c r="H80" s="90">
        <f t="shared" si="25"/>
        <v>65.716812668463604</v>
      </c>
      <c r="I80" s="32">
        <v>831.04</v>
      </c>
      <c r="J80" s="117">
        <f t="shared" si="26"/>
        <v>50.850000000000136</v>
      </c>
      <c r="N80" s="190"/>
      <c r="O80" s="193"/>
      <c r="P80" s="115">
        <v>15</v>
      </c>
      <c r="Q80" s="32">
        <v>1558.2</v>
      </c>
      <c r="R80" s="32">
        <v>2323.0100000000002</v>
      </c>
      <c r="S80" s="32">
        <f t="shared" si="27"/>
        <v>764.81000000000017</v>
      </c>
      <c r="T80" s="116">
        <v>1187.2</v>
      </c>
      <c r="U80" s="90">
        <f t="shared" si="28"/>
        <v>64.421327493261472</v>
      </c>
      <c r="V80" s="32">
        <v>831.04</v>
      </c>
      <c r="W80" s="117">
        <f t="shared" si="29"/>
        <v>66.229999999999791</v>
      </c>
    </row>
    <row r="81" spans="1:23" x14ac:dyDescent="0.25">
      <c r="A81" s="191"/>
      <c r="B81" s="194"/>
      <c r="C81" s="118">
        <v>16</v>
      </c>
      <c r="D81" s="65">
        <v>1512.1</v>
      </c>
      <c r="E81" s="119">
        <v>2369.48</v>
      </c>
      <c r="F81" s="119">
        <f t="shared" si="24"/>
        <v>857.38000000000011</v>
      </c>
      <c r="G81" s="120">
        <v>1276.7000000000003</v>
      </c>
      <c r="H81" s="91">
        <f t="shared" si="25"/>
        <v>67.155948930837312</v>
      </c>
      <c r="I81" s="119">
        <v>893.69000000000017</v>
      </c>
      <c r="J81" s="121">
        <f t="shared" si="26"/>
        <v>36.310000000000059</v>
      </c>
      <c r="N81" s="191"/>
      <c r="O81" s="194"/>
      <c r="P81" s="118">
        <v>16</v>
      </c>
      <c r="Q81" s="65">
        <v>1512.1</v>
      </c>
      <c r="R81" s="119">
        <v>2363.4699999999998</v>
      </c>
      <c r="S81" s="119">
        <f t="shared" si="27"/>
        <v>851.36999999999989</v>
      </c>
      <c r="T81" s="120">
        <v>1276.7000000000003</v>
      </c>
      <c r="U81" s="91">
        <f t="shared" si="28"/>
        <v>66.685204041669905</v>
      </c>
      <c r="V81" s="119">
        <v>893.69000000000017</v>
      </c>
      <c r="W81" s="121">
        <f t="shared" si="29"/>
        <v>42.320000000000277</v>
      </c>
    </row>
    <row r="82" spans="1:23" x14ac:dyDescent="0.25">
      <c r="A82" s="189">
        <v>0.5</v>
      </c>
      <c r="B82" s="192" t="s">
        <v>117</v>
      </c>
      <c r="C82" s="111">
        <v>1</v>
      </c>
      <c r="D82" s="32">
        <v>1603.6</v>
      </c>
      <c r="E82" s="112">
        <v>2449.85</v>
      </c>
      <c r="F82" s="112">
        <f>E82- D82</f>
        <v>846.25</v>
      </c>
      <c r="G82" s="113">
        <v>1316.3000000000002</v>
      </c>
      <c r="H82" s="89">
        <f>(F82/$G82)*100</f>
        <v>64.290055458482101</v>
      </c>
      <c r="I82" s="112">
        <v>921.4100000000002</v>
      </c>
      <c r="J82" s="114">
        <f>I82-F82</f>
        <v>75.160000000000196</v>
      </c>
      <c r="N82" s="189">
        <v>0.49722222222222223</v>
      </c>
      <c r="O82" s="192" t="s">
        <v>117</v>
      </c>
      <c r="P82" s="111">
        <v>1</v>
      </c>
      <c r="Q82" s="32">
        <v>1603.6</v>
      </c>
      <c r="R82" s="112">
        <v>2438.34</v>
      </c>
      <c r="S82" s="112">
        <f>R82- Q82</f>
        <v>834.74000000000024</v>
      </c>
      <c r="T82" s="113">
        <v>1316.3000000000002</v>
      </c>
      <c r="U82" s="89">
        <f>(S82/$G82)*100</f>
        <v>63.415634733723323</v>
      </c>
      <c r="V82" s="112">
        <v>921.4100000000002</v>
      </c>
      <c r="W82" s="114">
        <f>V82-S82</f>
        <v>86.669999999999959</v>
      </c>
    </row>
    <row r="83" spans="1:23" x14ac:dyDescent="0.25">
      <c r="A83" s="190"/>
      <c r="B83" s="193"/>
      <c r="C83" s="115">
        <v>2</v>
      </c>
      <c r="D83" s="32">
        <v>1758.6</v>
      </c>
      <c r="E83" s="32">
        <v>2626.1</v>
      </c>
      <c r="F83" s="32">
        <f t="shared" ref="F83:F97" si="30">E83- D83</f>
        <v>867.5</v>
      </c>
      <c r="G83" s="116">
        <v>1342.6</v>
      </c>
      <c r="H83" s="90">
        <f t="shared" ref="H83:H97" si="31">(F83/$G83)*100</f>
        <v>64.613436615522119</v>
      </c>
      <c r="I83" s="32">
        <v>939.82</v>
      </c>
      <c r="J83" s="117">
        <f t="shared" ref="J83:J97" si="32">I83-F83</f>
        <v>72.32000000000005</v>
      </c>
      <c r="N83" s="190"/>
      <c r="O83" s="193"/>
      <c r="P83" s="115">
        <v>2</v>
      </c>
      <c r="Q83" s="32">
        <v>1758.6</v>
      </c>
      <c r="R83" s="32">
        <v>2612.54</v>
      </c>
      <c r="S83" s="32">
        <f t="shared" ref="S83:S97" si="33">R83- Q83</f>
        <v>853.94</v>
      </c>
      <c r="T83" s="116">
        <v>1342.6</v>
      </c>
      <c r="U83" s="90">
        <f t="shared" ref="U83:U97" si="34">(S83/$G83)*100</f>
        <v>63.60345598093253</v>
      </c>
      <c r="V83" s="32">
        <v>939.82</v>
      </c>
      <c r="W83" s="117">
        <f t="shared" ref="W83:W97" si="35">V83-S83</f>
        <v>85.88</v>
      </c>
    </row>
    <row r="84" spans="1:23" x14ac:dyDescent="0.25">
      <c r="A84" s="190"/>
      <c r="B84" s="193"/>
      <c r="C84" s="115">
        <v>3</v>
      </c>
      <c r="D84" s="32">
        <v>1573.8</v>
      </c>
      <c r="E84" s="32">
        <v>2458.64</v>
      </c>
      <c r="F84" s="32">
        <f t="shared" si="30"/>
        <v>884.83999999999992</v>
      </c>
      <c r="G84" s="116">
        <v>1413.6000000000001</v>
      </c>
      <c r="H84" s="90">
        <f t="shared" si="31"/>
        <v>62.594793435200891</v>
      </c>
      <c r="I84" s="32">
        <v>989.5200000000001</v>
      </c>
      <c r="J84" s="117">
        <f t="shared" si="32"/>
        <v>104.68000000000018</v>
      </c>
      <c r="N84" s="190"/>
      <c r="O84" s="193"/>
      <c r="P84" s="115">
        <v>3</v>
      </c>
      <c r="Q84" s="32">
        <v>1573.8</v>
      </c>
      <c r="R84" s="32">
        <v>2444.7399999999998</v>
      </c>
      <c r="S84" s="32">
        <f t="shared" si="33"/>
        <v>870.93999999999983</v>
      </c>
      <c r="T84" s="116">
        <v>1413.6000000000001</v>
      </c>
      <c r="U84" s="90">
        <f t="shared" si="34"/>
        <v>61.611488398415368</v>
      </c>
      <c r="V84" s="32">
        <v>989.5200000000001</v>
      </c>
      <c r="W84" s="117">
        <f t="shared" si="35"/>
        <v>118.58000000000027</v>
      </c>
    </row>
    <row r="85" spans="1:23" x14ac:dyDescent="0.25">
      <c r="A85" s="190"/>
      <c r="B85" s="193"/>
      <c r="C85" s="115">
        <v>4</v>
      </c>
      <c r="D85" s="32">
        <v>1558.8</v>
      </c>
      <c r="E85" s="32">
        <v>2562.3200000000002</v>
      </c>
      <c r="F85" s="32">
        <f t="shared" si="30"/>
        <v>1003.5200000000002</v>
      </c>
      <c r="G85" s="116">
        <v>1556.6000000000001</v>
      </c>
      <c r="H85" s="90">
        <f t="shared" si="31"/>
        <v>64.468713863548771</v>
      </c>
      <c r="I85" s="32">
        <v>1089.6200000000001</v>
      </c>
      <c r="J85" s="117">
        <f t="shared" si="32"/>
        <v>86.099999999999909</v>
      </c>
      <c r="N85" s="190"/>
      <c r="O85" s="193"/>
      <c r="P85" s="115">
        <v>4</v>
      </c>
      <c r="Q85" s="32">
        <v>1558.8</v>
      </c>
      <c r="R85" s="32">
        <v>2553.0700000000002</v>
      </c>
      <c r="S85" s="32">
        <f t="shared" si="33"/>
        <v>994.27000000000021</v>
      </c>
      <c r="T85" s="116">
        <v>1556.6000000000001</v>
      </c>
      <c r="U85" s="90">
        <f t="shared" si="34"/>
        <v>63.874469998715156</v>
      </c>
      <c r="V85" s="32">
        <v>1089.6200000000001</v>
      </c>
      <c r="W85" s="117">
        <f t="shared" si="35"/>
        <v>95.349999999999909</v>
      </c>
    </row>
    <row r="86" spans="1:23" x14ac:dyDescent="0.25">
      <c r="A86" s="190"/>
      <c r="B86" s="193"/>
      <c r="C86" s="115">
        <v>5</v>
      </c>
      <c r="D86" s="32">
        <v>1747.9</v>
      </c>
      <c r="E86" s="32">
        <v>2762.44</v>
      </c>
      <c r="F86" s="32">
        <f t="shared" si="30"/>
        <v>1014.54</v>
      </c>
      <c r="G86" s="116">
        <v>1545.4</v>
      </c>
      <c r="H86" s="90">
        <f t="shared" si="31"/>
        <v>65.649022906690817</v>
      </c>
      <c r="I86" s="32">
        <v>1081.78</v>
      </c>
      <c r="J86" s="117">
        <f t="shared" si="32"/>
        <v>67.240000000000009</v>
      </c>
      <c r="N86" s="190"/>
      <c r="O86" s="193"/>
      <c r="P86" s="115">
        <v>5</v>
      </c>
      <c r="Q86" s="32">
        <v>1747.9</v>
      </c>
      <c r="R86" s="32">
        <v>2752.92</v>
      </c>
      <c r="S86" s="32">
        <f t="shared" si="33"/>
        <v>1005.02</v>
      </c>
      <c r="T86" s="116">
        <v>1545.4</v>
      </c>
      <c r="U86" s="90">
        <f t="shared" si="34"/>
        <v>65.033001164746977</v>
      </c>
      <c r="V86" s="32">
        <v>1081.78</v>
      </c>
      <c r="W86" s="117">
        <f t="shared" si="35"/>
        <v>76.759999999999991</v>
      </c>
    </row>
    <row r="87" spans="1:23" x14ac:dyDescent="0.25">
      <c r="A87" s="190"/>
      <c r="B87" s="193"/>
      <c r="C87" s="115">
        <v>6</v>
      </c>
      <c r="D87" s="32">
        <v>1789</v>
      </c>
      <c r="E87" s="32">
        <v>2700.04</v>
      </c>
      <c r="F87" s="32">
        <f t="shared" si="30"/>
        <v>911.04</v>
      </c>
      <c r="G87" s="116">
        <v>1440.1999999999998</v>
      </c>
      <c r="H87" s="90">
        <f t="shared" si="31"/>
        <v>63.257880849881964</v>
      </c>
      <c r="I87" s="32">
        <v>1008.1399999999999</v>
      </c>
      <c r="J87" s="117">
        <f t="shared" si="32"/>
        <v>97.099999999999909</v>
      </c>
      <c r="N87" s="190"/>
      <c r="O87" s="193"/>
      <c r="P87" s="115">
        <v>6</v>
      </c>
      <c r="Q87" s="32">
        <v>1789</v>
      </c>
      <c r="R87" s="32">
        <v>2689.16</v>
      </c>
      <c r="S87" s="32">
        <f t="shared" si="33"/>
        <v>900.15999999999985</v>
      </c>
      <c r="T87" s="116">
        <v>1440.1999999999998</v>
      </c>
      <c r="U87" s="90">
        <f t="shared" si="34"/>
        <v>62.502430218025275</v>
      </c>
      <c r="V87" s="32">
        <v>1008.1399999999999</v>
      </c>
      <c r="W87" s="117">
        <f t="shared" si="35"/>
        <v>107.98000000000002</v>
      </c>
    </row>
    <row r="88" spans="1:23" x14ac:dyDescent="0.25">
      <c r="A88" s="190"/>
      <c r="B88" s="193"/>
      <c r="C88" s="115">
        <v>7</v>
      </c>
      <c r="D88" s="32">
        <v>1565.53</v>
      </c>
      <c r="E88" s="32">
        <v>2401.46</v>
      </c>
      <c r="F88" s="32">
        <f t="shared" si="30"/>
        <v>835.93000000000006</v>
      </c>
      <c r="G88" s="116">
        <v>1343.2700000000002</v>
      </c>
      <c r="H88" s="90">
        <f t="shared" si="31"/>
        <v>62.23097366873376</v>
      </c>
      <c r="I88" s="32">
        <v>940.2890000000001</v>
      </c>
      <c r="J88" s="117">
        <f t="shared" si="32"/>
        <v>104.35900000000004</v>
      </c>
      <c r="N88" s="190"/>
      <c r="O88" s="193"/>
      <c r="P88" s="115">
        <v>7</v>
      </c>
      <c r="Q88" s="32">
        <v>1565.53</v>
      </c>
      <c r="R88" s="32">
        <v>2385.4499999999998</v>
      </c>
      <c r="S88" s="32">
        <f t="shared" si="33"/>
        <v>819.91999999999985</v>
      </c>
      <c r="T88" s="116">
        <v>1343.2700000000002</v>
      </c>
      <c r="U88" s="90">
        <f t="shared" si="34"/>
        <v>61.039106062072378</v>
      </c>
      <c r="V88" s="32">
        <v>940.2890000000001</v>
      </c>
      <c r="W88" s="117">
        <f t="shared" si="35"/>
        <v>120.36900000000026</v>
      </c>
    </row>
    <row r="89" spans="1:23" x14ac:dyDescent="0.25">
      <c r="A89" s="190"/>
      <c r="B89" s="193"/>
      <c r="C89" s="115">
        <v>8</v>
      </c>
      <c r="D89" s="32">
        <v>1607.4</v>
      </c>
      <c r="E89" s="32">
        <v>2463.13</v>
      </c>
      <c r="F89" s="32">
        <f t="shared" si="30"/>
        <v>855.73</v>
      </c>
      <c r="G89" s="116">
        <v>1348.7999999999997</v>
      </c>
      <c r="H89" s="90">
        <f t="shared" si="31"/>
        <v>63.443801897983413</v>
      </c>
      <c r="I89" s="32">
        <v>944.15999999999985</v>
      </c>
      <c r="J89" s="117">
        <f t="shared" si="32"/>
        <v>88.429999999999836</v>
      </c>
      <c r="N89" s="190"/>
      <c r="O89" s="193"/>
      <c r="P89" s="115">
        <v>8</v>
      </c>
      <c r="Q89" s="32">
        <v>1607.4</v>
      </c>
      <c r="R89" s="32">
        <v>2441.3200000000002</v>
      </c>
      <c r="S89" s="32">
        <f t="shared" si="33"/>
        <v>833.92000000000007</v>
      </c>
      <c r="T89" s="116">
        <v>1348.7999999999997</v>
      </c>
      <c r="U89" s="90">
        <f t="shared" si="34"/>
        <v>61.826809015421134</v>
      </c>
      <c r="V89" s="32">
        <v>944.15999999999985</v>
      </c>
      <c r="W89" s="117">
        <f t="shared" si="35"/>
        <v>110.23999999999978</v>
      </c>
    </row>
    <row r="90" spans="1:23" x14ac:dyDescent="0.25">
      <c r="A90" s="190"/>
      <c r="B90" s="193"/>
      <c r="C90" s="115">
        <v>9</v>
      </c>
      <c r="D90" s="32">
        <v>1555.9</v>
      </c>
      <c r="E90" s="32">
        <v>2440.79</v>
      </c>
      <c r="F90" s="32">
        <f t="shared" si="30"/>
        <v>884.88999999999987</v>
      </c>
      <c r="G90" s="116">
        <v>1360.4</v>
      </c>
      <c r="H90" s="90">
        <f t="shared" si="31"/>
        <v>65.046309908850318</v>
      </c>
      <c r="I90" s="32">
        <v>952.28</v>
      </c>
      <c r="J90" s="117">
        <f t="shared" si="32"/>
        <v>67.3900000000001</v>
      </c>
      <c r="N90" s="190"/>
      <c r="O90" s="193"/>
      <c r="P90" s="115">
        <v>9</v>
      </c>
      <c r="Q90" s="32">
        <v>1555.9</v>
      </c>
      <c r="R90" s="32">
        <v>2424.5500000000002</v>
      </c>
      <c r="S90" s="32">
        <f t="shared" si="33"/>
        <v>868.65000000000009</v>
      </c>
      <c r="T90" s="116">
        <v>1360.4</v>
      </c>
      <c r="U90" s="90">
        <f t="shared" si="34"/>
        <v>63.852543369597178</v>
      </c>
      <c r="V90" s="32">
        <v>952.28</v>
      </c>
      <c r="W90" s="117">
        <f t="shared" si="35"/>
        <v>83.629999999999882</v>
      </c>
    </row>
    <row r="91" spans="1:23" x14ac:dyDescent="0.25">
      <c r="A91" s="190"/>
      <c r="B91" s="193"/>
      <c r="C91" s="115">
        <v>10</v>
      </c>
      <c r="D91" s="32">
        <v>1625.9</v>
      </c>
      <c r="E91" s="32">
        <v>2444.94</v>
      </c>
      <c r="F91" s="32">
        <f t="shared" si="30"/>
        <v>819.04</v>
      </c>
      <c r="G91" s="116">
        <v>1266.6999999999998</v>
      </c>
      <c r="H91" s="90">
        <f t="shared" si="31"/>
        <v>64.659351069708705</v>
      </c>
      <c r="I91" s="32">
        <v>886.68999999999983</v>
      </c>
      <c r="J91" s="117">
        <f t="shared" si="32"/>
        <v>67.649999999999864</v>
      </c>
      <c r="N91" s="190"/>
      <c r="O91" s="193"/>
      <c r="P91" s="115">
        <v>10</v>
      </c>
      <c r="Q91" s="32">
        <v>1625.9</v>
      </c>
      <c r="R91" s="32">
        <v>2429.6</v>
      </c>
      <c r="S91" s="32">
        <f t="shared" si="33"/>
        <v>803.69999999999982</v>
      </c>
      <c r="T91" s="116">
        <v>1266.6999999999998</v>
      </c>
      <c r="U91" s="90">
        <f t="shared" si="34"/>
        <v>63.44833030709718</v>
      </c>
      <c r="V91" s="32">
        <v>886.68999999999983</v>
      </c>
      <c r="W91" s="117">
        <f t="shared" si="35"/>
        <v>82.990000000000009</v>
      </c>
    </row>
    <row r="92" spans="1:23" x14ac:dyDescent="0.25">
      <c r="A92" s="190"/>
      <c r="B92" s="193"/>
      <c r="C92" s="115">
        <v>11</v>
      </c>
      <c r="D92" s="32">
        <v>1542.1</v>
      </c>
      <c r="E92" s="32">
        <v>2413.7800000000002</v>
      </c>
      <c r="F92" s="32">
        <f t="shared" si="30"/>
        <v>871.68000000000029</v>
      </c>
      <c r="G92" s="116">
        <v>1390.9</v>
      </c>
      <c r="H92" s="90">
        <f t="shared" si="31"/>
        <v>62.670213530807409</v>
      </c>
      <c r="I92" s="32">
        <v>973.63</v>
      </c>
      <c r="J92" s="117">
        <f t="shared" si="32"/>
        <v>101.9499999999997</v>
      </c>
      <c r="N92" s="190"/>
      <c r="O92" s="193"/>
      <c r="P92" s="115">
        <v>11</v>
      </c>
      <c r="Q92" s="32">
        <v>1542.1</v>
      </c>
      <c r="R92" s="32">
        <v>2404.0500000000002</v>
      </c>
      <c r="S92" s="32">
        <f t="shared" si="33"/>
        <v>861.95000000000027</v>
      </c>
      <c r="T92" s="116">
        <v>1390.9</v>
      </c>
      <c r="U92" s="90">
        <f t="shared" si="34"/>
        <v>61.970666474944295</v>
      </c>
      <c r="V92" s="32">
        <v>973.63</v>
      </c>
      <c r="W92" s="117">
        <f t="shared" si="35"/>
        <v>111.67999999999972</v>
      </c>
    </row>
    <row r="93" spans="1:23" x14ac:dyDescent="0.25">
      <c r="A93" s="190"/>
      <c r="B93" s="193"/>
      <c r="C93" s="115">
        <v>12</v>
      </c>
      <c r="D93" s="32">
        <v>1487.3</v>
      </c>
      <c r="E93" s="32">
        <v>2313.8200000000002</v>
      </c>
      <c r="F93" s="32">
        <f t="shared" si="30"/>
        <v>826.52000000000021</v>
      </c>
      <c r="G93" s="116">
        <v>1282.6000000000001</v>
      </c>
      <c r="H93" s="90">
        <f t="shared" si="31"/>
        <v>64.440979260876347</v>
      </c>
      <c r="I93" s="32">
        <v>897.82000000000016</v>
      </c>
      <c r="J93" s="117">
        <f t="shared" si="32"/>
        <v>71.299999999999955</v>
      </c>
      <c r="N93" s="190"/>
      <c r="O93" s="193"/>
      <c r="P93" s="115">
        <v>12</v>
      </c>
      <c r="Q93" s="32">
        <v>1487.3</v>
      </c>
      <c r="R93" s="32">
        <v>2183.7199999999998</v>
      </c>
      <c r="S93" s="32">
        <f t="shared" si="33"/>
        <v>696.41999999999985</v>
      </c>
      <c r="T93" s="116">
        <v>1282.6000000000001</v>
      </c>
      <c r="U93" s="90">
        <f t="shared" si="34"/>
        <v>54.297520661157009</v>
      </c>
      <c r="V93" s="32">
        <v>897.82000000000016</v>
      </c>
      <c r="W93" s="117">
        <f t="shared" si="35"/>
        <v>201.40000000000032</v>
      </c>
    </row>
    <row r="94" spans="1:23" x14ac:dyDescent="0.25">
      <c r="A94" s="190"/>
      <c r="B94" s="193"/>
      <c r="C94" s="115">
        <v>13</v>
      </c>
      <c r="D94" s="32">
        <v>1567.2</v>
      </c>
      <c r="E94" s="32">
        <v>2355.16</v>
      </c>
      <c r="F94" s="32">
        <f t="shared" si="30"/>
        <v>787.95999999999981</v>
      </c>
      <c r="G94" s="116">
        <v>1252.1000000000001</v>
      </c>
      <c r="H94" s="90">
        <f t="shared" si="31"/>
        <v>62.931075792668302</v>
      </c>
      <c r="I94" s="32">
        <v>876.47000000000014</v>
      </c>
      <c r="J94" s="117">
        <f t="shared" si="32"/>
        <v>88.510000000000332</v>
      </c>
      <c r="N94" s="190"/>
      <c r="O94" s="193"/>
      <c r="P94" s="115">
        <v>13</v>
      </c>
      <c r="Q94" s="32">
        <v>1567.2</v>
      </c>
      <c r="R94" s="32">
        <v>2388.9299999999998</v>
      </c>
      <c r="S94" s="32">
        <f t="shared" si="33"/>
        <v>821.72999999999979</v>
      </c>
      <c r="T94" s="116">
        <v>1252.1000000000001</v>
      </c>
      <c r="U94" s="90">
        <f t="shared" si="34"/>
        <v>65.628144716875624</v>
      </c>
      <c r="V94" s="32">
        <v>876.47000000000014</v>
      </c>
      <c r="W94" s="117">
        <f t="shared" si="35"/>
        <v>54.74000000000035</v>
      </c>
    </row>
    <row r="95" spans="1:23" x14ac:dyDescent="0.25">
      <c r="A95" s="190"/>
      <c r="B95" s="193"/>
      <c r="C95" s="115">
        <v>14</v>
      </c>
      <c r="D95" s="32">
        <v>1704.9</v>
      </c>
      <c r="E95" s="32">
        <v>2515.5100000000002</v>
      </c>
      <c r="F95" s="32">
        <f t="shared" si="30"/>
        <v>810.61000000000013</v>
      </c>
      <c r="G95" s="116">
        <v>1271.7999999999997</v>
      </c>
      <c r="H95" s="90">
        <f t="shared" si="31"/>
        <v>63.737222833778915</v>
      </c>
      <c r="I95" s="32">
        <v>890.25999999999988</v>
      </c>
      <c r="J95" s="117">
        <f t="shared" si="32"/>
        <v>79.64999999999975</v>
      </c>
      <c r="N95" s="190"/>
      <c r="O95" s="193"/>
      <c r="P95" s="115">
        <v>14</v>
      </c>
      <c r="Q95" s="32">
        <v>1704.9</v>
      </c>
      <c r="R95" s="32">
        <v>2508.0500000000002</v>
      </c>
      <c r="S95" s="32">
        <f t="shared" si="33"/>
        <v>803.15000000000009</v>
      </c>
      <c r="T95" s="116">
        <v>1271.7999999999997</v>
      </c>
      <c r="U95" s="90">
        <f t="shared" si="34"/>
        <v>63.150652618336231</v>
      </c>
      <c r="V95" s="32">
        <v>890.25999999999988</v>
      </c>
      <c r="W95" s="117">
        <f t="shared" si="35"/>
        <v>87.109999999999786</v>
      </c>
    </row>
    <row r="96" spans="1:23" x14ac:dyDescent="0.25">
      <c r="A96" s="190"/>
      <c r="B96" s="193"/>
      <c r="C96" s="115">
        <v>15</v>
      </c>
      <c r="D96" s="32">
        <v>1558.2</v>
      </c>
      <c r="E96" s="32">
        <v>2323.62</v>
      </c>
      <c r="F96" s="32">
        <f t="shared" si="30"/>
        <v>765.41999999999985</v>
      </c>
      <c r="G96" s="116">
        <v>1187.2</v>
      </c>
      <c r="H96" s="90">
        <f t="shared" si="31"/>
        <v>64.472708894878693</v>
      </c>
      <c r="I96" s="32">
        <v>831.04</v>
      </c>
      <c r="J96" s="117">
        <f t="shared" si="32"/>
        <v>65.620000000000118</v>
      </c>
      <c r="N96" s="190"/>
      <c r="O96" s="193"/>
      <c r="P96" s="115">
        <v>15</v>
      </c>
      <c r="Q96" s="32">
        <v>1558.2</v>
      </c>
      <c r="R96" s="32">
        <v>2305.35</v>
      </c>
      <c r="S96" s="32">
        <f t="shared" si="33"/>
        <v>747.14999999999986</v>
      </c>
      <c r="T96" s="116">
        <v>1187.2</v>
      </c>
      <c r="U96" s="90">
        <f t="shared" si="34"/>
        <v>62.933793800539071</v>
      </c>
      <c r="V96" s="32">
        <v>831.04</v>
      </c>
      <c r="W96" s="117">
        <f t="shared" si="35"/>
        <v>83.8900000000001</v>
      </c>
    </row>
    <row r="97" spans="1:23" x14ac:dyDescent="0.25">
      <c r="A97" s="191"/>
      <c r="B97" s="194"/>
      <c r="C97" s="118">
        <v>16</v>
      </c>
      <c r="D97" s="65">
        <v>1512.1</v>
      </c>
      <c r="E97" s="119">
        <v>2354.86</v>
      </c>
      <c r="F97" s="119">
        <f t="shared" si="30"/>
        <v>842.76000000000022</v>
      </c>
      <c r="G97" s="120">
        <v>1276.7000000000003</v>
      </c>
      <c r="H97" s="91">
        <f t="shared" si="31"/>
        <v>66.010809117255434</v>
      </c>
      <c r="I97" s="119">
        <v>893.69000000000017</v>
      </c>
      <c r="J97" s="121">
        <f t="shared" si="32"/>
        <v>50.92999999999995</v>
      </c>
      <c r="N97" s="191"/>
      <c r="O97" s="194"/>
      <c r="P97" s="118">
        <v>16</v>
      </c>
      <c r="Q97" s="65">
        <v>1512.1</v>
      </c>
      <c r="R97" s="119">
        <v>2345.9699999999998</v>
      </c>
      <c r="S97" s="119">
        <f t="shared" si="33"/>
        <v>833.86999999999989</v>
      </c>
      <c r="T97" s="120">
        <v>1276.7000000000003</v>
      </c>
      <c r="U97" s="91">
        <f t="shared" si="34"/>
        <v>65.314482650583514</v>
      </c>
      <c r="V97" s="119">
        <v>893.69000000000017</v>
      </c>
      <c r="W97" s="121">
        <f t="shared" si="35"/>
        <v>59.820000000000277</v>
      </c>
    </row>
    <row r="98" spans="1:23" x14ac:dyDescent="0.25">
      <c r="A98" s="177">
        <v>0.53125</v>
      </c>
      <c r="B98" s="180" t="s">
        <v>118</v>
      </c>
      <c r="C98" s="123">
        <v>1</v>
      </c>
      <c r="D98" s="33">
        <v>1603.6</v>
      </c>
      <c r="E98" s="124">
        <v>2430.73</v>
      </c>
      <c r="F98" s="124">
        <f>E98- D98</f>
        <v>827.13000000000011</v>
      </c>
      <c r="G98" s="125">
        <v>1316.3000000000002</v>
      </c>
      <c r="H98" s="89">
        <f>(F98/$G98)*100</f>
        <v>62.837499050368464</v>
      </c>
      <c r="I98" s="124">
        <v>921.4100000000002</v>
      </c>
      <c r="J98" s="126">
        <f>I98-F98</f>
        <v>94.280000000000086</v>
      </c>
      <c r="N98" s="177">
        <v>0.5229166666666667</v>
      </c>
      <c r="O98" s="180" t="s">
        <v>118</v>
      </c>
      <c r="P98" s="123">
        <v>1</v>
      </c>
      <c r="Q98" s="33">
        <v>1603.6</v>
      </c>
      <c r="R98" s="124">
        <v>2419.94</v>
      </c>
      <c r="S98" s="124">
        <f>R98- Q98</f>
        <v>816.34000000000015</v>
      </c>
      <c r="T98" s="125">
        <v>1316.3000000000002</v>
      </c>
      <c r="U98" s="89">
        <f>(S98/$G98)*100</f>
        <v>62.017777102484239</v>
      </c>
      <c r="V98" s="124">
        <v>921.4100000000002</v>
      </c>
      <c r="W98" s="126">
        <f>V98-S98</f>
        <v>105.07000000000005</v>
      </c>
    </row>
    <row r="99" spans="1:23" x14ac:dyDescent="0.25">
      <c r="A99" s="178"/>
      <c r="B99" s="181"/>
      <c r="C99" s="127">
        <v>2</v>
      </c>
      <c r="D99" s="33">
        <v>1758.6</v>
      </c>
      <c r="E99" s="33">
        <v>2607.4</v>
      </c>
      <c r="F99" s="33">
        <f t="shared" ref="F99:F113" si="36">E99- D99</f>
        <v>848.80000000000018</v>
      </c>
      <c r="G99" s="128">
        <v>1342.6</v>
      </c>
      <c r="H99" s="90">
        <f t="shared" ref="H99:H113" si="37">(F99/$G99)*100</f>
        <v>63.220616713838837</v>
      </c>
      <c r="I99" s="33">
        <v>939.82</v>
      </c>
      <c r="J99" s="129">
        <f t="shared" ref="J99:J113" si="38">I99-F99</f>
        <v>91.019999999999868</v>
      </c>
      <c r="N99" s="178"/>
      <c r="O99" s="181"/>
      <c r="P99" s="127">
        <v>2</v>
      </c>
      <c r="Q99" s="33">
        <v>1758.6</v>
      </c>
      <c r="R99" s="33">
        <v>2593.86</v>
      </c>
      <c r="S99" s="33">
        <f t="shared" ref="S99:S113" si="39">R99- Q99</f>
        <v>835.26000000000022</v>
      </c>
      <c r="T99" s="128">
        <v>1342.6</v>
      </c>
      <c r="U99" s="90">
        <f t="shared" ref="U99:U113" si="40">(S99/$G99)*100</f>
        <v>62.212125726202913</v>
      </c>
      <c r="V99" s="33">
        <v>939.82</v>
      </c>
      <c r="W99" s="129">
        <f t="shared" ref="W99:W113" si="41">V99-S99</f>
        <v>104.55999999999983</v>
      </c>
    </row>
    <row r="100" spans="1:23" x14ac:dyDescent="0.25">
      <c r="A100" s="178"/>
      <c r="B100" s="181"/>
      <c r="C100" s="127">
        <v>3</v>
      </c>
      <c r="D100" s="33">
        <v>1573.8</v>
      </c>
      <c r="E100" s="33">
        <v>2432.65</v>
      </c>
      <c r="F100" s="33">
        <f t="shared" si="36"/>
        <v>858.85000000000014</v>
      </c>
      <c r="G100" s="128">
        <v>1413.6000000000001</v>
      </c>
      <c r="H100" s="90">
        <f t="shared" si="37"/>
        <v>60.756225240520656</v>
      </c>
      <c r="I100" s="33">
        <v>989.5200000000001</v>
      </c>
      <c r="J100" s="129">
        <f t="shared" si="38"/>
        <v>130.66999999999996</v>
      </c>
      <c r="N100" s="178"/>
      <c r="O100" s="181"/>
      <c r="P100" s="127">
        <v>3</v>
      </c>
      <c r="Q100" s="33">
        <v>1573.8</v>
      </c>
      <c r="R100" s="33">
        <v>2421.1999999999998</v>
      </c>
      <c r="S100" s="33">
        <f t="shared" si="39"/>
        <v>847.39999999999986</v>
      </c>
      <c r="T100" s="128">
        <v>1413.6000000000001</v>
      </c>
      <c r="U100" s="90">
        <f t="shared" si="40"/>
        <v>59.946236559139763</v>
      </c>
      <c r="V100" s="33">
        <v>989.5200000000001</v>
      </c>
      <c r="W100" s="129">
        <f t="shared" si="41"/>
        <v>142.12000000000023</v>
      </c>
    </row>
    <row r="101" spans="1:23" x14ac:dyDescent="0.25">
      <c r="A101" s="178"/>
      <c r="B101" s="181"/>
      <c r="C101" s="127">
        <v>4</v>
      </c>
      <c r="D101" s="33">
        <v>1558.8</v>
      </c>
      <c r="E101" s="33">
        <v>2540.75</v>
      </c>
      <c r="F101" s="33">
        <f t="shared" si="36"/>
        <v>981.95</v>
      </c>
      <c r="G101" s="128">
        <v>1556.6000000000001</v>
      </c>
      <c r="H101" s="90">
        <f t="shared" si="37"/>
        <v>63.08300141333676</v>
      </c>
      <c r="I101" s="33">
        <v>1089.6200000000001</v>
      </c>
      <c r="J101" s="129">
        <f t="shared" si="38"/>
        <v>107.67000000000007</v>
      </c>
      <c r="N101" s="178"/>
      <c r="O101" s="181"/>
      <c r="P101" s="127">
        <v>4</v>
      </c>
      <c r="Q101" s="33">
        <v>1558.8</v>
      </c>
      <c r="R101" s="33">
        <v>2533.9299999999998</v>
      </c>
      <c r="S101" s="33">
        <f t="shared" si="39"/>
        <v>975.12999999999988</v>
      </c>
      <c r="T101" s="128">
        <v>1556.6000000000001</v>
      </c>
      <c r="U101" s="90">
        <f t="shared" si="40"/>
        <v>62.644867017859426</v>
      </c>
      <c r="V101" s="33">
        <v>1089.6200000000001</v>
      </c>
      <c r="W101" s="129">
        <f t="shared" si="41"/>
        <v>114.49000000000024</v>
      </c>
    </row>
    <row r="102" spans="1:23" x14ac:dyDescent="0.25">
      <c r="A102" s="178"/>
      <c r="B102" s="181"/>
      <c r="C102" s="127">
        <v>5</v>
      </c>
      <c r="D102" s="33">
        <v>1747.9</v>
      </c>
      <c r="E102" s="33">
        <v>2743.93</v>
      </c>
      <c r="F102" s="33">
        <f t="shared" si="36"/>
        <v>996.02999999999975</v>
      </c>
      <c r="G102" s="128">
        <v>1545.4</v>
      </c>
      <c r="H102" s="90">
        <f t="shared" si="37"/>
        <v>64.451274750873537</v>
      </c>
      <c r="I102" s="33">
        <v>1081.78</v>
      </c>
      <c r="J102" s="129">
        <f t="shared" si="38"/>
        <v>85.750000000000227</v>
      </c>
      <c r="N102" s="178"/>
      <c r="O102" s="181"/>
      <c r="P102" s="127">
        <v>5</v>
      </c>
      <c r="Q102" s="33">
        <v>1747.9</v>
      </c>
      <c r="R102" s="33">
        <v>2735.31</v>
      </c>
      <c r="S102" s="33">
        <f t="shared" si="39"/>
        <v>987.40999999999985</v>
      </c>
      <c r="T102" s="128">
        <v>1545.4</v>
      </c>
      <c r="U102" s="90">
        <f t="shared" si="40"/>
        <v>63.893490358483227</v>
      </c>
      <c r="V102" s="33">
        <v>1081.78</v>
      </c>
      <c r="W102" s="129">
        <f t="shared" si="41"/>
        <v>94.370000000000118</v>
      </c>
    </row>
    <row r="103" spans="1:23" x14ac:dyDescent="0.25">
      <c r="A103" s="178"/>
      <c r="B103" s="181"/>
      <c r="C103" s="127">
        <v>6</v>
      </c>
      <c r="D103" s="33">
        <v>1789</v>
      </c>
      <c r="E103" s="33">
        <v>2675.65</v>
      </c>
      <c r="F103" s="33">
        <f t="shared" si="36"/>
        <v>886.65000000000009</v>
      </c>
      <c r="G103" s="128">
        <v>1440.1999999999998</v>
      </c>
      <c r="H103" s="90">
        <f t="shared" si="37"/>
        <v>61.564366060269428</v>
      </c>
      <c r="I103" s="33">
        <v>1008.1399999999999</v>
      </c>
      <c r="J103" s="129">
        <f t="shared" si="38"/>
        <v>121.48999999999978</v>
      </c>
      <c r="N103" s="178"/>
      <c r="O103" s="181"/>
      <c r="P103" s="127">
        <v>6</v>
      </c>
      <c r="Q103" s="33">
        <v>1789</v>
      </c>
      <c r="R103" s="33">
        <v>2668.02</v>
      </c>
      <c r="S103" s="33">
        <f t="shared" si="39"/>
        <v>879.02</v>
      </c>
      <c r="T103" s="128">
        <v>1440.1999999999998</v>
      </c>
      <c r="U103" s="90">
        <f t="shared" si="40"/>
        <v>61.034578530759617</v>
      </c>
      <c r="V103" s="33">
        <v>1008.1399999999999</v>
      </c>
      <c r="W103" s="129">
        <f t="shared" si="41"/>
        <v>129.11999999999989</v>
      </c>
    </row>
    <row r="104" spans="1:23" x14ac:dyDescent="0.25">
      <c r="A104" s="178"/>
      <c r="B104" s="181"/>
      <c r="C104" s="127">
        <v>7</v>
      </c>
      <c r="D104" s="33">
        <v>1565.53</v>
      </c>
      <c r="E104" s="33">
        <v>2375.9299999999998</v>
      </c>
      <c r="F104" s="33">
        <f t="shared" si="36"/>
        <v>810.39999999999986</v>
      </c>
      <c r="G104" s="128">
        <v>1343.2700000000002</v>
      </c>
      <c r="H104" s="90">
        <f t="shared" si="37"/>
        <v>60.330387785032023</v>
      </c>
      <c r="I104" s="33">
        <v>940.2890000000001</v>
      </c>
      <c r="J104" s="129">
        <f t="shared" si="38"/>
        <v>129.88900000000024</v>
      </c>
      <c r="N104" s="178"/>
      <c r="O104" s="181"/>
      <c r="P104" s="127">
        <v>7</v>
      </c>
      <c r="Q104" s="33">
        <v>1565.53</v>
      </c>
      <c r="R104" s="33">
        <v>2359.7600000000002</v>
      </c>
      <c r="S104" s="33">
        <f t="shared" si="39"/>
        <v>794.23000000000025</v>
      </c>
      <c r="T104" s="128">
        <v>1343.2700000000002</v>
      </c>
      <c r="U104" s="90">
        <f t="shared" si="40"/>
        <v>59.126608946823801</v>
      </c>
      <c r="V104" s="33">
        <v>940.2890000000001</v>
      </c>
      <c r="W104" s="129">
        <f t="shared" si="41"/>
        <v>146.05899999999986</v>
      </c>
    </row>
    <row r="105" spans="1:23" x14ac:dyDescent="0.25">
      <c r="A105" s="178"/>
      <c r="B105" s="181"/>
      <c r="C105" s="127">
        <v>8</v>
      </c>
      <c r="D105" s="33">
        <v>1607.4</v>
      </c>
      <c r="E105" s="33">
        <v>2441.31</v>
      </c>
      <c r="F105" s="33">
        <f t="shared" si="36"/>
        <v>833.90999999999985</v>
      </c>
      <c r="G105" s="128">
        <v>1348.7999999999997</v>
      </c>
      <c r="H105" s="90">
        <f t="shared" si="37"/>
        <v>61.826067615658367</v>
      </c>
      <c r="I105" s="33">
        <v>944.15999999999985</v>
      </c>
      <c r="J105" s="129">
        <f t="shared" si="38"/>
        <v>110.25</v>
      </c>
      <c r="N105" s="178"/>
      <c r="O105" s="181"/>
      <c r="P105" s="127">
        <v>8</v>
      </c>
      <c r="Q105" s="33">
        <v>1607.4</v>
      </c>
      <c r="R105" s="33">
        <v>2420.14</v>
      </c>
      <c r="S105" s="33">
        <f t="shared" si="39"/>
        <v>812.73999999999978</v>
      </c>
      <c r="T105" s="128">
        <v>1348.7999999999997</v>
      </c>
      <c r="U105" s="90">
        <f t="shared" si="40"/>
        <v>60.256524317912216</v>
      </c>
      <c r="V105" s="33">
        <v>944.15999999999985</v>
      </c>
      <c r="W105" s="129">
        <f t="shared" si="41"/>
        <v>131.42000000000007</v>
      </c>
    </row>
    <row r="106" spans="1:23" x14ac:dyDescent="0.25">
      <c r="A106" s="178"/>
      <c r="B106" s="181"/>
      <c r="C106" s="127">
        <v>9</v>
      </c>
      <c r="D106" s="33">
        <v>1555.9</v>
      </c>
      <c r="E106" s="33">
        <v>2423.17</v>
      </c>
      <c r="F106" s="33">
        <f t="shared" si="36"/>
        <v>867.27</v>
      </c>
      <c r="G106" s="128">
        <v>1360.4</v>
      </c>
      <c r="H106" s="90">
        <f t="shared" si="37"/>
        <v>63.75110261687739</v>
      </c>
      <c r="I106" s="33">
        <v>952.28</v>
      </c>
      <c r="J106" s="129">
        <f t="shared" si="38"/>
        <v>85.009999999999991</v>
      </c>
      <c r="N106" s="178"/>
      <c r="O106" s="181"/>
      <c r="P106" s="127">
        <v>9</v>
      </c>
      <c r="Q106" s="33">
        <v>1555.9</v>
      </c>
      <c r="R106" s="33">
        <v>2406.36</v>
      </c>
      <c r="S106" s="33">
        <f t="shared" si="39"/>
        <v>850.46</v>
      </c>
      <c r="T106" s="128">
        <v>1360.4</v>
      </c>
      <c r="U106" s="90">
        <f t="shared" si="40"/>
        <v>62.515436636283439</v>
      </c>
      <c r="V106" s="33">
        <v>952.28</v>
      </c>
      <c r="W106" s="129">
        <f t="shared" si="41"/>
        <v>101.81999999999994</v>
      </c>
    </row>
    <row r="107" spans="1:23" x14ac:dyDescent="0.25">
      <c r="A107" s="178"/>
      <c r="B107" s="181"/>
      <c r="C107" s="127">
        <v>10</v>
      </c>
      <c r="D107" s="33">
        <v>1625.9</v>
      </c>
      <c r="E107" s="33">
        <v>2427.23</v>
      </c>
      <c r="F107" s="33">
        <f t="shared" si="36"/>
        <v>801.32999999999993</v>
      </c>
      <c r="G107" s="128">
        <v>1266.6999999999998</v>
      </c>
      <c r="H107" s="90">
        <f t="shared" si="37"/>
        <v>63.261229967632438</v>
      </c>
      <c r="I107" s="33">
        <v>886.68999999999983</v>
      </c>
      <c r="J107" s="129">
        <f t="shared" si="38"/>
        <v>85.3599999999999</v>
      </c>
      <c r="N107" s="178"/>
      <c r="O107" s="181"/>
      <c r="P107" s="127">
        <v>10</v>
      </c>
      <c r="Q107" s="33">
        <v>1625.9</v>
      </c>
      <c r="R107" s="33">
        <v>2413.25</v>
      </c>
      <c r="S107" s="33">
        <f t="shared" si="39"/>
        <v>787.34999999999991</v>
      </c>
      <c r="T107" s="128">
        <v>1266.6999999999998</v>
      </c>
      <c r="U107" s="90">
        <f t="shared" si="40"/>
        <v>62.157574800663141</v>
      </c>
      <c r="V107" s="33">
        <v>886.68999999999983</v>
      </c>
      <c r="W107" s="129">
        <f t="shared" si="41"/>
        <v>99.339999999999918</v>
      </c>
    </row>
    <row r="108" spans="1:23" x14ac:dyDescent="0.25">
      <c r="A108" s="178"/>
      <c r="B108" s="181"/>
      <c r="C108" s="127">
        <v>11</v>
      </c>
      <c r="D108" s="33">
        <v>1542.1</v>
      </c>
      <c r="E108" s="33">
        <v>2386.83</v>
      </c>
      <c r="F108" s="33">
        <f t="shared" si="36"/>
        <v>844.73</v>
      </c>
      <c r="G108" s="128">
        <v>1390.9</v>
      </c>
      <c r="H108" s="90">
        <f t="shared" si="37"/>
        <v>60.732619167445534</v>
      </c>
      <c r="I108" s="33">
        <v>973.63</v>
      </c>
      <c r="J108" s="129">
        <f t="shared" si="38"/>
        <v>128.89999999999998</v>
      </c>
      <c r="N108" s="178"/>
      <c r="O108" s="181"/>
      <c r="P108" s="127">
        <v>11</v>
      </c>
      <c r="Q108" s="33">
        <v>1542.1</v>
      </c>
      <c r="R108" s="33">
        <v>2378.63</v>
      </c>
      <c r="S108" s="33">
        <f t="shared" si="39"/>
        <v>836.5300000000002</v>
      </c>
      <c r="T108" s="128">
        <v>1390.9</v>
      </c>
      <c r="U108" s="90">
        <f t="shared" si="40"/>
        <v>60.143072830541385</v>
      </c>
      <c r="V108" s="33">
        <v>973.63</v>
      </c>
      <c r="W108" s="129">
        <f t="shared" si="41"/>
        <v>137.0999999999998</v>
      </c>
    </row>
    <row r="109" spans="1:23" x14ac:dyDescent="0.25">
      <c r="A109" s="178"/>
      <c r="B109" s="181"/>
      <c r="C109" s="127">
        <v>12</v>
      </c>
      <c r="D109" s="33">
        <v>1487.3</v>
      </c>
      <c r="E109" s="33">
        <v>2294.09</v>
      </c>
      <c r="F109" s="33">
        <f t="shared" si="36"/>
        <v>806.79000000000019</v>
      </c>
      <c r="G109" s="128">
        <v>1282.6000000000001</v>
      </c>
      <c r="H109" s="90">
        <f t="shared" si="37"/>
        <v>62.902697645407777</v>
      </c>
      <c r="I109" s="33">
        <v>897.82000000000016</v>
      </c>
      <c r="J109" s="129">
        <f t="shared" si="38"/>
        <v>91.029999999999973</v>
      </c>
      <c r="N109" s="178"/>
      <c r="O109" s="181"/>
      <c r="P109" s="127">
        <v>12</v>
      </c>
      <c r="Q109" s="33">
        <v>1487.3</v>
      </c>
      <c r="R109" s="33">
        <v>2164.27</v>
      </c>
      <c r="S109" s="33">
        <f t="shared" si="39"/>
        <v>676.97</v>
      </c>
      <c r="T109" s="128">
        <v>1282.6000000000001</v>
      </c>
      <c r="U109" s="90">
        <f t="shared" si="40"/>
        <v>52.781069702167471</v>
      </c>
      <c r="V109" s="33">
        <v>897.82000000000016</v>
      </c>
      <c r="W109" s="129">
        <f t="shared" si="41"/>
        <v>220.85000000000014</v>
      </c>
    </row>
    <row r="110" spans="1:23" x14ac:dyDescent="0.25">
      <c r="A110" s="178"/>
      <c r="B110" s="181"/>
      <c r="C110" s="127">
        <v>13</v>
      </c>
      <c r="D110" s="33">
        <v>1567.2</v>
      </c>
      <c r="E110" s="33">
        <v>2327.5700000000002</v>
      </c>
      <c r="F110" s="33">
        <f t="shared" si="36"/>
        <v>760.37000000000012</v>
      </c>
      <c r="G110" s="128">
        <v>1252.1000000000001</v>
      </c>
      <c r="H110" s="90">
        <f t="shared" si="37"/>
        <v>60.72757766951522</v>
      </c>
      <c r="I110" s="33">
        <v>876.47000000000014</v>
      </c>
      <c r="J110" s="129">
        <f t="shared" si="38"/>
        <v>116.10000000000002</v>
      </c>
      <c r="N110" s="178"/>
      <c r="O110" s="181"/>
      <c r="P110" s="127">
        <v>13</v>
      </c>
      <c r="Q110" s="33">
        <v>1567.2</v>
      </c>
      <c r="R110" s="33">
        <v>2364.5</v>
      </c>
      <c r="S110" s="33">
        <f t="shared" si="39"/>
        <v>797.3</v>
      </c>
      <c r="T110" s="128">
        <v>1252.1000000000001</v>
      </c>
      <c r="U110" s="90">
        <f t="shared" si="40"/>
        <v>63.677022602028579</v>
      </c>
      <c r="V110" s="33">
        <v>876.47000000000014</v>
      </c>
      <c r="W110" s="129">
        <f t="shared" si="41"/>
        <v>79.170000000000186</v>
      </c>
    </row>
    <row r="111" spans="1:23" x14ac:dyDescent="0.25">
      <c r="A111" s="178"/>
      <c r="B111" s="181"/>
      <c r="C111" s="127">
        <v>14</v>
      </c>
      <c r="D111" s="33">
        <v>1704.9</v>
      </c>
      <c r="E111" s="33">
        <v>2495.16</v>
      </c>
      <c r="F111" s="33">
        <f t="shared" si="36"/>
        <v>790.25999999999976</v>
      </c>
      <c r="G111" s="128">
        <v>1271.7999999999997</v>
      </c>
      <c r="H111" s="90">
        <f t="shared" si="37"/>
        <v>62.137128479320644</v>
      </c>
      <c r="I111" s="33">
        <v>890.25999999999988</v>
      </c>
      <c r="J111" s="129">
        <f t="shared" si="38"/>
        <v>100.00000000000011</v>
      </c>
      <c r="N111" s="178"/>
      <c r="O111" s="181"/>
      <c r="P111" s="127">
        <v>14</v>
      </c>
      <c r="Q111" s="33">
        <v>1704.9</v>
      </c>
      <c r="R111" s="33">
        <v>2489</v>
      </c>
      <c r="S111" s="33">
        <f t="shared" si="39"/>
        <v>784.09999999999991</v>
      </c>
      <c r="T111" s="128">
        <v>1271.7999999999997</v>
      </c>
      <c r="U111" s="90">
        <f t="shared" si="40"/>
        <v>61.652775593646801</v>
      </c>
      <c r="V111" s="33">
        <v>890.25999999999988</v>
      </c>
      <c r="W111" s="129">
        <f t="shared" si="41"/>
        <v>106.15999999999997</v>
      </c>
    </row>
    <row r="112" spans="1:23" x14ac:dyDescent="0.25">
      <c r="A112" s="178"/>
      <c r="B112" s="181"/>
      <c r="C112" s="127">
        <v>15</v>
      </c>
      <c r="D112" s="33">
        <v>1558.2</v>
      </c>
      <c r="E112" s="33">
        <v>2305.33</v>
      </c>
      <c r="F112" s="33">
        <f t="shared" si="36"/>
        <v>747.12999999999988</v>
      </c>
      <c r="G112" s="128">
        <v>1187.2</v>
      </c>
      <c r="H112" s="90">
        <f t="shared" si="37"/>
        <v>62.932109164420467</v>
      </c>
      <c r="I112" s="33">
        <v>831.04</v>
      </c>
      <c r="J112" s="129">
        <f t="shared" si="38"/>
        <v>83.910000000000082</v>
      </c>
      <c r="N112" s="178"/>
      <c r="O112" s="181"/>
      <c r="P112" s="127">
        <v>15</v>
      </c>
      <c r="Q112" s="33">
        <v>1558.2</v>
      </c>
      <c r="R112" s="33">
        <v>2287.9</v>
      </c>
      <c r="S112" s="33">
        <f t="shared" si="39"/>
        <v>729.7</v>
      </c>
      <c r="T112" s="128">
        <v>1187.2</v>
      </c>
      <c r="U112" s="90">
        <f t="shared" si="40"/>
        <v>61.463948787061994</v>
      </c>
      <c r="V112" s="33">
        <v>831.04</v>
      </c>
      <c r="W112" s="129">
        <f t="shared" si="41"/>
        <v>101.33999999999992</v>
      </c>
    </row>
    <row r="113" spans="1:23" x14ac:dyDescent="0.25">
      <c r="A113" s="179"/>
      <c r="B113" s="182"/>
      <c r="C113" s="130">
        <v>16</v>
      </c>
      <c r="D113" s="67">
        <v>1512.1</v>
      </c>
      <c r="E113" s="131">
        <v>2337.17</v>
      </c>
      <c r="F113" s="131">
        <f t="shared" si="36"/>
        <v>825.07000000000016</v>
      </c>
      <c r="G113" s="132">
        <v>1276.7000000000003</v>
      </c>
      <c r="H113" s="91">
        <f t="shared" si="37"/>
        <v>64.62520560820866</v>
      </c>
      <c r="I113" s="131">
        <v>893.69000000000017</v>
      </c>
      <c r="J113" s="133">
        <f t="shared" si="38"/>
        <v>68.62</v>
      </c>
      <c r="N113" s="179"/>
      <c r="O113" s="182"/>
      <c r="P113" s="130">
        <v>16</v>
      </c>
      <c r="Q113" s="67">
        <v>1512.1</v>
      </c>
      <c r="R113" s="131">
        <v>2328.4499999999998</v>
      </c>
      <c r="S113" s="131">
        <f t="shared" si="39"/>
        <v>816.34999999999991</v>
      </c>
      <c r="T113" s="132">
        <v>1276.7000000000003</v>
      </c>
      <c r="U113" s="91">
        <f t="shared" si="40"/>
        <v>63.942194720764448</v>
      </c>
      <c r="V113" s="131">
        <v>893.69000000000017</v>
      </c>
      <c r="W113" s="133">
        <f t="shared" si="41"/>
        <v>77.340000000000259</v>
      </c>
    </row>
    <row r="114" spans="1:23" x14ac:dyDescent="0.25">
      <c r="A114" s="177">
        <v>0.55833333333333335</v>
      </c>
      <c r="B114" s="180" t="s">
        <v>119</v>
      </c>
      <c r="C114" s="123">
        <v>1</v>
      </c>
      <c r="D114" s="33">
        <v>1603.6</v>
      </c>
      <c r="E114" s="124">
        <v>2412.29</v>
      </c>
      <c r="F114" s="124">
        <f>E114- D114</f>
        <v>808.69</v>
      </c>
      <c r="G114" s="125">
        <v>1316.3000000000002</v>
      </c>
      <c r="H114" s="89">
        <f>(F114/$G114)*100</f>
        <v>61.43660259819189</v>
      </c>
      <c r="I114" s="124">
        <v>921.4100000000002</v>
      </c>
      <c r="J114" s="126">
        <f>I114-F114</f>
        <v>112.72000000000014</v>
      </c>
      <c r="N114" s="177">
        <v>0.55069444444444449</v>
      </c>
      <c r="O114" s="180" t="s">
        <v>119</v>
      </c>
      <c r="P114" s="123">
        <v>1</v>
      </c>
      <c r="Q114" s="33">
        <v>1603.6</v>
      </c>
      <c r="R114" s="124">
        <v>2399.6</v>
      </c>
      <c r="S114" s="124">
        <f>R114- Q114</f>
        <v>796</v>
      </c>
      <c r="T114" s="125">
        <v>1316.3000000000002</v>
      </c>
      <c r="U114" s="89">
        <f>(S114/$G114)*100</f>
        <v>60.472536655777553</v>
      </c>
      <c r="V114" s="124">
        <v>921.4100000000002</v>
      </c>
      <c r="W114" s="126">
        <f>V114-S114</f>
        <v>125.4100000000002</v>
      </c>
    </row>
    <row r="115" spans="1:23" x14ac:dyDescent="0.25">
      <c r="A115" s="178"/>
      <c r="B115" s="181"/>
      <c r="C115" s="127">
        <v>2</v>
      </c>
      <c r="D115" s="33">
        <v>1758.6</v>
      </c>
      <c r="E115" s="33">
        <v>2588.58</v>
      </c>
      <c r="F115" s="33">
        <f t="shared" ref="F115:F129" si="42">E115- D115</f>
        <v>829.98</v>
      </c>
      <c r="G115" s="128">
        <v>1342.6</v>
      </c>
      <c r="H115" s="90">
        <f t="shared" ref="H115:H129" si="43">(F115/$G115)*100</f>
        <v>61.818858930433493</v>
      </c>
      <c r="I115" s="33">
        <v>939.82</v>
      </c>
      <c r="J115" s="129">
        <f t="shared" ref="J115:J129" si="44">I115-F115</f>
        <v>109.84000000000003</v>
      </c>
      <c r="N115" s="178"/>
      <c r="O115" s="181"/>
      <c r="P115" s="127">
        <v>2</v>
      </c>
      <c r="Q115" s="33">
        <v>1758.6</v>
      </c>
      <c r="R115" s="33">
        <v>2572.7800000000002</v>
      </c>
      <c r="S115" s="33">
        <f t="shared" ref="S115:S129" si="45">R115- Q115</f>
        <v>814.18000000000029</v>
      </c>
      <c r="T115" s="128">
        <v>1342.6</v>
      </c>
      <c r="U115" s="90">
        <f t="shared" ref="U115:U129" si="46">(S115/$G115)*100</f>
        <v>60.642037837032646</v>
      </c>
      <c r="V115" s="33">
        <v>939.82</v>
      </c>
      <c r="W115" s="129">
        <f t="shared" ref="W115:W129" si="47">V115-S115</f>
        <v>125.63999999999976</v>
      </c>
    </row>
    <row r="116" spans="1:23" x14ac:dyDescent="0.25">
      <c r="A116" s="178"/>
      <c r="B116" s="181"/>
      <c r="C116" s="127">
        <v>3</v>
      </c>
      <c r="D116" s="33">
        <v>1573.8</v>
      </c>
      <c r="E116" s="33">
        <v>2409.0100000000002</v>
      </c>
      <c r="F116" s="33">
        <f t="shared" si="42"/>
        <v>835.21000000000026</v>
      </c>
      <c r="G116" s="128">
        <v>1413.6000000000001</v>
      </c>
      <c r="H116" s="90">
        <f t="shared" si="43"/>
        <v>59.083899264289776</v>
      </c>
      <c r="I116" s="33">
        <v>989.5200000000001</v>
      </c>
      <c r="J116" s="129">
        <f t="shared" si="44"/>
        <v>154.30999999999983</v>
      </c>
      <c r="N116" s="178"/>
      <c r="O116" s="181"/>
      <c r="P116" s="127">
        <v>3</v>
      </c>
      <c r="Q116" s="33">
        <v>1573.8</v>
      </c>
      <c r="R116" s="33">
        <v>2395.0100000000002</v>
      </c>
      <c r="S116" s="33">
        <f t="shared" si="45"/>
        <v>821.21000000000026</v>
      </c>
      <c r="T116" s="128">
        <v>1413.6000000000001</v>
      </c>
      <c r="U116" s="90">
        <f t="shared" si="46"/>
        <v>58.093520090548964</v>
      </c>
      <c r="V116" s="33">
        <v>989.5200000000001</v>
      </c>
      <c r="W116" s="129">
        <f t="shared" si="47"/>
        <v>168.30999999999983</v>
      </c>
    </row>
    <row r="117" spans="1:23" x14ac:dyDescent="0.25">
      <c r="A117" s="178"/>
      <c r="B117" s="181"/>
      <c r="C117" s="127">
        <v>4</v>
      </c>
      <c r="D117" s="33">
        <v>1558.8</v>
      </c>
      <c r="E117" s="33">
        <v>2520.83</v>
      </c>
      <c r="F117" s="33">
        <f t="shared" si="42"/>
        <v>962.03</v>
      </c>
      <c r="G117" s="128">
        <v>1556.6000000000001</v>
      </c>
      <c r="H117" s="90">
        <f t="shared" si="43"/>
        <v>61.803289220095067</v>
      </c>
      <c r="I117" s="33">
        <v>1089.6200000000001</v>
      </c>
      <c r="J117" s="129">
        <f t="shared" si="44"/>
        <v>127.59000000000015</v>
      </c>
      <c r="N117" s="178"/>
      <c r="O117" s="181"/>
      <c r="P117" s="127">
        <v>4</v>
      </c>
      <c r="Q117" s="33">
        <v>1558.8</v>
      </c>
      <c r="R117" s="33">
        <v>2512.7800000000002</v>
      </c>
      <c r="S117" s="33">
        <f t="shared" si="45"/>
        <v>953.98000000000025</v>
      </c>
      <c r="T117" s="128">
        <v>1556.6000000000001</v>
      </c>
      <c r="U117" s="90">
        <f t="shared" si="46"/>
        <v>61.286136451239891</v>
      </c>
      <c r="V117" s="33">
        <v>1089.6200000000001</v>
      </c>
      <c r="W117" s="129">
        <f t="shared" si="47"/>
        <v>135.63999999999987</v>
      </c>
    </row>
    <row r="118" spans="1:23" x14ac:dyDescent="0.25">
      <c r="A118" s="178"/>
      <c r="B118" s="181"/>
      <c r="C118" s="127">
        <v>5</v>
      </c>
      <c r="D118" s="33">
        <v>1747.9</v>
      </c>
      <c r="E118" s="33">
        <v>2725.28</v>
      </c>
      <c r="F118" s="33">
        <f t="shared" si="42"/>
        <v>977.38000000000011</v>
      </c>
      <c r="G118" s="128">
        <v>1545.4</v>
      </c>
      <c r="H118" s="90">
        <f t="shared" si="43"/>
        <v>63.244467451792417</v>
      </c>
      <c r="I118" s="33">
        <v>1081.78</v>
      </c>
      <c r="J118" s="129">
        <f t="shared" si="44"/>
        <v>104.39999999999986</v>
      </c>
      <c r="N118" s="178"/>
      <c r="O118" s="181"/>
      <c r="P118" s="127">
        <v>5</v>
      </c>
      <c r="Q118" s="33">
        <v>1747.9</v>
      </c>
      <c r="R118" s="33">
        <v>2714.78</v>
      </c>
      <c r="S118" s="33">
        <f t="shared" si="45"/>
        <v>966.88000000000011</v>
      </c>
      <c r="T118" s="128">
        <v>1545.4</v>
      </c>
      <c r="U118" s="90">
        <f t="shared" si="46"/>
        <v>62.565031707001431</v>
      </c>
      <c r="V118" s="33">
        <v>1081.78</v>
      </c>
      <c r="W118" s="129">
        <f t="shared" si="47"/>
        <v>114.89999999999986</v>
      </c>
    </row>
    <row r="119" spans="1:23" x14ac:dyDescent="0.25">
      <c r="A119" s="178"/>
      <c r="B119" s="181"/>
      <c r="C119" s="127">
        <v>6</v>
      </c>
      <c r="D119" s="33">
        <v>1789</v>
      </c>
      <c r="E119" s="33">
        <v>2654.32</v>
      </c>
      <c r="F119" s="33">
        <f t="shared" si="42"/>
        <v>865.32000000000016</v>
      </c>
      <c r="G119" s="128">
        <v>1440.1999999999998</v>
      </c>
      <c r="H119" s="90">
        <f t="shared" si="43"/>
        <v>60.083321760866568</v>
      </c>
      <c r="I119" s="33">
        <v>1008.1399999999999</v>
      </c>
      <c r="J119" s="129">
        <f t="shared" si="44"/>
        <v>142.81999999999971</v>
      </c>
      <c r="N119" s="178"/>
      <c r="O119" s="181"/>
      <c r="P119" s="127">
        <v>6</v>
      </c>
      <c r="Q119" s="33">
        <v>1789</v>
      </c>
      <c r="R119" s="33">
        <v>2643.84</v>
      </c>
      <c r="S119" s="33">
        <f t="shared" si="45"/>
        <v>854.84000000000015</v>
      </c>
      <c r="T119" s="128">
        <v>1440.1999999999998</v>
      </c>
      <c r="U119" s="90">
        <f t="shared" si="46"/>
        <v>59.355645049298722</v>
      </c>
      <c r="V119" s="33">
        <v>1008.1399999999999</v>
      </c>
      <c r="W119" s="129">
        <f t="shared" si="47"/>
        <v>153.29999999999973</v>
      </c>
    </row>
    <row r="120" spans="1:23" x14ac:dyDescent="0.25">
      <c r="A120" s="178"/>
      <c r="B120" s="181"/>
      <c r="C120" s="127">
        <v>7</v>
      </c>
      <c r="D120" s="33">
        <v>1565.53</v>
      </c>
      <c r="E120" s="33">
        <v>2350.7800000000002</v>
      </c>
      <c r="F120" s="33">
        <f t="shared" si="42"/>
        <v>785.25000000000023</v>
      </c>
      <c r="G120" s="128">
        <v>1343.2700000000002</v>
      </c>
      <c r="H120" s="90">
        <f t="shared" si="43"/>
        <v>58.458091076254227</v>
      </c>
      <c r="I120" s="33">
        <v>940.2890000000001</v>
      </c>
      <c r="J120" s="129">
        <f t="shared" si="44"/>
        <v>155.03899999999987</v>
      </c>
      <c r="N120" s="178"/>
      <c r="O120" s="181"/>
      <c r="P120" s="127">
        <v>7</v>
      </c>
      <c r="Q120" s="33">
        <v>1565.53</v>
      </c>
      <c r="R120" s="33">
        <v>2331.54</v>
      </c>
      <c r="S120" s="33">
        <f t="shared" si="45"/>
        <v>766.01</v>
      </c>
      <c r="T120" s="128">
        <v>1343.2700000000002</v>
      </c>
      <c r="U120" s="90">
        <f t="shared" si="46"/>
        <v>57.025765482739878</v>
      </c>
      <c r="V120" s="33">
        <v>940.2890000000001</v>
      </c>
      <c r="W120" s="129">
        <f t="shared" si="47"/>
        <v>174.27900000000011</v>
      </c>
    </row>
    <row r="121" spans="1:23" x14ac:dyDescent="0.25">
      <c r="A121" s="178"/>
      <c r="B121" s="181"/>
      <c r="C121" s="127">
        <v>8</v>
      </c>
      <c r="D121" s="33">
        <v>1607.4</v>
      </c>
      <c r="E121" s="33">
        <v>2420.85</v>
      </c>
      <c r="F121" s="33">
        <f t="shared" si="42"/>
        <v>813.44999999999982</v>
      </c>
      <c r="G121" s="128">
        <v>1348.7999999999997</v>
      </c>
      <c r="H121" s="90">
        <f t="shared" si="43"/>
        <v>60.309163701067611</v>
      </c>
      <c r="I121" s="33">
        <v>944.15999999999985</v>
      </c>
      <c r="J121" s="129">
        <f t="shared" si="44"/>
        <v>130.71000000000004</v>
      </c>
      <c r="N121" s="178"/>
      <c r="O121" s="181"/>
      <c r="P121" s="127">
        <v>8</v>
      </c>
      <c r="Q121" s="33">
        <v>1607.4</v>
      </c>
      <c r="R121" s="33">
        <v>2397.19</v>
      </c>
      <c r="S121" s="33">
        <f t="shared" si="45"/>
        <v>789.79</v>
      </c>
      <c r="T121" s="128">
        <v>1348.7999999999997</v>
      </c>
      <c r="U121" s="90">
        <f t="shared" si="46"/>
        <v>58.555011862396213</v>
      </c>
      <c r="V121" s="33">
        <v>944.15999999999985</v>
      </c>
      <c r="W121" s="129">
        <f t="shared" si="47"/>
        <v>154.36999999999989</v>
      </c>
    </row>
    <row r="122" spans="1:23" x14ac:dyDescent="0.25">
      <c r="A122" s="178"/>
      <c r="B122" s="181"/>
      <c r="C122" s="127">
        <v>9</v>
      </c>
      <c r="D122" s="33">
        <v>1555.9</v>
      </c>
      <c r="E122" s="33">
        <v>2404.86</v>
      </c>
      <c r="F122" s="33">
        <f t="shared" si="42"/>
        <v>848.96</v>
      </c>
      <c r="G122" s="128">
        <v>1360.4</v>
      </c>
      <c r="H122" s="90">
        <f t="shared" si="43"/>
        <v>62.405174948544541</v>
      </c>
      <c r="I122" s="33">
        <v>952.28</v>
      </c>
      <c r="J122" s="129">
        <f t="shared" si="44"/>
        <v>103.31999999999994</v>
      </c>
      <c r="N122" s="178"/>
      <c r="O122" s="181"/>
      <c r="P122" s="127">
        <v>9</v>
      </c>
      <c r="Q122" s="33">
        <v>1555.9</v>
      </c>
      <c r="R122" s="33">
        <v>2386.79</v>
      </c>
      <c r="S122" s="33">
        <f t="shared" si="45"/>
        <v>830.88999999999987</v>
      </c>
      <c r="T122" s="128">
        <v>1360.4</v>
      </c>
      <c r="U122" s="90">
        <f t="shared" si="46"/>
        <v>61.076889150249912</v>
      </c>
      <c r="V122" s="33">
        <v>952.28</v>
      </c>
      <c r="W122" s="129">
        <f t="shared" si="47"/>
        <v>121.3900000000001</v>
      </c>
    </row>
    <row r="123" spans="1:23" x14ac:dyDescent="0.25">
      <c r="A123" s="178"/>
      <c r="B123" s="181"/>
      <c r="C123" s="127">
        <v>10</v>
      </c>
      <c r="D123" s="33">
        <v>1625.9</v>
      </c>
      <c r="E123" s="33">
        <v>2410.75</v>
      </c>
      <c r="F123" s="33">
        <f t="shared" si="42"/>
        <v>784.84999999999991</v>
      </c>
      <c r="G123" s="128">
        <v>1266.6999999999998</v>
      </c>
      <c r="H123" s="90">
        <f t="shared" si="43"/>
        <v>61.960211573379652</v>
      </c>
      <c r="I123" s="33">
        <v>886.68999999999983</v>
      </c>
      <c r="J123" s="129">
        <f t="shared" si="44"/>
        <v>101.83999999999992</v>
      </c>
      <c r="N123" s="178"/>
      <c r="O123" s="181"/>
      <c r="P123" s="127">
        <v>10</v>
      </c>
      <c r="Q123" s="33">
        <v>1625.9</v>
      </c>
      <c r="R123" s="33">
        <v>2394.7399999999998</v>
      </c>
      <c r="S123" s="33">
        <f t="shared" si="45"/>
        <v>768.83999999999969</v>
      </c>
      <c r="T123" s="128">
        <v>1266.6999999999998</v>
      </c>
      <c r="U123" s="90">
        <f t="shared" si="46"/>
        <v>60.696297465856141</v>
      </c>
      <c r="V123" s="33">
        <v>886.68999999999983</v>
      </c>
      <c r="W123" s="129">
        <f t="shared" si="47"/>
        <v>117.85000000000014</v>
      </c>
    </row>
    <row r="124" spans="1:23" x14ac:dyDescent="0.25">
      <c r="A124" s="178"/>
      <c r="B124" s="181"/>
      <c r="C124" s="127">
        <v>11</v>
      </c>
      <c r="D124" s="33">
        <v>1542.1</v>
      </c>
      <c r="E124" s="33">
        <v>2361.14</v>
      </c>
      <c r="F124" s="33">
        <f t="shared" si="42"/>
        <v>819.04</v>
      </c>
      <c r="G124" s="128">
        <v>1390.9</v>
      </c>
      <c r="H124" s="90">
        <f t="shared" si="43"/>
        <v>58.885613631461645</v>
      </c>
      <c r="I124" s="33">
        <v>973.63</v>
      </c>
      <c r="J124" s="129">
        <f t="shared" si="44"/>
        <v>154.59000000000003</v>
      </c>
      <c r="N124" s="178"/>
      <c r="O124" s="181"/>
      <c r="P124" s="127">
        <v>11</v>
      </c>
      <c r="Q124" s="33">
        <v>1542.1</v>
      </c>
      <c r="R124" s="33">
        <v>2351.42</v>
      </c>
      <c r="S124" s="33">
        <f t="shared" si="45"/>
        <v>809.32000000000016</v>
      </c>
      <c r="T124" s="128">
        <v>1390.9</v>
      </c>
      <c r="U124" s="90">
        <f t="shared" si="46"/>
        <v>58.186785534545983</v>
      </c>
      <c r="V124" s="33">
        <v>973.63</v>
      </c>
      <c r="W124" s="129">
        <f t="shared" si="47"/>
        <v>164.30999999999983</v>
      </c>
    </row>
    <row r="125" spans="1:23" x14ac:dyDescent="0.25">
      <c r="A125" s="178"/>
      <c r="B125" s="181"/>
      <c r="C125" s="127">
        <v>12</v>
      </c>
      <c r="D125" s="33">
        <v>1487.3</v>
      </c>
      <c r="E125" s="33">
        <v>2274.89</v>
      </c>
      <c r="F125" s="33">
        <f t="shared" si="42"/>
        <v>787.58999999999992</v>
      </c>
      <c r="G125" s="128">
        <v>1282.6000000000001</v>
      </c>
      <c r="H125" s="90">
        <f t="shared" si="43"/>
        <v>61.405738343988759</v>
      </c>
      <c r="I125" s="33">
        <v>897.82000000000016</v>
      </c>
      <c r="J125" s="129">
        <f t="shared" si="44"/>
        <v>110.23000000000025</v>
      </c>
      <c r="N125" s="178"/>
      <c r="O125" s="181"/>
      <c r="P125" s="127">
        <v>12</v>
      </c>
      <c r="Q125" s="33">
        <v>1487.3</v>
      </c>
      <c r="R125" s="33">
        <v>2143.17</v>
      </c>
      <c r="S125" s="33">
        <f t="shared" si="45"/>
        <v>655.87000000000012</v>
      </c>
      <c r="T125" s="128">
        <v>1282.6000000000001</v>
      </c>
      <c r="U125" s="90">
        <f t="shared" si="46"/>
        <v>51.135973803212231</v>
      </c>
      <c r="V125" s="33">
        <v>897.82000000000016</v>
      </c>
      <c r="W125" s="129">
        <f t="shared" si="47"/>
        <v>241.95000000000005</v>
      </c>
    </row>
    <row r="126" spans="1:23" x14ac:dyDescent="0.25">
      <c r="A126" s="178"/>
      <c r="B126" s="181"/>
      <c r="C126" s="127">
        <v>13</v>
      </c>
      <c r="D126" s="33">
        <v>1567.2</v>
      </c>
      <c r="E126" s="33">
        <v>2301.65</v>
      </c>
      <c r="F126" s="33">
        <f t="shared" si="42"/>
        <v>734.45</v>
      </c>
      <c r="G126" s="128">
        <v>1252.1000000000001</v>
      </c>
      <c r="H126" s="90">
        <f t="shared" si="43"/>
        <v>58.657455474802333</v>
      </c>
      <c r="I126" s="33">
        <v>876.47000000000014</v>
      </c>
      <c r="J126" s="129">
        <f t="shared" si="44"/>
        <v>142.0200000000001</v>
      </c>
      <c r="N126" s="178"/>
      <c r="O126" s="181"/>
      <c r="P126" s="127">
        <v>13</v>
      </c>
      <c r="Q126" s="33">
        <v>1567.2</v>
      </c>
      <c r="R126" s="33">
        <v>2338.91</v>
      </c>
      <c r="S126" s="33">
        <f t="shared" si="45"/>
        <v>771.70999999999981</v>
      </c>
      <c r="T126" s="128">
        <v>1252.1000000000001</v>
      </c>
      <c r="U126" s="90">
        <f t="shared" si="46"/>
        <v>61.633256129702076</v>
      </c>
      <c r="V126" s="33">
        <v>876.47000000000014</v>
      </c>
      <c r="W126" s="129">
        <f t="shared" si="47"/>
        <v>104.76000000000033</v>
      </c>
    </row>
    <row r="127" spans="1:23" x14ac:dyDescent="0.25">
      <c r="A127" s="178"/>
      <c r="B127" s="181"/>
      <c r="C127" s="127">
        <v>14</v>
      </c>
      <c r="D127" s="33">
        <v>1704.9</v>
      </c>
      <c r="E127" s="33">
        <v>2477.15</v>
      </c>
      <c r="F127" s="33">
        <f t="shared" si="42"/>
        <v>772.25</v>
      </c>
      <c r="G127" s="128">
        <v>1271.7999999999997</v>
      </c>
      <c r="H127" s="90">
        <f t="shared" si="43"/>
        <v>60.721025318446308</v>
      </c>
      <c r="I127" s="33">
        <v>890.25999999999988</v>
      </c>
      <c r="J127" s="129">
        <f t="shared" si="44"/>
        <v>118.00999999999988</v>
      </c>
      <c r="N127" s="178"/>
      <c r="O127" s="181"/>
      <c r="P127" s="127">
        <v>14</v>
      </c>
      <c r="Q127" s="33">
        <v>1704.9</v>
      </c>
      <c r="R127" s="33">
        <v>2467.7399999999998</v>
      </c>
      <c r="S127" s="33">
        <f t="shared" si="45"/>
        <v>762.83999999999969</v>
      </c>
      <c r="T127" s="128">
        <v>1271.7999999999997</v>
      </c>
      <c r="U127" s="90">
        <f t="shared" si="46"/>
        <v>59.981129108350359</v>
      </c>
      <c r="V127" s="33">
        <v>890.25999999999988</v>
      </c>
      <c r="W127" s="129">
        <f t="shared" si="47"/>
        <v>127.42000000000019</v>
      </c>
    </row>
    <row r="128" spans="1:23" x14ac:dyDescent="0.25">
      <c r="A128" s="178"/>
      <c r="B128" s="181"/>
      <c r="C128" s="127">
        <v>15</v>
      </c>
      <c r="D128" s="33">
        <v>1558.2</v>
      </c>
      <c r="E128" s="33">
        <v>2287.11</v>
      </c>
      <c r="F128" s="33">
        <f t="shared" si="42"/>
        <v>728.91000000000008</v>
      </c>
      <c r="G128" s="128">
        <v>1187.2</v>
      </c>
      <c r="H128" s="90">
        <f t="shared" si="43"/>
        <v>61.397405660377359</v>
      </c>
      <c r="I128" s="33">
        <v>831.04</v>
      </c>
      <c r="J128" s="129">
        <f t="shared" si="44"/>
        <v>102.12999999999988</v>
      </c>
      <c r="N128" s="178"/>
      <c r="O128" s="181"/>
      <c r="P128" s="127">
        <v>15</v>
      </c>
      <c r="Q128" s="33">
        <v>1558.2</v>
      </c>
      <c r="R128" s="33">
        <v>2267.9699999999998</v>
      </c>
      <c r="S128" s="33">
        <f t="shared" si="45"/>
        <v>709.76999999999975</v>
      </c>
      <c r="T128" s="128">
        <v>1187.2</v>
      </c>
      <c r="U128" s="90">
        <f t="shared" si="46"/>
        <v>59.785208894878686</v>
      </c>
      <c r="V128" s="33">
        <v>831.04</v>
      </c>
      <c r="W128" s="129">
        <f t="shared" si="47"/>
        <v>121.27000000000021</v>
      </c>
    </row>
    <row r="129" spans="1:23" x14ac:dyDescent="0.25">
      <c r="A129" s="179"/>
      <c r="B129" s="182"/>
      <c r="C129" s="130">
        <v>16</v>
      </c>
      <c r="D129" s="67">
        <v>1512.1</v>
      </c>
      <c r="E129" s="131">
        <v>2319.02</v>
      </c>
      <c r="F129" s="131">
        <f t="shared" si="42"/>
        <v>806.92000000000007</v>
      </c>
      <c r="G129" s="132">
        <v>1276.7000000000003</v>
      </c>
      <c r="H129" s="91">
        <f t="shared" si="43"/>
        <v>63.203571708310477</v>
      </c>
      <c r="I129" s="131">
        <v>893.69000000000017</v>
      </c>
      <c r="J129" s="133">
        <f t="shared" si="44"/>
        <v>86.770000000000095</v>
      </c>
      <c r="N129" s="179"/>
      <c r="O129" s="182"/>
      <c r="P129" s="130">
        <v>16</v>
      </c>
      <c r="Q129" s="67">
        <v>1512.1</v>
      </c>
      <c r="R129" s="131">
        <v>2308.86</v>
      </c>
      <c r="S129" s="131">
        <f t="shared" si="45"/>
        <v>796.76000000000022</v>
      </c>
      <c r="T129" s="132">
        <v>1276.7000000000003</v>
      </c>
      <c r="U129" s="91">
        <f t="shared" si="46"/>
        <v>62.407770032114051</v>
      </c>
      <c r="V129" s="131">
        <v>893.69000000000017</v>
      </c>
      <c r="W129" s="133">
        <f t="shared" si="47"/>
        <v>96.92999999999995</v>
      </c>
    </row>
    <row r="130" spans="1:23" x14ac:dyDescent="0.25">
      <c r="A130" s="165">
        <v>0.59513888888888888</v>
      </c>
      <c r="B130" s="168" t="s">
        <v>120</v>
      </c>
      <c r="C130" s="135">
        <v>1</v>
      </c>
      <c r="D130" s="34">
        <v>1603.6</v>
      </c>
      <c r="E130" s="136">
        <v>2386.44</v>
      </c>
      <c r="F130" s="136">
        <f>E130- D130</f>
        <v>782.84000000000015</v>
      </c>
      <c r="G130" s="137">
        <v>1316.3000000000002</v>
      </c>
      <c r="H130" s="89">
        <f>(F130/$G130)*100</f>
        <v>59.472764567347866</v>
      </c>
      <c r="I130" s="136">
        <v>921.4100000000002</v>
      </c>
      <c r="J130" s="138">
        <f>I130-F130</f>
        <v>138.57000000000005</v>
      </c>
      <c r="N130" s="165">
        <v>0.59027777777777779</v>
      </c>
      <c r="O130" s="168" t="s">
        <v>120</v>
      </c>
      <c r="P130" s="135">
        <v>1</v>
      </c>
      <c r="Q130" s="34">
        <v>1603.6</v>
      </c>
      <c r="R130" s="136">
        <v>2369.14</v>
      </c>
      <c r="S130" s="136">
        <f>R130- Q130</f>
        <v>765.54</v>
      </c>
      <c r="T130" s="137">
        <v>1316.3000000000002</v>
      </c>
      <c r="U130" s="89">
        <f>(S130/$G130)*100</f>
        <v>58.158474511889381</v>
      </c>
      <c r="V130" s="136">
        <v>921.4100000000002</v>
      </c>
      <c r="W130" s="138">
        <f>V130-S130</f>
        <v>155.87000000000023</v>
      </c>
    </row>
    <row r="131" spans="1:23" x14ac:dyDescent="0.25">
      <c r="A131" s="166"/>
      <c r="B131" s="169"/>
      <c r="C131" s="139">
        <v>2</v>
      </c>
      <c r="D131" s="34">
        <v>1758.6</v>
      </c>
      <c r="E131" s="34">
        <v>2562.17</v>
      </c>
      <c r="F131" s="34">
        <f t="shared" ref="F131:F145" si="48">E131- D131</f>
        <v>803.57000000000016</v>
      </c>
      <c r="G131" s="140">
        <v>1342.6</v>
      </c>
      <c r="H131" s="90">
        <f t="shared" ref="H131:H145" si="49">(F131/$G131)*100</f>
        <v>59.851780128109652</v>
      </c>
      <c r="I131" s="34">
        <v>939.82</v>
      </c>
      <c r="J131" s="141">
        <f t="shared" ref="J131:J145" si="50">I131-F131</f>
        <v>136.24999999999989</v>
      </c>
      <c r="N131" s="166"/>
      <c r="O131" s="169"/>
      <c r="P131" s="139">
        <v>2</v>
      </c>
      <c r="Q131" s="34">
        <v>1758.6</v>
      </c>
      <c r="R131" s="34">
        <v>2541.36</v>
      </c>
      <c r="S131" s="34">
        <f t="shared" ref="S131:S145" si="51">R131- Q131</f>
        <v>782.76000000000022</v>
      </c>
      <c r="T131" s="140">
        <v>1342.6</v>
      </c>
      <c r="U131" s="90">
        <f t="shared" ref="U131:U145" si="52">(S131/$G131)*100</f>
        <v>58.301802472813968</v>
      </c>
      <c r="V131" s="34">
        <v>939.82</v>
      </c>
      <c r="W131" s="141">
        <f t="shared" ref="W131:W145" si="53">V131-S131</f>
        <v>157.05999999999983</v>
      </c>
    </row>
    <row r="132" spans="1:23" x14ac:dyDescent="0.25">
      <c r="A132" s="166"/>
      <c r="B132" s="169"/>
      <c r="C132" s="139">
        <v>3</v>
      </c>
      <c r="D132" s="34">
        <v>1573.8</v>
      </c>
      <c r="E132" s="34">
        <v>2376.38</v>
      </c>
      <c r="F132" s="34">
        <f t="shared" si="48"/>
        <v>802.58000000000015</v>
      </c>
      <c r="G132" s="140">
        <v>1413.6000000000001</v>
      </c>
      <c r="H132" s="90">
        <f t="shared" si="49"/>
        <v>56.775608375778162</v>
      </c>
      <c r="I132" s="34">
        <v>989.5200000000001</v>
      </c>
      <c r="J132" s="141">
        <f t="shared" si="50"/>
        <v>186.93999999999994</v>
      </c>
      <c r="N132" s="166"/>
      <c r="O132" s="169"/>
      <c r="P132" s="139">
        <v>3</v>
      </c>
      <c r="Q132" s="34">
        <v>1573.8</v>
      </c>
      <c r="R132" s="34">
        <v>2359.2199999999998</v>
      </c>
      <c r="S132" s="34">
        <f t="shared" si="51"/>
        <v>785.41999999999985</v>
      </c>
      <c r="T132" s="140">
        <v>1413.6000000000001</v>
      </c>
      <c r="U132" s="90">
        <f t="shared" si="52"/>
        <v>55.561686474250124</v>
      </c>
      <c r="V132" s="34">
        <v>989.5200000000001</v>
      </c>
      <c r="W132" s="141">
        <f t="shared" si="53"/>
        <v>204.10000000000025</v>
      </c>
    </row>
    <row r="133" spans="1:23" x14ac:dyDescent="0.25">
      <c r="A133" s="166"/>
      <c r="B133" s="169"/>
      <c r="C133" s="139">
        <v>4</v>
      </c>
      <c r="D133" s="34">
        <v>1558.8</v>
      </c>
      <c r="E133" s="34">
        <v>2491.9499999999998</v>
      </c>
      <c r="F133" s="34">
        <f t="shared" si="48"/>
        <v>933.14999999999986</v>
      </c>
      <c r="G133" s="140">
        <v>1556.6000000000001</v>
      </c>
      <c r="H133" s="90">
        <f t="shared" si="49"/>
        <v>59.947963510214549</v>
      </c>
      <c r="I133" s="34">
        <v>1089.6200000000001</v>
      </c>
      <c r="J133" s="141">
        <f t="shared" si="50"/>
        <v>156.47000000000025</v>
      </c>
      <c r="N133" s="166"/>
      <c r="O133" s="169"/>
      <c r="P133" s="139">
        <v>4</v>
      </c>
      <c r="Q133" s="34">
        <v>1558.8</v>
      </c>
      <c r="R133" s="34">
        <v>2481.36</v>
      </c>
      <c r="S133" s="34">
        <f t="shared" si="51"/>
        <v>922.56000000000017</v>
      </c>
      <c r="T133" s="140">
        <v>1556.6000000000001</v>
      </c>
      <c r="U133" s="90">
        <f t="shared" si="52"/>
        <v>59.267634588205063</v>
      </c>
      <c r="V133" s="34">
        <v>1089.6200000000001</v>
      </c>
      <c r="W133" s="141">
        <f t="shared" si="53"/>
        <v>167.05999999999995</v>
      </c>
    </row>
    <row r="134" spans="1:23" x14ac:dyDescent="0.25">
      <c r="A134" s="166"/>
      <c r="B134" s="169"/>
      <c r="C134" s="139">
        <v>5</v>
      </c>
      <c r="D134" s="34">
        <v>1747.9</v>
      </c>
      <c r="E134" s="34">
        <v>2698.91</v>
      </c>
      <c r="F134" s="34">
        <f t="shared" si="48"/>
        <v>951.00999999999976</v>
      </c>
      <c r="G134" s="140">
        <v>1545.4</v>
      </c>
      <c r="H134" s="90">
        <f t="shared" si="49"/>
        <v>61.538113109874445</v>
      </c>
      <c r="I134" s="34">
        <v>1081.78</v>
      </c>
      <c r="J134" s="141">
        <f t="shared" si="50"/>
        <v>130.77000000000021</v>
      </c>
      <c r="N134" s="166"/>
      <c r="O134" s="169"/>
      <c r="P134" s="139">
        <v>5</v>
      </c>
      <c r="Q134" s="34">
        <v>1747.9</v>
      </c>
      <c r="R134" s="34">
        <v>2684.02</v>
      </c>
      <c r="S134" s="34">
        <f t="shared" si="51"/>
        <v>936.11999999999989</v>
      </c>
      <c r="T134" s="140">
        <v>1545.4</v>
      </c>
      <c r="U134" s="90">
        <f t="shared" si="52"/>
        <v>60.574608515594655</v>
      </c>
      <c r="V134" s="34">
        <v>1081.78</v>
      </c>
      <c r="W134" s="141">
        <f t="shared" si="53"/>
        <v>145.66000000000008</v>
      </c>
    </row>
    <row r="135" spans="1:23" x14ac:dyDescent="0.25">
      <c r="A135" s="166"/>
      <c r="B135" s="169"/>
      <c r="C135" s="139">
        <v>6</v>
      </c>
      <c r="D135" s="34">
        <v>1789</v>
      </c>
      <c r="E135" s="34">
        <v>2624.64</v>
      </c>
      <c r="F135" s="34">
        <f t="shared" si="48"/>
        <v>835.63999999999987</v>
      </c>
      <c r="G135" s="140">
        <v>1440.1999999999998</v>
      </c>
      <c r="H135" s="90">
        <f t="shared" si="49"/>
        <v>58.022496875433973</v>
      </c>
      <c r="I135" s="34">
        <v>1008.1399999999999</v>
      </c>
      <c r="J135" s="141">
        <f t="shared" si="50"/>
        <v>172.5</v>
      </c>
      <c r="N135" s="166"/>
      <c r="O135" s="169"/>
      <c r="P135" s="139">
        <v>6</v>
      </c>
      <c r="Q135" s="34">
        <v>1789</v>
      </c>
      <c r="R135" s="34">
        <v>2611.79</v>
      </c>
      <c r="S135" s="34">
        <f t="shared" si="51"/>
        <v>822.79</v>
      </c>
      <c r="T135" s="140">
        <v>1440.1999999999998</v>
      </c>
      <c r="U135" s="90">
        <f t="shared" si="52"/>
        <v>57.130259686154702</v>
      </c>
      <c r="V135" s="34">
        <v>1008.1399999999999</v>
      </c>
      <c r="W135" s="141">
        <f t="shared" si="53"/>
        <v>185.34999999999991</v>
      </c>
    </row>
    <row r="136" spans="1:23" x14ac:dyDescent="0.25">
      <c r="A136" s="166"/>
      <c r="B136" s="169"/>
      <c r="C136" s="139">
        <v>7</v>
      </c>
      <c r="D136" s="34">
        <v>1565.53</v>
      </c>
      <c r="E136" s="34">
        <v>2316.44</v>
      </c>
      <c r="F136" s="34">
        <f t="shared" si="48"/>
        <v>750.91000000000008</v>
      </c>
      <c r="G136" s="140">
        <v>1343.2700000000002</v>
      </c>
      <c r="H136" s="90">
        <f t="shared" si="49"/>
        <v>55.901643005501498</v>
      </c>
      <c r="I136" s="34">
        <v>940.2890000000001</v>
      </c>
      <c r="J136" s="141">
        <f t="shared" si="50"/>
        <v>189.37900000000002</v>
      </c>
      <c r="N136" s="166"/>
      <c r="O136" s="169"/>
      <c r="P136" s="139">
        <v>7</v>
      </c>
      <c r="Q136" s="34">
        <v>1565.53</v>
      </c>
      <c r="R136" s="34">
        <v>2291.3200000000002</v>
      </c>
      <c r="S136" s="34">
        <f t="shared" si="51"/>
        <v>725.79000000000019</v>
      </c>
      <c r="T136" s="140">
        <v>1343.2700000000002</v>
      </c>
      <c r="U136" s="90">
        <f t="shared" si="52"/>
        <v>54.031579652638719</v>
      </c>
      <c r="V136" s="34">
        <v>940.2890000000001</v>
      </c>
      <c r="W136" s="141">
        <f t="shared" si="53"/>
        <v>214.49899999999991</v>
      </c>
    </row>
    <row r="137" spans="1:23" x14ac:dyDescent="0.25">
      <c r="A137" s="166"/>
      <c r="B137" s="169"/>
      <c r="C137" s="139">
        <v>8</v>
      </c>
      <c r="D137" s="34">
        <v>1607.4</v>
      </c>
      <c r="E137" s="34">
        <v>2392.0500000000002</v>
      </c>
      <c r="F137" s="34">
        <f t="shared" si="48"/>
        <v>784.65000000000009</v>
      </c>
      <c r="G137" s="140">
        <v>1348.7999999999997</v>
      </c>
      <c r="H137" s="90">
        <f t="shared" si="49"/>
        <v>58.173932384341654</v>
      </c>
      <c r="I137" s="34">
        <v>944.15999999999985</v>
      </c>
      <c r="J137" s="141">
        <f t="shared" si="50"/>
        <v>159.50999999999976</v>
      </c>
      <c r="N137" s="166"/>
      <c r="O137" s="169"/>
      <c r="P137" s="139">
        <v>8</v>
      </c>
      <c r="Q137" s="34">
        <v>1607.4</v>
      </c>
      <c r="R137" s="34">
        <v>2362.3000000000002</v>
      </c>
      <c r="S137" s="34">
        <f t="shared" si="51"/>
        <v>754.90000000000009</v>
      </c>
      <c r="T137" s="140">
        <v>1348.7999999999997</v>
      </c>
      <c r="U137" s="90">
        <f t="shared" si="52"/>
        <v>55.968268090154226</v>
      </c>
      <c r="V137" s="34">
        <v>944.15999999999985</v>
      </c>
      <c r="W137" s="141">
        <f t="shared" si="53"/>
        <v>189.25999999999976</v>
      </c>
    </row>
    <row r="138" spans="1:23" x14ac:dyDescent="0.25">
      <c r="A138" s="166"/>
      <c r="B138" s="169"/>
      <c r="C138" s="139">
        <v>9</v>
      </c>
      <c r="D138" s="34">
        <v>1555.9</v>
      </c>
      <c r="E138" s="34">
        <v>2378.85</v>
      </c>
      <c r="F138" s="34">
        <f t="shared" si="48"/>
        <v>822.94999999999982</v>
      </c>
      <c r="G138" s="140">
        <v>1360.4</v>
      </c>
      <c r="H138" s="90">
        <f t="shared" si="49"/>
        <v>60.493237283151998</v>
      </c>
      <c r="I138" s="34">
        <v>952.28</v>
      </c>
      <c r="J138" s="141">
        <f t="shared" si="50"/>
        <v>129.33000000000015</v>
      </c>
      <c r="N138" s="166"/>
      <c r="O138" s="169"/>
      <c r="P138" s="139">
        <v>9</v>
      </c>
      <c r="Q138" s="34">
        <v>1555.9</v>
      </c>
      <c r="R138" s="34">
        <v>2355.96</v>
      </c>
      <c r="S138" s="34">
        <f t="shared" si="51"/>
        <v>800.06</v>
      </c>
      <c r="T138" s="140">
        <v>1360.4</v>
      </c>
      <c r="U138" s="90">
        <f t="shared" si="52"/>
        <v>58.81064392825639</v>
      </c>
      <c r="V138" s="34">
        <v>952.28</v>
      </c>
      <c r="W138" s="141">
        <f t="shared" si="53"/>
        <v>152.22000000000003</v>
      </c>
    </row>
    <row r="139" spans="1:23" x14ac:dyDescent="0.25">
      <c r="A139" s="166"/>
      <c r="B139" s="169"/>
      <c r="C139" s="139">
        <v>10</v>
      </c>
      <c r="D139" s="34">
        <v>1625.9</v>
      </c>
      <c r="E139" s="34">
        <v>2387.33</v>
      </c>
      <c r="F139" s="34">
        <f t="shared" si="48"/>
        <v>761.42999999999984</v>
      </c>
      <c r="G139" s="140">
        <v>1266.6999999999998</v>
      </c>
      <c r="H139" s="90">
        <f t="shared" si="49"/>
        <v>60.11131286018788</v>
      </c>
      <c r="I139" s="34">
        <v>886.68999999999983</v>
      </c>
      <c r="J139" s="141">
        <f t="shared" si="50"/>
        <v>125.25999999999999</v>
      </c>
      <c r="N139" s="166"/>
      <c r="O139" s="169"/>
      <c r="P139" s="139">
        <v>10</v>
      </c>
      <c r="Q139" s="34">
        <v>1625.9</v>
      </c>
      <c r="R139" s="34">
        <v>2366.5500000000002</v>
      </c>
      <c r="S139" s="34">
        <f t="shared" si="51"/>
        <v>740.65000000000009</v>
      </c>
      <c r="T139" s="140">
        <v>1266.6999999999998</v>
      </c>
      <c r="U139" s="90">
        <f t="shared" si="52"/>
        <v>58.470829715007511</v>
      </c>
      <c r="V139" s="34">
        <v>886.68999999999983</v>
      </c>
      <c r="W139" s="141">
        <f t="shared" si="53"/>
        <v>146.03999999999974</v>
      </c>
    </row>
    <row r="140" spans="1:23" x14ac:dyDescent="0.25">
      <c r="A140" s="166"/>
      <c r="B140" s="169"/>
      <c r="C140" s="139">
        <v>11</v>
      </c>
      <c r="D140" s="34">
        <v>1542.1</v>
      </c>
      <c r="E140" s="34">
        <v>2326.5100000000002</v>
      </c>
      <c r="F140" s="34">
        <f t="shared" si="48"/>
        <v>784.41000000000031</v>
      </c>
      <c r="G140" s="140">
        <v>1390.9</v>
      </c>
      <c r="H140" s="90">
        <f t="shared" si="49"/>
        <v>56.39585879646274</v>
      </c>
      <c r="I140" s="34">
        <v>973.63</v>
      </c>
      <c r="J140" s="141">
        <f t="shared" si="50"/>
        <v>189.21999999999969</v>
      </c>
      <c r="N140" s="166"/>
      <c r="O140" s="169"/>
      <c r="P140" s="139">
        <v>11</v>
      </c>
      <c r="Q140" s="34">
        <v>1542.1</v>
      </c>
      <c r="R140" s="34">
        <v>2312.88</v>
      </c>
      <c r="S140" s="34">
        <f t="shared" si="51"/>
        <v>770.7800000000002</v>
      </c>
      <c r="T140" s="140">
        <v>1390.9</v>
      </c>
      <c r="U140" s="90">
        <f t="shared" si="52"/>
        <v>55.415917751096423</v>
      </c>
      <c r="V140" s="34">
        <v>973.63</v>
      </c>
      <c r="W140" s="141">
        <f t="shared" si="53"/>
        <v>202.8499999999998</v>
      </c>
    </row>
    <row r="141" spans="1:23" x14ac:dyDescent="0.25">
      <c r="A141" s="166"/>
      <c r="B141" s="169"/>
      <c r="C141" s="139">
        <v>12</v>
      </c>
      <c r="D141" s="34">
        <v>1487.3</v>
      </c>
      <c r="E141" s="34">
        <v>2247.73</v>
      </c>
      <c r="F141" s="34">
        <f t="shared" si="48"/>
        <v>760.43000000000006</v>
      </c>
      <c r="G141" s="140">
        <v>1282.6000000000001</v>
      </c>
      <c r="H141" s="90">
        <f t="shared" si="49"/>
        <v>59.288164665523155</v>
      </c>
      <c r="I141" s="34">
        <v>897.82000000000016</v>
      </c>
      <c r="J141" s="141">
        <f t="shared" si="50"/>
        <v>137.3900000000001</v>
      </c>
      <c r="N141" s="166"/>
      <c r="O141" s="169"/>
      <c r="P141" s="139">
        <v>12</v>
      </c>
      <c r="Q141" s="34">
        <v>1487.3</v>
      </c>
      <c r="R141" s="34">
        <v>2119.9</v>
      </c>
      <c r="S141" s="34">
        <f t="shared" si="51"/>
        <v>632.60000000000014</v>
      </c>
      <c r="T141" s="140">
        <v>1282.6000000000001</v>
      </c>
      <c r="U141" s="90">
        <f t="shared" si="52"/>
        <v>49.321690316544526</v>
      </c>
      <c r="V141" s="34">
        <v>897.82000000000016</v>
      </c>
      <c r="W141" s="141">
        <f t="shared" si="53"/>
        <v>265.22000000000003</v>
      </c>
    </row>
    <row r="142" spans="1:23" x14ac:dyDescent="0.25">
      <c r="A142" s="166"/>
      <c r="B142" s="169"/>
      <c r="C142" s="139">
        <v>13</v>
      </c>
      <c r="D142" s="34">
        <v>1567.2</v>
      </c>
      <c r="E142" s="34">
        <v>2266.4</v>
      </c>
      <c r="F142" s="34">
        <f t="shared" si="48"/>
        <v>699.2</v>
      </c>
      <c r="G142" s="140">
        <v>1252.1000000000001</v>
      </c>
      <c r="H142" s="90">
        <f t="shared" si="49"/>
        <v>55.842185128983303</v>
      </c>
      <c r="I142" s="34">
        <v>876.47000000000014</v>
      </c>
      <c r="J142" s="141">
        <f t="shared" si="50"/>
        <v>177.2700000000001</v>
      </c>
      <c r="N142" s="166"/>
      <c r="O142" s="169"/>
      <c r="P142" s="139">
        <v>13</v>
      </c>
      <c r="Q142" s="34">
        <v>1567.2</v>
      </c>
      <c r="R142" s="34">
        <v>2298.5300000000002</v>
      </c>
      <c r="S142" s="34">
        <f t="shared" si="51"/>
        <v>731.33000000000015</v>
      </c>
      <c r="T142" s="140">
        <v>1252.1000000000001</v>
      </c>
      <c r="U142" s="90">
        <f t="shared" si="52"/>
        <v>58.408274099512823</v>
      </c>
      <c r="V142" s="34">
        <v>876.47000000000014</v>
      </c>
      <c r="W142" s="141">
        <f t="shared" si="53"/>
        <v>145.13999999999999</v>
      </c>
    </row>
    <row r="143" spans="1:23" x14ac:dyDescent="0.25">
      <c r="A143" s="166"/>
      <c r="B143" s="169"/>
      <c r="C143" s="139">
        <v>14</v>
      </c>
      <c r="D143" s="34">
        <v>1704.9</v>
      </c>
      <c r="E143" s="34">
        <v>2451.0300000000002</v>
      </c>
      <c r="F143" s="34">
        <f t="shared" si="48"/>
        <v>746.13000000000011</v>
      </c>
      <c r="G143" s="140">
        <v>1271.7999999999997</v>
      </c>
      <c r="H143" s="90">
        <f t="shared" si="49"/>
        <v>58.667243277244872</v>
      </c>
      <c r="I143" s="34">
        <v>890.25999999999988</v>
      </c>
      <c r="J143" s="141">
        <f t="shared" si="50"/>
        <v>144.12999999999977</v>
      </c>
      <c r="N143" s="166"/>
      <c r="O143" s="169"/>
      <c r="P143" s="139">
        <v>14</v>
      </c>
      <c r="Q143" s="34">
        <v>1704.9</v>
      </c>
      <c r="R143" s="34">
        <v>2438.4899999999998</v>
      </c>
      <c r="S143" s="34">
        <f t="shared" si="51"/>
        <v>733.58999999999969</v>
      </c>
      <c r="T143" s="140">
        <v>1271.7999999999997</v>
      </c>
      <c r="U143" s="90">
        <f t="shared" si="52"/>
        <v>57.68123918855165</v>
      </c>
      <c r="V143" s="34">
        <v>890.25999999999988</v>
      </c>
      <c r="W143" s="141">
        <f t="shared" si="53"/>
        <v>156.67000000000019</v>
      </c>
    </row>
    <row r="144" spans="1:23" x14ac:dyDescent="0.25">
      <c r="A144" s="166"/>
      <c r="B144" s="169"/>
      <c r="C144" s="139">
        <v>15</v>
      </c>
      <c r="D144" s="34">
        <v>1558.2</v>
      </c>
      <c r="E144" s="34">
        <v>2261.73</v>
      </c>
      <c r="F144" s="34">
        <f t="shared" si="48"/>
        <v>703.53</v>
      </c>
      <c r="G144" s="140">
        <v>1187.2</v>
      </c>
      <c r="H144" s="90">
        <f t="shared" si="49"/>
        <v>59.259602425876004</v>
      </c>
      <c r="I144" s="34">
        <v>831.04</v>
      </c>
      <c r="J144" s="141">
        <f t="shared" si="50"/>
        <v>127.50999999999999</v>
      </c>
      <c r="N144" s="166"/>
      <c r="O144" s="169"/>
      <c r="P144" s="139">
        <v>15</v>
      </c>
      <c r="Q144" s="34">
        <v>1558.2</v>
      </c>
      <c r="R144" s="34">
        <v>2238.04</v>
      </c>
      <c r="S144" s="34">
        <f t="shared" si="51"/>
        <v>679.83999999999992</v>
      </c>
      <c r="T144" s="140">
        <v>1187.2</v>
      </c>
      <c r="U144" s="90">
        <f t="shared" si="52"/>
        <v>57.264150943396217</v>
      </c>
      <c r="V144" s="34">
        <v>831.04</v>
      </c>
      <c r="W144" s="141">
        <f t="shared" si="53"/>
        <v>151.20000000000005</v>
      </c>
    </row>
    <row r="145" spans="1:23" x14ac:dyDescent="0.25">
      <c r="A145" s="167"/>
      <c r="B145" s="170"/>
      <c r="C145" s="142">
        <v>16</v>
      </c>
      <c r="D145" s="69">
        <v>1512.1</v>
      </c>
      <c r="E145" s="143">
        <v>2294.2199999999998</v>
      </c>
      <c r="F145" s="143">
        <f t="shared" si="48"/>
        <v>782.11999999999989</v>
      </c>
      <c r="G145" s="144">
        <v>1276.7000000000003</v>
      </c>
      <c r="H145" s="91">
        <f t="shared" si="49"/>
        <v>61.261063679799463</v>
      </c>
      <c r="I145" s="143">
        <v>893.69000000000017</v>
      </c>
      <c r="J145" s="145">
        <f t="shared" si="50"/>
        <v>111.57000000000028</v>
      </c>
      <c r="N145" s="167"/>
      <c r="O145" s="170"/>
      <c r="P145" s="142">
        <v>16</v>
      </c>
      <c r="Q145" s="69">
        <v>1512.1</v>
      </c>
      <c r="R145" s="143">
        <v>2278.56</v>
      </c>
      <c r="S145" s="143">
        <f t="shared" si="51"/>
        <v>766.46</v>
      </c>
      <c r="T145" s="144">
        <v>1276.7000000000003</v>
      </c>
      <c r="U145" s="91">
        <f t="shared" si="52"/>
        <v>60.034463852118733</v>
      </c>
      <c r="V145" s="143">
        <v>893.69000000000017</v>
      </c>
      <c r="W145" s="145">
        <f t="shared" si="53"/>
        <v>127.23000000000013</v>
      </c>
    </row>
    <row r="146" spans="1:23" x14ac:dyDescent="0.25">
      <c r="A146" s="165">
        <v>0.62152777777777779</v>
      </c>
      <c r="B146" s="168" t="s">
        <v>121</v>
      </c>
      <c r="C146" s="135">
        <v>1</v>
      </c>
      <c r="D146" s="34">
        <v>1603.6</v>
      </c>
      <c r="E146" s="136">
        <v>2368.21</v>
      </c>
      <c r="F146" s="136">
        <f>E146- D146</f>
        <v>764.61000000000013</v>
      </c>
      <c r="G146" s="137">
        <v>1316.3000000000002</v>
      </c>
      <c r="H146" s="89">
        <f>(F146/$G146)*100</f>
        <v>58.087821925093067</v>
      </c>
      <c r="I146" s="136">
        <v>921.4100000000002</v>
      </c>
      <c r="J146" s="138">
        <f>I146-F146</f>
        <v>156.80000000000007</v>
      </c>
      <c r="N146" s="165">
        <v>0.61805555555555558</v>
      </c>
      <c r="O146" s="168" t="s">
        <v>121</v>
      </c>
      <c r="P146" s="135">
        <v>1</v>
      </c>
      <c r="Q146" s="34">
        <v>1603.6</v>
      </c>
      <c r="R146" s="136">
        <v>2348.44</v>
      </c>
      <c r="S146" s="136">
        <f>R146- Q146</f>
        <v>744.84000000000015</v>
      </c>
      <c r="T146" s="137">
        <v>1316.3000000000002</v>
      </c>
      <c r="U146" s="89">
        <f>(S146/$G146)*100</f>
        <v>56.585884676745422</v>
      </c>
      <c r="V146" s="136">
        <v>921.4100000000002</v>
      </c>
      <c r="W146" s="138">
        <f>V146-S146</f>
        <v>176.57000000000005</v>
      </c>
    </row>
    <row r="147" spans="1:23" x14ac:dyDescent="0.25">
      <c r="A147" s="166"/>
      <c r="B147" s="169"/>
      <c r="C147" s="139">
        <v>2</v>
      </c>
      <c r="D147" s="34">
        <v>1758.6</v>
      </c>
      <c r="E147" s="34">
        <v>2543.85</v>
      </c>
      <c r="F147" s="34">
        <f t="shared" ref="F147:F161" si="54">E147- D147</f>
        <v>785.25</v>
      </c>
      <c r="G147" s="140">
        <v>1342.6</v>
      </c>
      <c r="H147" s="90">
        <f t="shared" ref="H147:H161" si="55">(F147/$G147)*100</f>
        <v>58.487263518546108</v>
      </c>
      <c r="I147" s="34">
        <v>939.82</v>
      </c>
      <c r="J147" s="141">
        <f t="shared" ref="J147:J161" si="56">I147-F147</f>
        <v>154.57000000000005</v>
      </c>
      <c r="N147" s="166"/>
      <c r="O147" s="169"/>
      <c r="P147" s="139">
        <v>2</v>
      </c>
      <c r="Q147" s="34">
        <v>1758.6</v>
      </c>
      <c r="R147" s="34">
        <v>2519.9</v>
      </c>
      <c r="S147" s="34">
        <f>R147- Q147</f>
        <v>761.30000000000018</v>
      </c>
      <c r="T147" s="140">
        <v>1342.6</v>
      </c>
      <c r="U147" s="90">
        <f t="shared" ref="U147:U161" si="57">(S147/$G147)*100</f>
        <v>56.703411291523928</v>
      </c>
      <c r="V147" s="34">
        <v>939.82</v>
      </c>
      <c r="W147" s="141">
        <f t="shared" ref="W147:W161" si="58">V147-S147</f>
        <v>178.51999999999987</v>
      </c>
    </row>
    <row r="148" spans="1:23" x14ac:dyDescent="0.25">
      <c r="A148" s="166"/>
      <c r="B148" s="169"/>
      <c r="C148" s="139">
        <v>3</v>
      </c>
      <c r="D148" s="34">
        <v>1573.8</v>
      </c>
      <c r="E148" s="34">
        <v>2355.65</v>
      </c>
      <c r="F148" s="34">
        <f t="shared" si="54"/>
        <v>781.85000000000014</v>
      </c>
      <c r="G148" s="140">
        <v>1413.6000000000001</v>
      </c>
      <c r="H148" s="90">
        <f t="shared" si="55"/>
        <v>55.30913978494624</v>
      </c>
      <c r="I148" s="34">
        <v>989.5200000000001</v>
      </c>
      <c r="J148" s="141">
        <f t="shared" si="56"/>
        <v>207.66999999999996</v>
      </c>
      <c r="N148" s="166"/>
      <c r="O148" s="169"/>
      <c r="P148" s="139">
        <v>3</v>
      </c>
      <c r="Q148" s="34">
        <v>1573.8</v>
      </c>
      <c r="R148" s="34">
        <v>2336.67</v>
      </c>
      <c r="S148" s="34">
        <f t="shared" ref="S148:S161" si="59">R148- Q148</f>
        <v>762.87000000000012</v>
      </c>
      <c r="T148" s="140">
        <v>1413.6000000000001</v>
      </c>
      <c r="U148" s="90">
        <f t="shared" si="57"/>
        <v>53.966468590831916</v>
      </c>
      <c r="V148" s="34">
        <v>989.5200000000001</v>
      </c>
      <c r="W148" s="141">
        <f t="shared" si="58"/>
        <v>226.64999999999998</v>
      </c>
    </row>
    <row r="149" spans="1:23" x14ac:dyDescent="0.25">
      <c r="A149" s="166"/>
      <c r="B149" s="169"/>
      <c r="C149" s="139">
        <v>4</v>
      </c>
      <c r="D149" s="34">
        <v>1558.8</v>
      </c>
      <c r="E149" s="34">
        <v>2472.31</v>
      </c>
      <c r="F149" s="34">
        <f t="shared" si="54"/>
        <v>913.51</v>
      </c>
      <c r="G149" s="140">
        <v>1556.6000000000001</v>
      </c>
      <c r="H149" s="90">
        <f t="shared" si="55"/>
        <v>58.686239239367843</v>
      </c>
      <c r="I149" s="34">
        <v>1089.6200000000001</v>
      </c>
      <c r="J149" s="141">
        <f t="shared" si="56"/>
        <v>176.11000000000013</v>
      </c>
      <c r="N149" s="166"/>
      <c r="O149" s="169"/>
      <c r="P149" s="139">
        <v>4</v>
      </c>
      <c r="Q149" s="34">
        <v>1558.8</v>
      </c>
      <c r="R149" s="34">
        <v>2459.94</v>
      </c>
      <c r="S149" s="34">
        <f t="shared" si="59"/>
        <v>901.1400000000001</v>
      </c>
      <c r="T149" s="140">
        <v>1556.6000000000001</v>
      </c>
      <c r="U149" s="90">
        <f t="shared" si="57"/>
        <v>57.891558524990359</v>
      </c>
      <c r="V149" s="34">
        <v>1089.6200000000001</v>
      </c>
      <c r="W149" s="141">
        <f t="shared" si="58"/>
        <v>188.48000000000002</v>
      </c>
    </row>
    <row r="150" spans="1:23" x14ac:dyDescent="0.25">
      <c r="A150" s="166"/>
      <c r="B150" s="169"/>
      <c r="C150" s="139">
        <v>5</v>
      </c>
      <c r="D150" s="34">
        <v>1747.9</v>
      </c>
      <c r="E150" s="34">
        <v>2680.21</v>
      </c>
      <c r="F150" s="34">
        <f t="shared" si="54"/>
        <v>932.31</v>
      </c>
      <c r="G150" s="140">
        <v>1545.4</v>
      </c>
      <c r="H150" s="90">
        <f t="shared" si="55"/>
        <v>60.328070402484791</v>
      </c>
      <c r="I150" s="34">
        <v>1081.78</v>
      </c>
      <c r="J150" s="141">
        <f t="shared" si="56"/>
        <v>149.47000000000003</v>
      </c>
      <c r="N150" s="166"/>
      <c r="O150" s="169"/>
      <c r="P150" s="139">
        <v>5</v>
      </c>
      <c r="Q150" s="34">
        <v>1747.9</v>
      </c>
      <c r="R150" s="34">
        <v>2663.99</v>
      </c>
      <c r="S150" s="34">
        <f t="shared" si="59"/>
        <v>916.08999999999969</v>
      </c>
      <c r="T150" s="140">
        <v>1545.4</v>
      </c>
      <c r="U150" s="90">
        <f t="shared" si="57"/>
        <v>59.278503947198111</v>
      </c>
      <c r="V150" s="34">
        <v>1081.78</v>
      </c>
      <c r="W150" s="141">
        <f t="shared" si="58"/>
        <v>165.69000000000028</v>
      </c>
    </row>
    <row r="151" spans="1:23" x14ac:dyDescent="0.25">
      <c r="A151" s="166"/>
      <c r="B151" s="169"/>
      <c r="C151" s="139">
        <v>6</v>
      </c>
      <c r="D151" s="34">
        <v>1789</v>
      </c>
      <c r="E151" s="34">
        <v>2606.69</v>
      </c>
      <c r="F151" s="34">
        <f t="shared" si="54"/>
        <v>817.69</v>
      </c>
      <c r="G151" s="140">
        <v>1440.1999999999998</v>
      </c>
      <c r="H151" s="90">
        <f t="shared" si="55"/>
        <v>56.776142202471888</v>
      </c>
      <c r="I151" s="34">
        <v>1008.1399999999999</v>
      </c>
      <c r="J151" s="141">
        <f t="shared" si="56"/>
        <v>190.44999999999982</v>
      </c>
      <c r="N151" s="166"/>
      <c r="O151" s="169"/>
      <c r="P151" s="139">
        <v>6</v>
      </c>
      <c r="Q151" s="34">
        <v>1789</v>
      </c>
      <c r="R151" s="34">
        <v>2592.56</v>
      </c>
      <c r="S151" s="34">
        <f t="shared" si="59"/>
        <v>803.56</v>
      </c>
      <c r="T151" s="140">
        <v>1440.1999999999998</v>
      </c>
      <c r="U151" s="90">
        <f t="shared" si="57"/>
        <v>55.795028468268306</v>
      </c>
      <c r="V151" s="34">
        <v>1008.1399999999999</v>
      </c>
      <c r="W151" s="141">
        <f t="shared" si="58"/>
        <v>204.57999999999993</v>
      </c>
    </row>
    <row r="152" spans="1:23" x14ac:dyDescent="0.25">
      <c r="A152" s="166"/>
      <c r="B152" s="169"/>
      <c r="C152" s="139">
        <v>7</v>
      </c>
      <c r="D152" s="34">
        <v>1565.53</v>
      </c>
      <c r="E152" s="34">
        <v>2293.33</v>
      </c>
      <c r="F152" s="34">
        <f t="shared" si="54"/>
        <v>727.8</v>
      </c>
      <c r="G152" s="140">
        <v>1343.2700000000002</v>
      </c>
      <c r="H152" s="90">
        <f t="shared" si="55"/>
        <v>54.181214498946581</v>
      </c>
      <c r="I152" s="34">
        <v>940.2890000000001</v>
      </c>
      <c r="J152" s="141">
        <f t="shared" si="56"/>
        <v>212.48900000000015</v>
      </c>
      <c r="N152" s="166"/>
      <c r="O152" s="169"/>
      <c r="P152" s="139">
        <v>7</v>
      </c>
      <c r="Q152" s="34">
        <v>1565.53</v>
      </c>
      <c r="R152" s="34">
        <v>2268.48</v>
      </c>
      <c r="S152" s="34">
        <f t="shared" si="59"/>
        <v>702.95</v>
      </c>
      <c r="T152" s="140">
        <v>1343.2700000000002</v>
      </c>
      <c r="U152" s="90">
        <f t="shared" si="57"/>
        <v>52.331251349319196</v>
      </c>
      <c r="V152" s="34">
        <v>940.2890000000001</v>
      </c>
      <c r="W152" s="141">
        <f t="shared" si="58"/>
        <v>237.33900000000006</v>
      </c>
    </row>
    <row r="153" spans="1:23" x14ac:dyDescent="0.25">
      <c r="A153" s="166"/>
      <c r="B153" s="169"/>
      <c r="C153" s="139">
        <v>8</v>
      </c>
      <c r="D153" s="34">
        <v>1607.4</v>
      </c>
      <c r="E153" s="34">
        <v>2372.14</v>
      </c>
      <c r="F153" s="34">
        <f t="shared" si="54"/>
        <v>764.73999999999978</v>
      </c>
      <c r="G153" s="140">
        <v>1348.7999999999997</v>
      </c>
      <c r="H153" s="90">
        <f t="shared" si="55"/>
        <v>56.697805456702241</v>
      </c>
      <c r="I153" s="34">
        <v>944.15999999999985</v>
      </c>
      <c r="J153" s="141">
        <f t="shared" si="56"/>
        <v>179.42000000000007</v>
      </c>
      <c r="N153" s="166"/>
      <c r="O153" s="169"/>
      <c r="P153" s="139">
        <v>8</v>
      </c>
      <c r="Q153" s="34">
        <v>1607.4</v>
      </c>
      <c r="R153" s="34">
        <v>2340.34</v>
      </c>
      <c r="S153" s="34">
        <f t="shared" si="59"/>
        <v>732.94</v>
      </c>
      <c r="T153" s="140">
        <v>1348.7999999999997</v>
      </c>
      <c r="U153" s="90">
        <f t="shared" si="57"/>
        <v>54.340154211150669</v>
      </c>
      <c r="V153" s="34">
        <v>944.15999999999985</v>
      </c>
      <c r="W153" s="141">
        <f t="shared" si="58"/>
        <v>211.2199999999998</v>
      </c>
    </row>
    <row r="154" spans="1:23" x14ac:dyDescent="0.25">
      <c r="A154" s="166"/>
      <c r="B154" s="169"/>
      <c r="C154" s="139">
        <v>9</v>
      </c>
      <c r="D154" s="34">
        <v>1555.9</v>
      </c>
      <c r="E154" s="34">
        <v>2359.29</v>
      </c>
      <c r="F154" s="34">
        <f t="shared" si="54"/>
        <v>803.38999999999987</v>
      </c>
      <c r="G154" s="140">
        <v>1360.4</v>
      </c>
      <c r="H154" s="90">
        <f t="shared" si="55"/>
        <v>59.055424875036742</v>
      </c>
      <c r="I154" s="34">
        <v>952.28</v>
      </c>
      <c r="J154" s="141">
        <f t="shared" si="56"/>
        <v>148.8900000000001</v>
      </c>
      <c r="N154" s="166"/>
      <c r="O154" s="169"/>
      <c r="P154" s="139">
        <v>9</v>
      </c>
      <c r="Q154" s="34">
        <v>1555.9</v>
      </c>
      <c r="R154" s="34">
        <v>2335.21</v>
      </c>
      <c r="S154" s="34">
        <f t="shared" si="59"/>
        <v>779.31</v>
      </c>
      <c r="T154" s="140">
        <v>1360.4</v>
      </c>
      <c r="U154" s="90">
        <f t="shared" si="57"/>
        <v>57.285357247868262</v>
      </c>
      <c r="V154" s="34">
        <v>952.28</v>
      </c>
      <c r="W154" s="141">
        <f t="shared" si="58"/>
        <v>172.97000000000003</v>
      </c>
    </row>
    <row r="155" spans="1:23" x14ac:dyDescent="0.25">
      <c r="A155" s="166"/>
      <c r="B155" s="169"/>
      <c r="C155" s="139">
        <v>10</v>
      </c>
      <c r="D155" s="34">
        <v>1625.9</v>
      </c>
      <c r="E155" s="34">
        <v>2370.08</v>
      </c>
      <c r="F155" s="34">
        <f t="shared" si="54"/>
        <v>744.17999999999984</v>
      </c>
      <c r="G155" s="140">
        <v>1266.6999999999998</v>
      </c>
      <c r="H155" s="90">
        <f t="shared" si="55"/>
        <v>58.749506591931791</v>
      </c>
      <c r="I155" s="34">
        <v>886.68999999999983</v>
      </c>
      <c r="J155" s="141">
        <f t="shared" si="56"/>
        <v>142.51</v>
      </c>
      <c r="N155" s="166"/>
      <c r="O155" s="169"/>
      <c r="P155" s="139">
        <v>10</v>
      </c>
      <c r="Q155" s="34">
        <v>1625.9</v>
      </c>
      <c r="R155" s="34">
        <v>2346.21</v>
      </c>
      <c r="S155" s="34">
        <f t="shared" si="59"/>
        <v>720.31</v>
      </c>
      <c r="T155" s="140">
        <v>1266.6999999999998</v>
      </c>
      <c r="U155" s="90">
        <f t="shared" si="57"/>
        <v>56.865082497829015</v>
      </c>
      <c r="V155" s="34">
        <v>886.68999999999983</v>
      </c>
      <c r="W155" s="141">
        <f t="shared" si="58"/>
        <v>166.37999999999988</v>
      </c>
    </row>
    <row r="156" spans="1:23" x14ac:dyDescent="0.25">
      <c r="A156" s="166"/>
      <c r="B156" s="169"/>
      <c r="C156" s="139">
        <v>11</v>
      </c>
      <c r="D156" s="34">
        <v>1542.1</v>
      </c>
      <c r="E156" s="34">
        <v>2303.6999999999998</v>
      </c>
      <c r="F156" s="34">
        <f t="shared" si="54"/>
        <v>761.59999999999991</v>
      </c>
      <c r="G156" s="140">
        <v>1390.9</v>
      </c>
      <c r="H156" s="90">
        <f t="shared" si="55"/>
        <v>54.75591343734272</v>
      </c>
      <c r="I156" s="34">
        <v>973.63</v>
      </c>
      <c r="J156" s="141">
        <f t="shared" si="56"/>
        <v>212.03000000000009</v>
      </c>
      <c r="N156" s="166"/>
      <c r="O156" s="169"/>
      <c r="P156" s="139">
        <v>11</v>
      </c>
      <c r="Q156" s="34">
        <v>1542.1</v>
      </c>
      <c r="R156" s="34">
        <v>2289.41</v>
      </c>
      <c r="S156" s="34">
        <f t="shared" si="59"/>
        <v>747.31</v>
      </c>
      <c r="T156" s="140">
        <v>1390.9</v>
      </c>
      <c r="U156" s="90">
        <f t="shared" si="57"/>
        <v>53.728521101445104</v>
      </c>
      <c r="V156" s="34">
        <v>973.63</v>
      </c>
      <c r="W156" s="141">
        <f t="shared" si="58"/>
        <v>226.32000000000005</v>
      </c>
    </row>
    <row r="157" spans="1:23" x14ac:dyDescent="0.25">
      <c r="A157" s="166"/>
      <c r="B157" s="169"/>
      <c r="C157" s="139">
        <v>12</v>
      </c>
      <c r="D157" s="34">
        <v>1487.3</v>
      </c>
      <c r="E157" s="34">
        <v>2229.0500000000002</v>
      </c>
      <c r="F157" s="34">
        <f t="shared" si="54"/>
        <v>741.75000000000023</v>
      </c>
      <c r="G157" s="140">
        <v>1282.6000000000001</v>
      </c>
      <c r="H157" s="90">
        <f t="shared" si="55"/>
        <v>57.831748011850934</v>
      </c>
      <c r="I157" s="34">
        <v>897.82000000000016</v>
      </c>
      <c r="J157" s="141">
        <f t="shared" si="56"/>
        <v>156.06999999999994</v>
      </c>
      <c r="N157" s="166"/>
      <c r="O157" s="169"/>
      <c r="P157" s="139">
        <v>12</v>
      </c>
      <c r="Q157" s="34">
        <v>1487.3</v>
      </c>
      <c r="R157" s="34">
        <v>2108.92</v>
      </c>
      <c r="S157" s="34">
        <f t="shared" si="59"/>
        <v>621.62000000000012</v>
      </c>
      <c r="T157" s="140">
        <v>1282.6000000000001</v>
      </c>
      <c r="U157" s="90">
        <f t="shared" si="57"/>
        <v>48.465616716045531</v>
      </c>
      <c r="V157" s="34">
        <v>897.82000000000016</v>
      </c>
      <c r="W157" s="141">
        <f t="shared" si="58"/>
        <v>276.20000000000005</v>
      </c>
    </row>
    <row r="158" spans="1:23" x14ac:dyDescent="0.25">
      <c r="A158" s="166"/>
      <c r="B158" s="169"/>
      <c r="C158" s="139">
        <v>13</v>
      </c>
      <c r="D158" s="34">
        <v>1567.2</v>
      </c>
      <c r="E158" s="34">
        <v>2243.2600000000002</v>
      </c>
      <c r="F158" s="34">
        <f t="shared" si="54"/>
        <v>676.06000000000017</v>
      </c>
      <c r="G158" s="140">
        <v>1252.1000000000001</v>
      </c>
      <c r="H158" s="90">
        <f t="shared" si="55"/>
        <v>53.994089928919422</v>
      </c>
      <c r="I158" s="34">
        <v>876.47000000000014</v>
      </c>
      <c r="J158" s="141">
        <f t="shared" si="56"/>
        <v>200.40999999999997</v>
      </c>
      <c r="N158" s="166"/>
      <c r="O158" s="169"/>
      <c r="P158" s="139">
        <v>13</v>
      </c>
      <c r="Q158" s="34">
        <v>1567.2</v>
      </c>
      <c r="R158" s="34">
        <v>2272.34</v>
      </c>
      <c r="S158" s="34">
        <f t="shared" si="59"/>
        <v>705.1400000000001</v>
      </c>
      <c r="T158" s="140">
        <v>1252.1000000000001</v>
      </c>
      <c r="U158" s="90">
        <f t="shared" si="57"/>
        <v>56.316588131938353</v>
      </c>
      <c r="V158" s="34">
        <v>876.47000000000014</v>
      </c>
      <c r="W158" s="141">
        <f t="shared" si="58"/>
        <v>171.33000000000004</v>
      </c>
    </row>
    <row r="159" spans="1:23" x14ac:dyDescent="0.25">
      <c r="A159" s="166"/>
      <c r="B159" s="169"/>
      <c r="C159" s="139">
        <v>14</v>
      </c>
      <c r="D159" s="34">
        <v>1704.9</v>
      </c>
      <c r="E159" s="34">
        <v>2433.52</v>
      </c>
      <c r="F159" s="34">
        <f t="shared" si="54"/>
        <v>728.61999999999989</v>
      </c>
      <c r="G159" s="140">
        <v>1271.7999999999997</v>
      </c>
      <c r="H159" s="90">
        <f t="shared" si="55"/>
        <v>57.290454473973895</v>
      </c>
      <c r="I159" s="34">
        <v>890.25999999999988</v>
      </c>
      <c r="J159" s="141">
        <f t="shared" si="56"/>
        <v>161.63999999999999</v>
      </c>
      <c r="N159" s="166"/>
      <c r="O159" s="169"/>
      <c r="P159" s="139">
        <v>14</v>
      </c>
      <c r="Q159" s="34">
        <v>1704.9</v>
      </c>
      <c r="R159" s="34">
        <v>2418.29</v>
      </c>
      <c r="S159" s="34">
        <f t="shared" si="59"/>
        <v>713.38999999999987</v>
      </c>
      <c r="T159" s="140">
        <v>1271.7999999999997</v>
      </c>
      <c r="U159" s="90">
        <f t="shared" si="57"/>
        <v>56.09293914137443</v>
      </c>
      <c r="V159" s="34">
        <v>890.25999999999988</v>
      </c>
      <c r="W159" s="141">
        <f t="shared" si="58"/>
        <v>176.87</v>
      </c>
    </row>
    <row r="160" spans="1:23" x14ac:dyDescent="0.25">
      <c r="A160" s="166"/>
      <c r="B160" s="169"/>
      <c r="C160" s="139">
        <v>15</v>
      </c>
      <c r="D160" s="34">
        <v>1558.2</v>
      </c>
      <c r="E160" s="34">
        <v>2243.27</v>
      </c>
      <c r="F160" s="34">
        <f t="shared" si="54"/>
        <v>685.06999999999994</v>
      </c>
      <c r="G160" s="140">
        <v>1187.2</v>
      </c>
      <c r="H160" s="90">
        <f t="shared" si="55"/>
        <v>57.704683288409697</v>
      </c>
      <c r="I160" s="34">
        <v>831.04</v>
      </c>
      <c r="J160" s="141">
        <f t="shared" si="56"/>
        <v>145.97000000000003</v>
      </c>
      <c r="N160" s="166"/>
      <c r="O160" s="169"/>
      <c r="P160" s="139">
        <v>15</v>
      </c>
      <c r="Q160" s="34">
        <v>1558.2</v>
      </c>
      <c r="R160" s="34">
        <v>2217.89</v>
      </c>
      <c r="S160" s="34">
        <f t="shared" si="59"/>
        <v>659.68999999999983</v>
      </c>
      <c r="T160" s="140">
        <v>1187.2</v>
      </c>
      <c r="U160" s="90">
        <f t="shared" si="57"/>
        <v>55.566880053908342</v>
      </c>
      <c r="V160" s="34">
        <v>831.04</v>
      </c>
      <c r="W160" s="141">
        <f t="shared" si="58"/>
        <v>171.35000000000014</v>
      </c>
    </row>
    <row r="161" spans="1:23" x14ac:dyDescent="0.25">
      <c r="A161" s="167"/>
      <c r="B161" s="170"/>
      <c r="C161" s="142">
        <v>16</v>
      </c>
      <c r="D161" s="69">
        <v>1512.1</v>
      </c>
      <c r="E161" s="143">
        <v>2276.4699999999998</v>
      </c>
      <c r="F161" s="143">
        <f t="shared" si="54"/>
        <v>764.36999999999989</v>
      </c>
      <c r="G161" s="144">
        <v>1276.7000000000003</v>
      </c>
      <c r="H161" s="91">
        <f t="shared" si="55"/>
        <v>59.870760554554693</v>
      </c>
      <c r="I161" s="143">
        <v>893.69000000000017</v>
      </c>
      <c r="J161" s="145">
        <f t="shared" si="56"/>
        <v>129.32000000000028</v>
      </c>
      <c r="N161" s="167"/>
      <c r="O161" s="170"/>
      <c r="P161" s="142">
        <v>16</v>
      </c>
      <c r="Q161" s="69">
        <v>1512.1</v>
      </c>
      <c r="R161" s="143">
        <v>2257.62</v>
      </c>
      <c r="S161" s="143">
        <f t="shared" si="59"/>
        <v>745.52</v>
      </c>
      <c r="T161" s="144">
        <v>1276.7000000000003</v>
      </c>
      <c r="U161" s="91">
        <f t="shared" si="57"/>
        <v>58.39429779901306</v>
      </c>
      <c r="V161" s="143">
        <v>893.69000000000017</v>
      </c>
      <c r="W161" s="145">
        <f t="shared" si="58"/>
        <v>148.17000000000019</v>
      </c>
    </row>
    <row r="162" spans="1:23" x14ac:dyDescent="0.25">
      <c r="A162" s="171">
        <v>0.65347222222222223</v>
      </c>
      <c r="B162" s="174" t="s">
        <v>122</v>
      </c>
      <c r="C162" s="147">
        <v>1</v>
      </c>
      <c r="D162" s="35">
        <v>1603.6</v>
      </c>
      <c r="E162" s="148">
        <v>2346.83</v>
      </c>
      <c r="F162" s="148">
        <f>E162- D162</f>
        <v>743.23</v>
      </c>
      <c r="G162" s="149">
        <v>1316.3000000000002</v>
      </c>
      <c r="H162" s="89">
        <f>(F162/$G162)*100</f>
        <v>56.463572134011997</v>
      </c>
      <c r="I162" s="148">
        <v>921.4100000000002</v>
      </c>
      <c r="J162" s="150">
        <f>I162-F162</f>
        <v>178.18000000000018</v>
      </c>
      <c r="N162" s="171">
        <v>0.6381944444444444</v>
      </c>
      <c r="O162" s="174" t="s">
        <v>122</v>
      </c>
      <c r="P162" s="147">
        <v>1</v>
      </c>
      <c r="Q162" s="35">
        <v>1603.6</v>
      </c>
      <c r="R162" s="148">
        <v>2332.42</v>
      </c>
      <c r="S162" s="148">
        <f>R162- Q162</f>
        <v>728.82000000000016</v>
      </c>
      <c r="T162" s="149">
        <v>1316.3000000000002</v>
      </c>
      <c r="U162" s="89">
        <f>(S162/$G162)*100</f>
        <v>55.368836891286186</v>
      </c>
      <c r="V162" s="148">
        <v>921.4100000000002</v>
      </c>
      <c r="W162" s="150">
        <f>V162-S162</f>
        <v>192.59000000000003</v>
      </c>
    </row>
    <row r="163" spans="1:23" x14ac:dyDescent="0.25">
      <c r="A163" s="172"/>
      <c r="B163" s="175"/>
      <c r="C163" s="151">
        <v>2</v>
      </c>
      <c r="D163" s="35">
        <v>1758.6</v>
      </c>
      <c r="E163" s="35">
        <v>2522.5100000000002</v>
      </c>
      <c r="F163" s="35">
        <f t="shared" ref="F163:F177" si="60">E163- D163</f>
        <v>763.91000000000031</v>
      </c>
      <c r="G163" s="152">
        <v>1342.6</v>
      </c>
      <c r="H163" s="90">
        <f t="shared" ref="H163:H177" si="61">(F163/$G163)*100</f>
        <v>56.89781021897813</v>
      </c>
      <c r="I163" s="35">
        <v>939.82</v>
      </c>
      <c r="J163" s="153">
        <f t="shared" ref="J163:J177" si="62">I163-F163</f>
        <v>175.90999999999974</v>
      </c>
      <c r="N163" s="172"/>
      <c r="O163" s="175"/>
      <c r="P163" s="151">
        <v>2</v>
      </c>
      <c r="Q163" s="35">
        <v>1758.6</v>
      </c>
      <c r="R163" s="35">
        <v>2504.1999999999998</v>
      </c>
      <c r="S163" s="35">
        <f t="shared" ref="S163:S177" si="63">R163- Q163</f>
        <v>745.59999999999991</v>
      </c>
      <c r="T163" s="152">
        <v>1342.6</v>
      </c>
      <c r="U163" s="90">
        <f t="shared" ref="U163:U177" si="64">(S163/$G163)*100</f>
        <v>55.5340384328914</v>
      </c>
      <c r="V163" s="35">
        <v>939.82</v>
      </c>
      <c r="W163" s="153">
        <f t="shared" ref="W163:W177" si="65">V163-S163</f>
        <v>194.22000000000014</v>
      </c>
    </row>
    <row r="164" spans="1:23" x14ac:dyDescent="0.25">
      <c r="A164" s="172"/>
      <c r="B164" s="175"/>
      <c r="C164" s="151">
        <v>3</v>
      </c>
      <c r="D164" s="35">
        <v>1573.8</v>
      </c>
      <c r="E164" s="35">
        <v>2330.54</v>
      </c>
      <c r="F164" s="35">
        <f t="shared" si="60"/>
        <v>756.74</v>
      </c>
      <c r="G164" s="152">
        <v>1413.6000000000001</v>
      </c>
      <c r="H164" s="90">
        <f t="shared" si="61"/>
        <v>53.532823995472548</v>
      </c>
      <c r="I164" s="35">
        <v>989.5200000000001</v>
      </c>
      <c r="J164" s="153">
        <f t="shared" si="62"/>
        <v>232.78000000000009</v>
      </c>
      <c r="N164" s="172"/>
      <c r="O164" s="175"/>
      <c r="P164" s="151">
        <v>3</v>
      </c>
      <c r="Q164" s="35">
        <v>1573.8</v>
      </c>
      <c r="R164" s="35">
        <v>2320.42</v>
      </c>
      <c r="S164" s="35">
        <f t="shared" si="63"/>
        <v>746.62000000000012</v>
      </c>
      <c r="T164" s="152">
        <v>1413.6000000000001</v>
      </c>
      <c r="U164" s="90">
        <f t="shared" si="64"/>
        <v>52.816921335597058</v>
      </c>
      <c r="V164" s="35">
        <v>989.5200000000001</v>
      </c>
      <c r="W164" s="153">
        <f t="shared" si="65"/>
        <v>242.89999999999998</v>
      </c>
    </row>
    <row r="165" spans="1:23" x14ac:dyDescent="0.25">
      <c r="A165" s="172"/>
      <c r="B165" s="175"/>
      <c r="C165" s="151">
        <v>4</v>
      </c>
      <c r="D165" s="35">
        <v>1558.8</v>
      </c>
      <c r="E165" s="35">
        <v>2448.42</v>
      </c>
      <c r="F165" s="35">
        <f t="shared" si="60"/>
        <v>889.62000000000012</v>
      </c>
      <c r="G165" s="152">
        <v>1556.6000000000001</v>
      </c>
      <c r="H165" s="90">
        <f t="shared" si="61"/>
        <v>57.151484003597588</v>
      </c>
      <c r="I165" s="35">
        <v>1089.6200000000001</v>
      </c>
      <c r="J165" s="153">
        <f t="shared" si="62"/>
        <v>200</v>
      </c>
      <c r="N165" s="172"/>
      <c r="O165" s="175"/>
      <c r="P165" s="151">
        <v>4</v>
      </c>
      <c r="Q165" s="35">
        <v>1558.8</v>
      </c>
      <c r="R165" s="35">
        <v>2443.84</v>
      </c>
      <c r="S165" s="35">
        <f t="shared" si="63"/>
        <v>885.04000000000019</v>
      </c>
      <c r="T165" s="152">
        <v>1556.6000000000001</v>
      </c>
      <c r="U165" s="90">
        <f t="shared" si="64"/>
        <v>56.857252987279971</v>
      </c>
      <c r="V165" s="35">
        <v>1089.6200000000001</v>
      </c>
      <c r="W165" s="153">
        <f t="shared" si="65"/>
        <v>204.57999999999993</v>
      </c>
    </row>
    <row r="166" spans="1:23" x14ac:dyDescent="0.25">
      <c r="A166" s="172"/>
      <c r="B166" s="175"/>
      <c r="C166" s="151">
        <v>5</v>
      </c>
      <c r="D166" s="35">
        <v>1747.9</v>
      </c>
      <c r="E166" s="35">
        <v>2659.74</v>
      </c>
      <c r="F166" s="35">
        <f t="shared" si="60"/>
        <v>911.83999999999969</v>
      </c>
      <c r="G166" s="152">
        <v>1545.4</v>
      </c>
      <c r="H166" s="90">
        <f t="shared" si="61"/>
        <v>59.00349424097319</v>
      </c>
      <c r="I166" s="35">
        <v>1081.78</v>
      </c>
      <c r="J166" s="153">
        <f t="shared" si="62"/>
        <v>169.94000000000028</v>
      </c>
      <c r="N166" s="172"/>
      <c r="O166" s="175"/>
      <c r="P166" s="151">
        <v>5</v>
      </c>
      <c r="Q166" s="35">
        <v>1747.9</v>
      </c>
      <c r="R166" s="35">
        <v>2649.78</v>
      </c>
      <c r="S166" s="35">
        <f t="shared" si="63"/>
        <v>901.88000000000011</v>
      </c>
      <c r="T166" s="152">
        <v>1545.4</v>
      </c>
      <c r="U166" s="90">
        <f t="shared" si="64"/>
        <v>58.359000905914328</v>
      </c>
      <c r="V166" s="35">
        <v>1081.78</v>
      </c>
      <c r="W166" s="153">
        <f t="shared" si="65"/>
        <v>179.89999999999986</v>
      </c>
    </row>
    <row r="167" spans="1:23" x14ac:dyDescent="0.25">
      <c r="A167" s="172"/>
      <c r="B167" s="175"/>
      <c r="C167" s="151">
        <v>6</v>
      </c>
      <c r="D167" s="35">
        <v>1789</v>
      </c>
      <c r="E167" s="35">
        <v>2584.5700000000002</v>
      </c>
      <c r="F167" s="35">
        <f t="shared" si="60"/>
        <v>795.57000000000016</v>
      </c>
      <c r="G167" s="152">
        <v>1440.1999999999998</v>
      </c>
      <c r="H167" s="90">
        <f t="shared" si="61"/>
        <v>55.240244410498562</v>
      </c>
      <c r="I167" s="35">
        <v>1008.1399999999999</v>
      </c>
      <c r="J167" s="153">
        <f t="shared" si="62"/>
        <v>212.56999999999971</v>
      </c>
      <c r="N167" s="172"/>
      <c r="O167" s="175"/>
      <c r="P167" s="151">
        <v>6</v>
      </c>
      <c r="Q167" s="35">
        <v>1789</v>
      </c>
      <c r="R167" s="35">
        <v>2579.96</v>
      </c>
      <c r="S167" s="35">
        <f t="shared" si="63"/>
        <v>790.96</v>
      </c>
      <c r="T167" s="152">
        <v>1440.1999999999998</v>
      </c>
      <c r="U167" s="90">
        <f t="shared" si="64"/>
        <v>54.920149979169572</v>
      </c>
      <c r="V167" s="35">
        <v>1008.1399999999999</v>
      </c>
      <c r="W167" s="153">
        <f t="shared" si="65"/>
        <v>217.17999999999984</v>
      </c>
    </row>
    <row r="168" spans="1:23" x14ac:dyDescent="0.25">
      <c r="A168" s="172"/>
      <c r="B168" s="175"/>
      <c r="C168" s="151">
        <v>7</v>
      </c>
      <c r="D168" s="35">
        <v>1565.53</v>
      </c>
      <c r="E168" s="35">
        <v>2270.23</v>
      </c>
      <c r="F168" s="35">
        <f t="shared" si="60"/>
        <v>704.7</v>
      </c>
      <c r="G168" s="152">
        <v>1343.2700000000002</v>
      </c>
      <c r="H168" s="90">
        <f t="shared" si="61"/>
        <v>52.461530444363383</v>
      </c>
      <c r="I168" s="35">
        <v>940.2890000000001</v>
      </c>
      <c r="J168" s="153">
        <f t="shared" si="62"/>
        <v>235.58900000000006</v>
      </c>
      <c r="N168" s="172"/>
      <c r="O168" s="175"/>
      <c r="P168" s="151">
        <v>7</v>
      </c>
      <c r="Q168" s="35">
        <v>1565.53</v>
      </c>
      <c r="R168" s="35">
        <v>2255.23</v>
      </c>
      <c r="S168" s="35">
        <f t="shared" si="63"/>
        <v>689.7</v>
      </c>
      <c r="T168" s="152">
        <v>1343.2700000000002</v>
      </c>
      <c r="U168" s="90">
        <f t="shared" si="64"/>
        <v>51.344852486841809</v>
      </c>
      <c r="V168" s="35">
        <v>940.2890000000001</v>
      </c>
      <c r="W168" s="153">
        <f t="shared" si="65"/>
        <v>250.58900000000006</v>
      </c>
    </row>
    <row r="169" spans="1:23" x14ac:dyDescent="0.25">
      <c r="A169" s="172"/>
      <c r="B169" s="175"/>
      <c r="C169" s="151">
        <v>8</v>
      </c>
      <c r="D169" s="35">
        <v>1607.4</v>
      </c>
      <c r="E169" s="35">
        <v>2348.44</v>
      </c>
      <c r="F169" s="35">
        <f t="shared" si="60"/>
        <v>741.04</v>
      </c>
      <c r="G169" s="152">
        <v>1348.7999999999997</v>
      </c>
      <c r="H169" s="90">
        <f t="shared" si="61"/>
        <v>54.940688018979841</v>
      </c>
      <c r="I169" s="35">
        <v>944.15999999999985</v>
      </c>
      <c r="J169" s="153">
        <f t="shared" si="62"/>
        <v>203.11999999999989</v>
      </c>
      <c r="N169" s="172"/>
      <c r="O169" s="175"/>
      <c r="P169" s="151">
        <v>8</v>
      </c>
      <c r="Q169" s="35">
        <v>1607.4</v>
      </c>
      <c r="R169" s="35">
        <v>2324.79</v>
      </c>
      <c r="S169" s="35">
        <f t="shared" si="63"/>
        <v>717.38999999999987</v>
      </c>
      <c r="T169" s="152">
        <v>1348.7999999999997</v>
      </c>
      <c r="U169" s="90">
        <f t="shared" si="64"/>
        <v>53.187277580071182</v>
      </c>
      <c r="V169" s="35">
        <v>944.15999999999985</v>
      </c>
      <c r="W169" s="153">
        <f t="shared" si="65"/>
        <v>226.76999999999998</v>
      </c>
    </row>
    <row r="170" spans="1:23" x14ac:dyDescent="0.25">
      <c r="A170" s="172"/>
      <c r="B170" s="175"/>
      <c r="C170" s="151">
        <v>9</v>
      </c>
      <c r="D170" s="35">
        <v>1555.9</v>
      </c>
      <c r="E170" s="35">
        <v>2340.16</v>
      </c>
      <c r="F170" s="35">
        <f t="shared" si="60"/>
        <v>784.25999999999976</v>
      </c>
      <c r="G170" s="152">
        <v>1360.4</v>
      </c>
      <c r="H170" s="90">
        <f t="shared" si="61"/>
        <v>57.649220817406622</v>
      </c>
      <c r="I170" s="35">
        <v>952.28</v>
      </c>
      <c r="J170" s="153">
        <f t="shared" si="62"/>
        <v>168.02000000000021</v>
      </c>
      <c r="N170" s="172"/>
      <c r="O170" s="175"/>
      <c r="P170" s="151">
        <v>9</v>
      </c>
      <c r="Q170" s="35">
        <v>1555.9</v>
      </c>
      <c r="R170" s="35">
        <v>2321.1</v>
      </c>
      <c r="S170" s="35">
        <f t="shared" si="63"/>
        <v>765.19999999999982</v>
      </c>
      <c r="T170" s="152">
        <v>1360.4</v>
      </c>
      <c r="U170" s="90">
        <f t="shared" si="64"/>
        <v>56.248162305204332</v>
      </c>
      <c r="V170" s="35">
        <v>952.28</v>
      </c>
      <c r="W170" s="153">
        <f t="shared" si="65"/>
        <v>187.08000000000015</v>
      </c>
    </row>
    <row r="171" spans="1:23" x14ac:dyDescent="0.25">
      <c r="A171" s="172"/>
      <c r="B171" s="175"/>
      <c r="C171" s="151">
        <v>10</v>
      </c>
      <c r="D171" s="35">
        <v>1625.9</v>
      </c>
      <c r="E171" s="35">
        <v>2349.15</v>
      </c>
      <c r="F171" s="35">
        <f t="shared" si="60"/>
        <v>723.25</v>
      </c>
      <c r="G171" s="152">
        <v>1266.6999999999998</v>
      </c>
      <c r="H171" s="90">
        <f t="shared" si="61"/>
        <v>57.097181653114404</v>
      </c>
      <c r="I171" s="35">
        <v>886.68999999999983</v>
      </c>
      <c r="J171" s="153">
        <f t="shared" si="62"/>
        <v>163.43999999999983</v>
      </c>
      <c r="N171" s="172"/>
      <c r="O171" s="175"/>
      <c r="P171" s="151">
        <v>10</v>
      </c>
      <c r="Q171" s="35">
        <v>1625.9</v>
      </c>
      <c r="R171" s="35">
        <v>2330.88</v>
      </c>
      <c r="S171" s="35">
        <f t="shared" si="63"/>
        <v>704.98</v>
      </c>
      <c r="T171" s="152">
        <v>1266.6999999999998</v>
      </c>
      <c r="U171" s="90">
        <f t="shared" si="64"/>
        <v>55.654851188126642</v>
      </c>
      <c r="V171" s="35">
        <v>886.68999999999983</v>
      </c>
      <c r="W171" s="153">
        <f t="shared" si="65"/>
        <v>181.70999999999981</v>
      </c>
    </row>
    <row r="172" spans="1:23" x14ac:dyDescent="0.25">
      <c r="A172" s="172"/>
      <c r="B172" s="175"/>
      <c r="C172" s="151">
        <v>11</v>
      </c>
      <c r="D172" s="35">
        <v>1542.1</v>
      </c>
      <c r="E172" s="35">
        <v>2280.7199999999998</v>
      </c>
      <c r="F172" s="35">
        <f t="shared" si="60"/>
        <v>738.61999999999989</v>
      </c>
      <c r="G172" s="152">
        <v>1390.9</v>
      </c>
      <c r="H172" s="90">
        <f t="shared" si="61"/>
        <v>53.10374577611617</v>
      </c>
      <c r="I172" s="35">
        <v>973.63</v>
      </c>
      <c r="J172" s="153">
        <f t="shared" si="62"/>
        <v>235.0100000000001</v>
      </c>
      <c r="N172" s="172"/>
      <c r="O172" s="175"/>
      <c r="P172" s="151">
        <v>11</v>
      </c>
      <c r="Q172" s="35">
        <v>1542.1</v>
      </c>
      <c r="R172" s="35">
        <v>2274.84</v>
      </c>
      <c r="S172" s="35">
        <f t="shared" si="63"/>
        <v>732.74000000000024</v>
      </c>
      <c r="T172" s="152">
        <v>1390.9</v>
      </c>
      <c r="U172" s="90">
        <f t="shared" si="64"/>
        <v>52.68099791501907</v>
      </c>
      <c r="V172" s="35">
        <v>973.63</v>
      </c>
      <c r="W172" s="153">
        <f t="shared" si="65"/>
        <v>240.88999999999976</v>
      </c>
    </row>
    <row r="173" spans="1:23" x14ac:dyDescent="0.25">
      <c r="A173" s="172"/>
      <c r="B173" s="175"/>
      <c r="C173" s="151">
        <v>12</v>
      </c>
      <c r="D173" s="35">
        <v>1487.3</v>
      </c>
      <c r="E173" s="35">
        <v>2205.98</v>
      </c>
      <c r="F173" s="35">
        <f t="shared" si="60"/>
        <v>718.68000000000006</v>
      </c>
      <c r="G173" s="152">
        <v>1282.6000000000001</v>
      </c>
      <c r="H173" s="90">
        <f t="shared" si="61"/>
        <v>56.033057851239661</v>
      </c>
      <c r="I173" s="35">
        <v>897.82000000000016</v>
      </c>
      <c r="J173" s="153">
        <f t="shared" si="62"/>
        <v>179.1400000000001</v>
      </c>
      <c r="N173" s="172"/>
      <c r="O173" s="175"/>
      <c r="P173" s="151">
        <v>12</v>
      </c>
      <c r="Q173" s="35">
        <v>1487.3</v>
      </c>
      <c r="R173" s="35">
        <v>2102.09</v>
      </c>
      <c r="S173" s="35">
        <f t="shared" si="63"/>
        <v>614.79000000000019</v>
      </c>
      <c r="T173" s="152">
        <v>1282.6000000000001</v>
      </c>
      <c r="U173" s="90">
        <f t="shared" si="64"/>
        <v>47.933104631217851</v>
      </c>
      <c r="V173" s="35">
        <v>897.82000000000016</v>
      </c>
      <c r="W173" s="153">
        <f t="shared" si="65"/>
        <v>283.02999999999997</v>
      </c>
    </row>
    <row r="174" spans="1:23" x14ac:dyDescent="0.25">
      <c r="A174" s="172"/>
      <c r="B174" s="175"/>
      <c r="C174" s="151">
        <v>13</v>
      </c>
      <c r="D174" s="35">
        <v>1567.2</v>
      </c>
      <c r="E174" s="35">
        <v>2222.66</v>
      </c>
      <c r="F174" s="35">
        <f t="shared" si="60"/>
        <v>655.45999999999981</v>
      </c>
      <c r="G174" s="152">
        <v>1252.1000000000001</v>
      </c>
      <c r="H174" s="90">
        <f t="shared" si="61"/>
        <v>52.348853925405301</v>
      </c>
      <c r="I174" s="35">
        <v>876.47000000000014</v>
      </c>
      <c r="J174" s="153">
        <f t="shared" si="62"/>
        <v>221.01000000000033</v>
      </c>
      <c r="N174" s="172"/>
      <c r="O174" s="175"/>
      <c r="P174" s="151">
        <v>13</v>
      </c>
      <c r="Q174" s="35">
        <v>1567.2</v>
      </c>
      <c r="R174" s="35">
        <v>2253.3200000000002</v>
      </c>
      <c r="S174" s="35">
        <f t="shared" si="63"/>
        <v>686.12000000000012</v>
      </c>
      <c r="T174" s="152">
        <v>1252.1000000000001</v>
      </c>
      <c r="U174" s="90">
        <f t="shared" si="64"/>
        <v>54.797540132577268</v>
      </c>
      <c r="V174" s="35">
        <v>876.47000000000014</v>
      </c>
      <c r="W174" s="153">
        <f t="shared" si="65"/>
        <v>190.35000000000002</v>
      </c>
    </row>
    <row r="175" spans="1:23" x14ac:dyDescent="0.25">
      <c r="A175" s="172"/>
      <c r="B175" s="175"/>
      <c r="C175" s="151">
        <v>14</v>
      </c>
      <c r="D175" s="35">
        <v>1704.9</v>
      </c>
      <c r="E175" s="35">
        <v>2411.12</v>
      </c>
      <c r="F175" s="35">
        <f t="shared" si="60"/>
        <v>706.2199999999998</v>
      </c>
      <c r="G175" s="152">
        <v>1271.7999999999997</v>
      </c>
      <c r="H175" s="90">
        <f t="shared" si="61"/>
        <v>55.529171253341715</v>
      </c>
      <c r="I175" s="35">
        <v>890.25999999999988</v>
      </c>
      <c r="J175" s="153">
        <f t="shared" si="62"/>
        <v>184.04000000000008</v>
      </c>
      <c r="N175" s="172"/>
      <c r="O175" s="175"/>
      <c r="P175" s="151">
        <v>14</v>
      </c>
      <c r="Q175" s="35">
        <v>1704.9</v>
      </c>
      <c r="R175" s="35">
        <v>2402.06</v>
      </c>
      <c r="S175" s="35">
        <f t="shared" si="63"/>
        <v>697.15999999999985</v>
      </c>
      <c r="T175" s="152">
        <v>1271.7999999999997</v>
      </c>
      <c r="U175" s="90">
        <f t="shared" si="64"/>
        <v>54.816795093568174</v>
      </c>
      <c r="V175" s="35">
        <v>890.25999999999988</v>
      </c>
      <c r="W175" s="153">
        <f t="shared" si="65"/>
        <v>193.10000000000002</v>
      </c>
    </row>
    <row r="176" spans="1:23" x14ac:dyDescent="0.25">
      <c r="A176" s="172"/>
      <c r="B176" s="175"/>
      <c r="C176" s="151">
        <v>15</v>
      </c>
      <c r="D176" s="35">
        <v>1558.2</v>
      </c>
      <c r="E176" s="35">
        <v>2223.52</v>
      </c>
      <c r="F176" s="35">
        <f t="shared" si="60"/>
        <v>665.31999999999994</v>
      </c>
      <c r="G176" s="152">
        <v>1187.2</v>
      </c>
      <c r="H176" s="90">
        <f t="shared" si="61"/>
        <v>56.041105121293789</v>
      </c>
      <c r="I176" s="35">
        <v>831.04</v>
      </c>
      <c r="J176" s="153">
        <f t="shared" si="62"/>
        <v>165.72000000000003</v>
      </c>
      <c r="N176" s="172"/>
      <c r="O176" s="175"/>
      <c r="P176" s="151">
        <v>15</v>
      </c>
      <c r="Q176" s="35">
        <v>1558.2</v>
      </c>
      <c r="R176" s="35">
        <v>2203.9699999999998</v>
      </c>
      <c r="S176" s="35">
        <f t="shared" si="63"/>
        <v>645.76999999999975</v>
      </c>
      <c r="T176" s="152">
        <v>1187.2</v>
      </c>
      <c r="U176" s="90">
        <f t="shared" si="64"/>
        <v>54.39437331536385</v>
      </c>
      <c r="V176" s="35">
        <v>831.04</v>
      </c>
      <c r="W176" s="153">
        <f t="shared" si="65"/>
        <v>185.27000000000021</v>
      </c>
    </row>
    <row r="177" spans="1:23" x14ac:dyDescent="0.25">
      <c r="A177" s="173"/>
      <c r="B177" s="176"/>
      <c r="C177" s="154">
        <v>16</v>
      </c>
      <c r="D177" s="71">
        <v>1512.1</v>
      </c>
      <c r="E177" s="155">
        <v>2258.3000000000002</v>
      </c>
      <c r="F177" s="155">
        <f t="shared" si="60"/>
        <v>746.20000000000027</v>
      </c>
      <c r="G177" s="156">
        <v>1276.7000000000003</v>
      </c>
      <c r="H177" s="91">
        <f t="shared" si="61"/>
        <v>58.447560115923878</v>
      </c>
      <c r="I177" s="155">
        <v>893.69000000000017</v>
      </c>
      <c r="J177" s="157">
        <f t="shared" si="62"/>
        <v>147.4899999999999</v>
      </c>
      <c r="N177" s="173"/>
      <c r="O177" s="176"/>
      <c r="P177" s="154">
        <v>16</v>
      </c>
      <c r="Q177" s="71">
        <v>1512.1</v>
      </c>
      <c r="R177" s="155">
        <v>2242.7399999999998</v>
      </c>
      <c r="S177" s="155">
        <f t="shared" si="63"/>
        <v>730.63999999999987</v>
      </c>
      <c r="T177" s="156">
        <v>1276.7000000000003</v>
      </c>
      <c r="U177" s="91">
        <f t="shared" si="64"/>
        <v>57.228792981906452</v>
      </c>
      <c r="V177" s="155">
        <v>893.69000000000017</v>
      </c>
      <c r="W177" s="157">
        <f t="shared" si="65"/>
        <v>163.0500000000003</v>
      </c>
    </row>
    <row r="178" spans="1:23" x14ac:dyDescent="0.25">
      <c r="A178" s="171">
        <v>0.67986111111111114</v>
      </c>
      <c r="B178" s="174" t="s">
        <v>123</v>
      </c>
      <c r="C178" s="147">
        <v>1</v>
      </c>
      <c r="D178" s="35">
        <v>1603.6</v>
      </c>
      <c r="E178" s="148">
        <v>2354.23</v>
      </c>
      <c r="F178" s="148">
        <f>E178- D178</f>
        <v>750.63000000000011</v>
      </c>
      <c r="G178" s="149">
        <v>1316.3000000000002</v>
      </c>
      <c r="H178" s="89">
        <f>(F178/$G178)*100</f>
        <v>57.025754007445109</v>
      </c>
      <c r="I178" s="148">
        <v>921.4100000000002</v>
      </c>
      <c r="J178" s="150">
        <f>I178-F178</f>
        <v>170.78000000000009</v>
      </c>
      <c r="N178" s="171"/>
      <c r="O178" s="174" t="s">
        <v>123</v>
      </c>
      <c r="P178" s="147">
        <v>1</v>
      </c>
      <c r="Q178" s="35">
        <v>1603.6</v>
      </c>
      <c r="R178" s="148">
        <v>2310.4699999999998</v>
      </c>
      <c r="S178" s="148">
        <f>R178- Q178</f>
        <v>706.86999999999989</v>
      </c>
      <c r="T178" s="149">
        <v>1316.3000000000002</v>
      </c>
      <c r="U178" s="89">
        <f>(S178/$G178)*100</f>
        <v>53.701283901846061</v>
      </c>
      <c r="V178" s="148">
        <v>921.4100000000002</v>
      </c>
      <c r="W178" s="150">
        <f>V178-S178</f>
        <v>214.5400000000003</v>
      </c>
    </row>
    <row r="179" spans="1:23" x14ac:dyDescent="0.25">
      <c r="A179" s="172"/>
      <c r="B179" s="175"/>
      <c r="C179" s="151">
        <v>2</v>
      </c>
      <c r="D179" s="35">
        <v>1758.6</v>
      </c>
      <c r="E179" s="35">
        <v>2505.29</v>
      </c>
      <c r="F179" s="35">
        <f t="shared" ref="F179:F193" si="66">E179- D179</f>
        <v>746.69</v>
      </c>
      <c r="G179" s="152">
        <v>1342.6</v>
      </c>
      <c r="H179" s="90">
        <f t="shared" ref="H179:H193" si="67">(F179/$G179)*100</f>
        <v>55.615224191866531</v>
      </c>
      <c r="I179" s="35">
        <v>939.82</v>
      </c>
      <c r="J179" s="153">
        <f t="shared" ref="J179:J193" si="68">I179-F179</f>
        <v>193.13</v>
      </c>
      <c r="N179" s="172"/>
      <c r="O179" s="175"/>
      <c r="P179" s="151">
        <v>2</v>
      </c>
      <c r="Q179" s="35">
        <v>1758.6</v>
      </c>
      <c r="R179" s="35">
        <v>2485.12</v>
      </c>
      <c r="S179" s="35">
        <f t="shared" ref="S179:S193" si="69">R179- Q179</f>
        <v>726.52</v>
      </c>
      <c r="T179" s="152">
        <v>1342.6</v>
      </c>
      <c r="U179" s="90">
        <f t="shared" ref="U179:U193" si="70">(S179/$G179)*100</f>
        <v>54.112915239088345</v>
      </c>
      <c r="V179" s="35">
        <v>939.82</v>
      </c>
      <c r="W179" s="153">
        <f t="shared" ref="W179:W193" si="71">V179-S179</f>
        <v>213.30000000000007</v>
      </c>
    </row>
    <row r="180" spans="1:23" x14ac:dyDescent="0.25">
      <c r="A180" s="172"/>
      <c r="B180" s="175"/>
      <c r="C180" s="151">
        <v>3</v>
      </c>
      <c r="D180" s="35">
        <v>1573.8</v>
      </c>
      <c r="E180" s="35">
        <v>2313.2800000000002</v>
      </c>
      <c r="F180" s="35">
        <f t="shared" si="66"/>
        <v>739.48000000000025</v>
      </c>
      <c r="G180" s="152">
        <v>1413.6000000000001</v>
      </c>
      <c r="H180" s="90">
        <f t="shared" si="67"/>
        <v>52.311827956989255</v>
      </c>
      <c r="I180" s="35">
        <v>989.5200000000001</v>
      </c>
      <c r="J180" s="153">
        <f t="shared" si="68"/>
        <v>250.03999999999985</v>
      </c>
      <c r="N180" s="172"/>
      <c r="O180" s="175"/>
      <c r="P180" s="151">
        <v>3</v>
      </c>
      <c r="Q180" s="35">
        <v>1573.8</v>
      </c>
      <c r="R180" s="35">
        <v>2303.19</v>
      </c>
      <c r="S180" s="35">
        <f t="shared" si="69"/>
        <v>729.3900000000001</v>
      </c>
      <c r="T180" s="152">
        <v>1413.6000000000001</v>
      </c>
      <c r="U180" s="90">
        <f t="shared" si="70"/>
        <v>51.598047538200341</v>
      </c>
      <c r="V180" s="35">
        <v>989.5200000000001</v>
      </c>
      <c r="W180" s="153">
        <f t="shared" si="71"/>
        <v>260.13</v>
      </c>
    </row>
    <row r="181" spans="1:23" x14ac:dyDescent="0.25">
      <c r="A181" s="172"/>
      <c r="B181" s="175"/>
      <c r="C181" s="151">
        <v>4</v>
      </c>
      <c r="D181" s="35">
        <v>1558.8</v>
      </c>
      <c r="E181" s="35">
        <v>2430.17</v>
      </c>
      <c r="F181" s="35">
        <f t="shared" si="66"/>
        <v>871.37000000000012</v>
      </c>
      <c r="G181" s="152">
        <v>1556.6000000000001</v>
      </c>
      <c r="H181" s="90">
        <f t="shared" si="67"/>
        <v>55.979056918925863</v>
      </c>
      <c r="I181" s="35">
        <v>1089.6200000000001</v>
      </c>
      <c r="J181" s="153">
        <f t="shared" si="68"/>
        <v>218.25</v>
      </c>
      <c r="N181" s="172"/>
      <c r="O181" s="175"/>
      <c r="P181" s="151">
        <v>4</v>
      </c>
      <c r="Q181" s="35">
        <v>1558.8</v>
      </c>
      <c r="R181" s="35">
        <v>2424.64</v>
      </c>
      <c r="S181" s="35">
        <f t="shared" si="69"/>
        <v>865.83999999999992</v>
      </c>
      <c r="T181" s="152">
        <v>1556.6000000000001</v>
      </c>
      <c r="U181" s="90">
        <f t="shared" si="70"/>
        <v>55.623795451625327</v>
      </c>
      <c r="V181" s="35">
        <v>1089.6200000000001</v>
      </c>
      <c r="W181" s="153">
        <f t="shared" si="71"/>
        <v>223.7800000000002</v>
      </c>
    </row>
    <row r="182" spans="1:23" x14ac:dyDescent="0.25">
      <c r="A182" s="172"/>
      <c r="B182" s="175"/>
      <c r="C182" s="151">
        <v>5</v>
      </c>
      <c r="D182" s="35">
        <v>1747.9</v>
      </c>
      <c r="E182" s="35">
        <v>2643.93</v>
      </c>
      <c r="F182" s="35">
        <f t="shared" si="66"/>
        <v>896.02999999999975</v>
      </c>
      <c r="G182" s="152">
        <v>1545.4</v>
      </c>
      <c r="H182" s="90">
        <f t="shared" si="67"/>
        <v>57.98045813381647</v>
      </c>
      <c r="I182" s="35">
        <v>1081.78</v>
      </c>
      <c r="J182" s="153">
        <f t="shared" si="68"/>
        <v>185.75000000000023</v>
      </c>
      <c r="N182" s="172"/>
      <c r="O182" s="175"/>
      <c r="P182" s="151">
        <v>5</v>
      </c>
      <c r="Q182" s="35">
        <v>1747.9</v>
      </c>
      <c r="R182" s="35">
        <v>2634.56</v>
      </c>
      <c r="S182" s="35">
        <f t="shared" si="69"/>
        <v>886.65999999999985</v>
      </c>
      <c r="T182" s="152">
        <v>1545.4</v>
      </c>
      <c r="U182" s="90">
        <f t="shared" si="70"/>
        <v>57.374142616798231</v>
      </c>
      <c r="V182" s="35">
        <v>1081.78</v>
      </c>
      <c r="W182" s="153">
        <f t="shared" si="71"/>
        <v>195.12000000000012</v>
      </c>
    </row>
    <row r="183" spans="1:23" x14ac:dyDescent="0.25">
      <c r="A183" s="172"/>
      <c r="B183" s="175"/>
      <c r="C183" s="151">
        <v>6</v>
      </c>
      <c r="D183" s="35">
        <v>1789</v>
      </c>
      <c r="E183" s="35">
        <v>2570.7600000000002</v>
      </c>
      <c r="F183" s="35">
        <f t="shared" si="66"/>
        <v>781.76000000000022</v>
      </c>
      <c r="G183" s="152">
        <v>1440.1999999999998</v>
      </c>
      <c r="H183" s="90">
        <f t="shared" si="67"/>
        <v>54.281349812526059</v>
      </c>
      <c r="I183" s="35">
        <v>1008.1399999999999</v>
      </c>
      <c r="J183" s="153">
        <f t="shared" si="68"/>
        <v>226.37999999999965</v>
      </c>
      <c r="N183" s="172"/>
      <c r="O183" s="175"/>
      <c r="P183" s="151">
        <v>6</v>
      </c>
      <c r="Q183" s="35">
        <v>1789</v>
      </c>
      <c r="R183" s="35">
        <v>2566.92</v>
      </c>
      <c r="S183" s="35">
        <f t="shared" si="69"/>
        <v>777.92000000000007</v>
      </c>
      <c r="T183" s="152">
        <v>1440.1999999999998</v>
      </c>
      <c r="U183" s="90">
        <f t="shared" si="70"/>
        <v>54.014720177753105</v>
      </c>
      <c r="V183" s="35">
        <v>1008.1399999999999</v>
      </c>
      <c r="W183" s="153">
        <f t="shared" si="71"/>
        <v>230.2199999999998</v>
      </c>
    </row>
    <row r="184" spans="1:23" x14ac:dyDescent="0.25">
      <c r="A184" s="172"/>
      <c r="B184" s="175"/>
      <c r="C184" s="151">
        <v>7</v>
      </c>
      <c r="D184" s="35">
        <v>1565.53</v>
      </c>
      <c r="E184" s="35">
        <v>2255</v>
      </c>
      <c r="F184" s="35">
        <f t="shared" si="66"/>
        <v>689.47</v>
      </c>
      <c r="G184" s="152">
        <v>1343.2700000000002</v>
      </c>
      <c r="H184" s="90">
        <f t="shared" si="67"/>
        <v>51.327730091493137</v>
      </c>
      <c r="I184" s="35">
        <v>940.2890000000001</v>
      </c>
      <c r="J184" s="153">
        <f t="shared" si="68"/>
        <v>250.81900000000007</v>
      </c>
      <c r="N184" s="172"/>
      <c r="O184" s="175"/>
      <c r="P184" s="151">
        <v>7</v>
      </c>
      <c r="Q184" s="35">
        <v>1565.53</v>
      </c>
      <c r="R184" s="35">
        <v>2240.15</v>
      </c>
      <c r="S184" s="35">
        <f t="shared" si="69"/>
        <v>674.62000000000012</v>
      </c>
      <c r="T184" s="152">
        <v>1343.2700000000002</v>
      </c>
      <c r="U184" s="90">
        <f t="shared" si="70"/>
        <v>50.22221891354679</v>
      </c>
      <c r="V184" s="35">
        <v>940.2890000000001</v>
      </c>
      <c r="W184" s="153">
        <f t="shared" si="71"/>
        <v>265.66899999999998</v>
      </c>
    </row>
    <row r="185" spans="1:23" x14ac:dyDescent="0.25">
      <c r="A185" s="172"/>
      <c r="B185" s="175"/>
      <c r="C185" s="151">
        <v>8</v>
      </c>
      <c r="D185" s="35">
        <v>1607.4</v>
      </c>
      <c r="E185" s="35">
        <v>2330.31</v>
      </c>
      <c r="F185" s="35">
        <f t="shared" si="66"/>
        <v>722.90999999999985</v>
      </c>
      <c r="G185" s="152">
        <v>1348.7999999999997</v>
      </c>
      <c r="H185" s="90">
        <f t="shared" si="67"/>
        <v>53.596530249110316</v>
      </c>
      <c r="I185" s="35">
        <v>944.15999999999985</v>
      </c>
      <c r="J185" s="153">
        <f t="shared" si="68"/>
        <v>221.25</v>
      </c>
      <c r="N185" s="172"/>
      <c r="O185" s="175"/>
      <c r="P185" s="151">
        <v>8</v>
      </c>
      <c r="Q185" s="35">
        <v>1607.4</v>
      </c>
      <c r="R185" s="35">
        <v>2308.4</v>
      </c>
      <c r="S185" s="35">
        <f t="shared" si="69"/>
        <v>701</v>
      </c>
      <c r="T185" s="152">
        <v>1348.7999999999997</v>
      </c>
      <c r="U185" s="90">
        <f t="shared" si="70"/>
        <v>51.972123368920528</v>
      </c>
      <c r="V185" s="35">
        <v>944.15999999999985</v>
      </c>
      <c r="W185" s="153">
        <f t="shared" si="71"/>
        <v>243.15999999999985</v>
      </c>
    </row>
    <row r="186" spans="1:23" x14ac:dyDescent="0.25">
      <c r="A186" s="172"/>
      <c r="B186" s="175"/>
      <c r="C186" s="151">
        <v>9</v>
      </c>
      <c r="D186" s="35">
        <v>1555.9</v>
      </c>
      <c r="E186" s="35">
        <v>2322.54</v>
      </c>
      <c r="F186" s="35">
        <f t="shared" si="66"/>
        <v>766.63999999999987</v>
      </c>
      <c r="G186" s="152">
        <v>1360.4</v>
      </c>
      <c r="H186" s="90">
        <f t="shared" si="67"/>
        <v>56.354013525433686</v>
      </c>
      <c r="I186" s="35">
        <v>952.28</v>
      </c>
      <c r="J186" s="153">
        <f t="shared" si="68"/>
        <v>185.6400000000001</v>
      </c>
      <c r="N186" s="172"/>
      <c r="O186" s="175"/>
      <c r="P186" s="151">
        <v>9</v>
      </c>
      <c r="Q186" s="35">
        <v>1555.9</v>
      </c>
      <c r="R186" s="35">
        <v>2303.7800000000002</v>
      </c>
      <c r="S186" s="35">
        <f t="shared" si="69"/>
        <v>747.88000000000011</v>
      </c>
      <c r="T186" s="152">
        <v>1360.4</v>
      </c>
      <c r="U186" s="90">
        <f t="shared" si="70"/>
        <v>54.97500735077918</v>
      </c>
      <c r="V186" s="35">
        <v>952.28</v>
      </c>
      <c r="W186" s="153">
        <f t="shared" si="71"/>
        <v>204.39999999999986</v>
      </c>
    </row>
    <row r="187" spans="1:23" x14ac:dyDescent="0.25">
      <c r="A187" s="172"/>
      <c r="B187" s="175"/>
      <c r="C187" s="151">
        <v>10</v>
      </c>
      <c r="D187" s="35">
        <v>1625.9</v>
      </c>
      <c r="E187" s="35">
        <v>2330.98</v>
      </c>
      <c r="F187" s="35">
        <f t="shared" si="66"/>
        <v>705.07999999999993</v>
      </c>
      <c r="G187" s="152">
        <v>1266.6999999999998</v>
      </c>
      <c r="H187" s="90">
        <f t="shared" si="67"/>
        <v>55.662745717217966</v>
      </c>
      <c r="I187" s="35">
        <v>886.68999999999983</v>
      </c>
      <c r="J187" s="153">
        <f t="shared" si="68"/>
        <v>181.6099999999999</v>
      </c>
      <c r="N187" s="172"/>
      <c r="O187" s="175"/>
      <c r="P187" s="151">
        <v>10</v>
      </c>
      <c r="Q187" s="35">
        <v>1625.9</v>
      </c>
      <c r="R187" s="35">
        <v>2312.73</v>
      </c>
      <c r="S187" s="35">
        <f t="shared" si="69"/>
        <v>686.82999999999993</v>
      </c>
      <c r="T187" s="152">
        <v>1266.6999999999998</v>
      </c>
      <c r="U187" s="90">
        <f t="shared" si="70"/>
        <v>54.221994158048467</v>
      </c>
      <c r="V187" s="35">
        <v>886.68999999999983</v>
      </c>
      <c r="W187" s="153">
        <f t="shared" si="71"/>
        <v>199.8599999999999</v>
      </c>
    </row>
    <row r="188" spans="1:23" x14ac:dyDescent="0.25">
      <c r="A188" s="172"/>
      <c r="B188" s="175"/>
      <c r="C188" s="151">
        <v>11</v>
      </c>
      <c r="D188" s="35">
        <v>1542.1</v>
      </c>
      <c r="E188" s="35">
        <v>2263.7800000000002</v>
      </c>
      <c r="F188" s="35">
        <f t="shared" si="66"/>
        <v>721.68000000000029</v>
      </c>
      <c r="G188" s="152">
        <v>1390.9</v>
      </c>
      <c r="H188" s="90">
        <f t="shared" si="67"/>
        <v>51.885829319145891</v>
      </c>
      <c r="I188" s="35">
        <v>973.63</v>
      </c>
      <c r="J188" s="153">
        <f t="shared" si="68"/>
        <v>251.9499999999997</v>
      </c>
      <c r="N188" s="172"/>
      <c r="O188" s="175"/>
      <c r="P188" s="151">
        <v>11</v>
      </c>
      <c r="Q188" s="35">
        <v>1542.1</v>
      </c>
      <c r="R188" s="35">
        <v>2257.65</v>
      </c>
      <c r="S188" s="35">
        <f t="shared" si="69"/>
        <v>715.55000000000018</v>
      </c>
      <c r="T188" s="152">
        <v>1390.9</v>
      </c>
      <c r="U188" s="90">
        <f t="shared" si="70"/>
        <v>51.445107484362651</v>
      </c>
      <c r="V188" s="35">
        <v>973.63</v>
      </c>
      <c r="W188" s="153">
        <f t="shared" si="71"/>
        <v>258.07999999999981</v>
      </c>
    </row>
    <row r="189" spans="1:23" x14ac:dyDescent="0.25">
      <c r="A189" s="172"/>
      <c r="B189" s="175"/>
      <c r="C189" s="151">
        <v>12</v>
      </c>
      <c r="D189" s="35">
        <v>1487.3</v>
      </c>
      <c r="E189" s="35">
        <v>2186.52</v>
      </c>
      <c r="F189" s="35">
        <f t="shared" si="66"/>
        <v>699.22</v>
      </c>
      <c r="G189" s="152">
        <v>1282.6000000000001</v>
      </c>
      <c r="H189" s="90">
        <f t="shared" si="67"/>
        <v>54.515827225947291</v>
      </c>
      <c r="I189" s="35">
        <v>897.82000000000016</v>
      </c>
      <c r="J189" s="153">
        <f t="shared" si="68"/>
        <v>198.60000000000014</v>
      </c>
      <c r="N189" s="172"/>
      <c r="O189" s="175"/>
      <c r="P189" s="151">
        <v>12</v>
      </c>
      <c r="Q189" s="35">
        <v>1487.3</v>
      </c>
      <c r="R189" s="35">
        <v>2094.02</v>
      </c>
      <c r="S189" s="35">
        <f t="shared" si="69"/>
        <v>606.72</v>
      </c>
      <c r="T189" s="152">
        <v>1282.6000000000001</v>
      </c>
      <c r="U189" s="90">
        <f t="shared" si="70"/>
        <v>47.30391392484016</v>
      </c>
      <c r="V189" s="35">
        <v>897.82000000000016</v>
      </c>
      <c r="W189" s="153">
        <f t="shared" si="71"/>
        <v>291.10000000000014</v>
      </c>
    </row>
    <row r="190" spans="1:23" x14ac:dyDescent="0.25">
      <c r="A190" s="172"/>
      <c r="B190" s="175"/>
      <c r="C190" s="151">
        <v>13</v>
      </c>
      <c r="D190" s="35">
        <v>1567.2</v>
      </c>
      <c r="E190" s="35">
        <v>2207.84</v>
      </c>
      <c r="F190" s="35">
        <f t="shared" si="66"/>
        <v>640.6400000000001</v>
      </c>
      <c r="G190" s="152">
        <v>1252.1000000000001</v>
      </c>
      <c r="H190" s="90">
        <f t="shared" si="67"/>
        <v>51.165242392780129</v>
      </c>
      <c r="I190" s="35">
        <v>876.47000000000014</v>
      </c>
      <c r="J190" s="153">
        <f t="shared" si="68"/>
        <v>235.83000000000004</v>
      </c>
      <c r="N190" s="172"/>
      <c r="O190" s="175"/>
      <c r="P190" s="151">
        <v>13</v>
      </c>
      <c r="Q190" s="35">
        <v>1567.2</v>
      </c>
      <c r="R190" s="35">
        <v>2230.02</v>
      </c>
      <c r="S190" s="35">
        <f t="shared" si="69"/>
        <v>662.81999999999994</v>
      </c>
      <c r="T190" s="152">
        <v>1252.1000000000001</v>
      </c>
      <c r="U190" s="90">
        <f t="shared" si="70"/>
        <v>52.936666400447244</v>
      </c>
      <c r="V190" s="35">
        <v>876.47000000000014</v>
      </c>
      <c r="W190" s="153">
        <f t="shared" si="71"/>
        <v>213.6500000000002</v>
      </c>
    </row>
    <row r="191" spans="1:23" x14ac:dyDescent="0.25">
      <c r="A191" s="172"/>
      <c r="B191" s="175"/>
      <c r="C191" s="151">
        <v>14</v>
      </c>
      <c r="D191" s="35">
        <v>1704.9</v>
      </c>
      <c r="E191" s="35">
        <v>2393.21</v>
      </c>
      <c r="F191" s="35">
        <f t="shared" si="66"/>
        <v>688.31</v>
      </c>
      <c r="G191" s="152">
        <v>1271.7999999999997</v>
      </c>
      <c r="H191" s="90">
        <f t="shared" si="67"/>
        <v>54.120930963988059</v>
      </c>
      <c r="I191" s="35">
        <v>890.25999999999988</v>
      </c>
      <c r="J191" s="153">
        <f t="shared" si="68"/>
        <v>201.94999999999993</v>
      </c>
      <c r="N191" s="172"/>
      <c r="O191" s="175"/>
      <c r="P191" s="151">
        <v>14</v>
      </c>
      <c r="Q191" s="35">
        <v>1704.9</v>
      </c>
      <c r="R191" s="35">
        <v>2381.5300000000002</v>
      </c>
      <c r="S191" s="35">
        <f t="shared" si="69"/>
        <v>676.63000000000011</v>
      </c>
      <c r="T191" s="152">
        <v>1271.7999999999997</v>
      </c>
      <c r="U191" s="90">
        <f t="shared" si="70"/>
        <v>53.202547570372715</v>
      </c>
      <c r="V191" s="35">
        <v>890.25999999999988</v>
      </c>
      <c r="W191" s="153">
        <f t="shared" si="71"/>
        <v>213.62999999999977</v>
      </c>
    </row>
    <row r="192" spans="1:23" x14ac:dyDescent="0.25">
      <c r="A192" s="172"/>
      <c r="B192" s="175"/>
      <c r="C192" s="151">
        <v>15</v>
      </c>
      <c r="D192" s="35">
        <v>1558.2</v>
      </c>
      <c r="E192" s="35">
        <v>2206.9499999999998</v>
      </c>
      <c r="F192" s="35">
        <f t="shared" si="66"/>
        <v>648.74999999999977</v>
      </c>
      <c r="G192" s="152">
        <v>1187.2</v>
      </c>
      <c r="H192" s="90">
        <f t="shared" si="67"/>
        <v>54.64538409703502</v>
      </c>
      <c r="I192" s="35">
        <v>831.04</v>
      </c>
      <c r="J192" s="153">
        <f t="shared" si="68"/>
        <v>182.29000000000019</v>
      </c>
      <c r="N192" s="172"/>
      <c r="O192" s="175"/>
      <c r="P192" s="151">
        <v>15</v>
      </c>
      <c r="Q192" s="35">
        <v>1558.2</v>
      </c>
      <c r="R192" s="35">
        <v>2186.15</v>
      </c>
      <c r="S192" s="35">
        <f t="shared" si="69"/>
        <v>627.95000000000005</v>
      </c>
      <c r="T192" s="152">
        <v>1187.2</v>
      </c>
      <c r="U192" s="90">
        <f t="shared" si="70"/>
        <v>52.893362533692724</v>
      </c>
      <c r="V192" s="35">
        <v>831.04</v>
      </c>
      <c r="W192" s="153">
        <f t="shared" si="71"/>
        <v>203.08999999999992</v>
      </c>
    </row>
    <row r="193" spans="1:23" x14ac:dyDescent="0.25">
      <c r="A193" s="173"/>
      <c r="B193" s="176"/>
      <c r="C193" s="154">
        <v>16</v>
      </c>
      <c r="D193" s="71">
        <v>1512.1</v>
      </c>
      <c r="E193" s="155">
        <v>2241.42</v>
      </c>
      <c r="F193" s="155">
        <f t="shared" si="66"/>
        <v>729.32000000000016</v>
      </c>
      <c r="G193" s="156">
        <v>1276.7000000000003</v>
      </c>
      <c r="H193" s="91">
        <f t="shared" si="67"/>
        <v>57.125401425550251</v>
      </c>
      <c r="I193" s="155">
        <v>893.69000000000017</v>
      </c>
      <c r="J193" s="157">
        <f t="shared" si="68"/>
        <v>164.37</v>
      </c>
      <c r="N193" s="173"/>
      <c r="O193" s="176"/>
      <c r="P193" s="154">
        <v>16</v>
      </c>
      <c r="Q193" s="71">
        <v>1512.1</v>
      </c>
      <c r="R193" s="155">
        <v>2224.0100000000002</v>
      </c>
      <c r="S193" s="155">
        <f t="shared" si="69"/>
        <v>711.91000000000031</v>
      </c>
      <c r="T193" s="156">
        <v>1276.7000000000003</v>
      </c>
      <c r="U193" s="91">
        <f t="shared" si="70"/>
        <v>55.761729458760875</v>
      </c>
      <c r="V193" s="155">
        <v>893.69000000000017</v>
      </c>
      <c r="W193" s="157">
        <f t="shared" si="71"/>
        <v>181.77999999999986</v>
      </c>
    </row>
  </sheetData>
  <mergeCells count="48">
    <mergeCell ref="A2:A17"/>
    <mergeCell ref="B2:B17"/>
    <mergeCell ref="A18:A33"/>
    <mergeCell ref="B18:B33"/>
    <mergeCell ref="A34:A49"/>
    <mergeCell ref="B34:B49"/>
    <mergeCell ref="A50:A65"/>
    <mergeCell ref="B50:B65"/>
    <mergeCell ref="A66:A81"/>
    <mergeCell ref="B66:B81"/>
    <mergeCell ref="A82:A97"/>
    <mergeCell ref="B82:B97"/>
    <mergeCell ref="A98:A113"/>
    <mergeCell ref="B98:B113"/>
    <mergeCell ref="A114:A129"/>
    <mergeCell ref="B114:B129"/>
    <mergeCell ref="A130:A145"/>
    <mergeCell ref="B130:B145"/>
    <mergeCell ref="A146:A161"/>
    <mergeCell ref="B146:B161"/>
    <mergeCell ref="A162:A177"/>
    <mergeCell ref="B162:B177"/>
    <mergeCell ref="A178:A193"/>
    <mergeCell ref="B178:B193"/>
    <mergeCell ref="N2:N17"/>
    <mergeCell ref="O2:O17"/>
    <mergeCell ref="N18:N33"/>
    <mergeCell ref="O18:O33"/>
    <mergeCell ref="N34:N49"/>
    <mergeCell ref="O34:O49"/>
    <mergeCell ref="N50:N65"/>
    <mergeCell ref="O50:O65"/>
    <mergeCell ref="N66:N81"/>
    <mergeCell ref="O66:O81"/>
    <mergeCell ref="N82:N97"/>
    <mergeCell ref="O82:O97"/>
    <mergeCell ref="N98:N113"/>
    <mergeCell ref="O98:O113"/>
    <mergeCell ref="N114:N129"/>
    <mergeCell ref="O114:O129"/>
    <mergeCell ref="N130:N145"/>
    <mergeCell ref="O130:O145"/>
    <mergeCell ref="N146:N161"/>
    <mergeCell ref="O146:O161"/>
    <mergeCell ref="N162:N177"/>
    <mergeCell ref="O162:O177"/>
    <mergeCell ref="N178:N193"/>
    <mergeCell ref="O178:O1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Experiment map</vt:lpstr>
      <vt:lpstr>Weights</vt:lpstr>
      <vt:lpstr>Irrigation</vt:lpstr>
      <vt:lpstr>Evaluation targets</vt:lpstr>
      <vt:lpstr>Tracking VPD</vt:lpstr>
      <vt:lpstr>Tracking 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Andrade</dc:creator>
  <cp:lastModifiedBy>Paula Andrade</cp:lastModifiedBy>
  <cp:lastPrinted>2024-09-18T13:14:26Z</cp:lastPrinted>
  <dcterms:created xsi:type="dcterms:W3CDTF">2024-09-17T17:02:48Z</dcterms:created>
  <dcterms:modified xsi:type="dcterms:W3CDTF">2024-10-31T21:13:46Z</dcterms:modified>
</cp:coreProperties>
</file>