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felli\Box\_Projects\Soybean-Transpiration-Efficiency\SC_vs_T\"/>
    </mc:Choice>
  </mc:AlternateContent>
  <xr:revisionPtr revIDLastSave="0" documentId="13_ncr:1_{2F6A269B-E0CD-4A24-9EFC-E12E98DF8449}" xr6:coauthVersionLast="47" xr6:coauthVersionMax="47" xr10:uidLastSave="{00000000-0000-0000-0000-000000000000}"/>
  <bookViews>
    <workbookView xWindow="-110" yWindow="-110" windowWidth="19420" windowHeight="11620" activeTab="2" xr2:uid="{866AF8EB-BC55-5B48-A54A-20BC17AF5219}"/>
  </bookViews>
  <sheets>
    <sheet name="dates" sheetId="2" r:id="rId1"/>
    <sheet name="Sheet1" sheetId="6" r:id="rId2"/>
    <sheet name="dates_ee" sheetId="4" r:id="rId3"/>
    <sheet name="genotypes" sheetId="1" r:id="rId4"/>
    <sheet name="dates (2)" sheetId="5" r:id="rId5"/>
  </sheets>
  <calcPr calcId="19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2" i="4"/>
  <c r="N71" i="5"/>
  <c r="J71" i="5"/>
  <c r="N70" i="5"/>
  <c r="J70" i="5"/>
  <c r="V69" i="5"/>
  <c r="R69" i="5"/>
  <c r="N69" i="5"/>
  <c r="J69" i="5"/>
  <c r="V68" i="5"/>
  <c r="R68" i="5"/>
  <c r="N68" i="5"/>
  <c r="J68" i="5"/>
  <c r="V67" i="5"/>
  <c r="R67" i="5"/>
  <c r="N67" i="5"/>
  <c r="J67" i="5"/>
  <c r="V66" i="5"/>
  <c r="R66" i="5"/>
  <c r="N66" i="5"/>
  <c r="J66" i="5"/>
  <c r="V64" i="5"/>
  <c r="R64" i="5"/>
  <c r="N64" i="5"/>
  <c r="J64" i="5"/>
  <c r="V63" i="5"/>
  <c r="R63" i="5"/>
  <c r="N63" i="5"/>
  <c r="J63" i="5"/>
  <c r="N62" i="5"/>
  <c r="J62" i="5"/>
  <c r="V60" i="5"/>
  <c r="R60" i="5"/>
  <c r="N60" i="5"/>
  <c r="J60" i="5"/>
  <c r="V59" i="5"/>
  <c r="R59" i="5"/>
  <c r="N59" i="5"/>
  <c r="J59" i="5"/>
  <c r="V58" i="5"/>
  <c r="R58" i="5"/>
  <c r="N58" i="5"/>
  <c r="J58" i="5"/>
  <c r="N56" i="5"/>
  <c r="J56" i="5"/>
  <c r="V54" i="5"/>
  <c r="R54" i="5"/>
  <c r="N54" i="5"/>
  <c r="J54" i="5"/>
  <c r="V53" i="5"/>
  <c r="R53" i="5"/>
  <c r="N53" i="5"/>
  <c r="J53" i="5"/>
  <c r="V51" i="5"/>
  <c r="R51" i="5"/>
  <c r="N51" i="5"/>
  <c r="J51" i="5"/>
  <c r="V50" i="5"/>
  <c r="R50" i="5"/>
  <c r="N50" i="5"/>
  <c r="J50" i="5"/>
  <c r="V49" i="5"/>
  <c r="R49" i="5"/>
  <c r="N49" i="5"/>
  <c r="J49" i="5"/>
  <c r="V48" i="5"/>
  <c r="R48" i="5"/>
  <c r="N48" i="5"/>
  <c r="J48" i="5"/>
  <c r="V47" i="5"/>
  <c r="R47" i="5"/>
  <c r="N47" i="5"/>
  <c r="J47" i="5"/>
  <c r="N42" i="5"/>
  <c r="J42" i="5"/>
  <c r="N41" i="5"/>
  <c r="J41" i="5"/>
  <c r="V40" i="5"/>
  <c r="R40" i="5"/>
  <c r="N40" i="5"/>
  <c r="J40" i="5"/>
  <c r="V39" i="5"/>
  <c r="R39" i="5"/>
  <c r="N39" i="5"/>
  <c r="J39" i="5"/>
  <c r="N35" i="5"/>
  <c r="J35" i="5"/>
  <c r="N34" i="5"/>
  <c r="J34" i="5"/>
  <c r="V33" i="5"/>
  <c r="R33" i="5"/>
  <c r="N33" i="5"/>
  <c r="J33" i="5"/>
  <c r="V32" i="5"/>
  <c r="R32" i="5"/>
  <c r="N32" i="5"/>
  <c r="J32" i="5"/>
  <c r="V31" i="5"/>
  <c r="R31" i="5"/>
  <c r="N31" i="5"/>
  <c r="J31" i="5"/>
  <c r="V30" i="5"/>
  <c r="R30" i="5"/>
  <c r="N30" i="5"/>
  <c r="J30" i="5"/>
  <c r="V28" i="5"/>
  <c r="R28" i="5"/>
  <c r="N28" i="5"/>
  <c r="J28" i="5"/>
  <c r="V27" i="5"/>
  <c r="R27" i="5"/>
  <c r="N27" i="5"/>
  <c r="J27" i="5"/>
  <c r="N26" i="5"/>
  <c r="J26" i="5"/>
  <c r="V24" i="5"/>
  <c r="R24" i="5"/>
  <c r="N24" i="5"/>
  <c r="J24" i="5"/>
  <c r="V23" i="5"/>
  <c r="R23" i="5"/>
  <c r="N23" i="5"/>
  <c r="J23" i="5"/>
  <c r="V22" i="5"/>
  <c r="R22" i="5"/>
  <c r="N22" i="5"/>
  <c r="J22" i="5"/>
  <c r="N20" i="5"/>
  <c r="J20" i="5"/>
  <c r="V18" i="5"/>
  <c r="R18" i="5"/>
  <c r="N18" i="5"/>
  <c r="J18" i="5"/>
  <c r="V17" i="5"/>
  <c r="R17" i="5"/>
  <c r="N17" i="5"/>
  <c r="J17" i="5"/>
  <c r="V15" i="5"/>
  <c r="R15" i="5"/>
  <c r="N15" i="5"/>
  <c r="J15" i="5"/>
  <c r="V14" i="5"/>
  <c r="R14" i="5"/>
  <c r="N14" i="5"/>
  <c r="J14" i="5"/>
  <c r="V13" i="5"/>
  <c r="R13" i="5"/>
  <c r="N13" i="5"/>
  <c r="J13" i="5"/>
  <c r="V12" i="5"/>
  <c r="R12" i="5"/>
  <c r="N12" i="5"/>
  <c r="J12" i="5"/>
  <c r="V11" i="5"/>
  <c r="R11" i="5"/>
  <c r="N11" i="5"/>
  <c r="J11" i="5"/>
  <c r="N6" i="5"/>
  <c r="J6" i="5"/>
  <c r="N5" i="5"/>
  <c r="J5" i="5"/>
  <c r="V4" i="5"/>
  <c r="R4" i="5"/>
  <c r="N4" i="5"/>
  <c r="J4" i="5"/>
  <c r="V3" i="5"/>
  <c r="R3" i="5"/>
  <c r="N3" i="5"/>
  <c r="J3" i="5"/>
  <c r="W4" i="2"/>
  <c r="W23" i="2"/>
  <c r="W24" i="2"/>
  <c r="W18" i="2"/>
  <c r="W15" i="2"/>
  <c r="W13" i="2"/>
  <c r="W14" i="2"/>
  <c r="W11" i="2"/>
  <c r="W28" i="2"/>
  <c r="W31" i="2"/>
  <c r="W32" i="2"/>
  <c r="W33" i="2"/>
  <c r="W40" i="2"/>
  <c r="W48" i="2"/>
  <c r="W49" i="2"/>
  <c r="W50" i="2"/>
  <c r="W51" i="2"/>
  <c r="W54" i="2"/>
  <c r="W59" i="2"/>
  <c r="W60" i="2"/>
  <c r="W64" i="2"/>
  <c r="W67" i="2"/>
  <c r="W68" i="2"/>
  <c r="W69" i="2"/>
  <c r="W66" i="2"/>
  <c r="W63" i="2"/>
  <c r="W58" i="2"/>
  <c r="W53" i="2"/>
  <c r="W47" i="2"/>
  <c r="W39" i="2"/>
  <c r="W30" i="2"/>
  <c r="W27" i="2"/>
  <c r="W22" i="2"/>
  <c r="W17" i="2"/>
  <c r="R75" i="5" l="1"/>
  <c r="J75" i="5"/>
  <c r="N75" i="5"/>
  <c r="V75" i="5"/>
  <c r="W12" i="2"/>
  <c r="W3" i="2"/>
  <c r="W75" i="2" s="1"/>
  <c r="R28" i="2"/>
  <c r="R31" i="2"/>
  <c r="R32" i="2"/>
  <c r="R33" i="2"/>
  <c r="R40" i="2"/>
  <c r="R48" i="2"/>
  <c r="R49" i="2"/>
  <c r="R50" i="2"/>
  <c r="R51" i="2"/>
  <c r="R54" i="2"/>
  <c r="R59" i="2"/>
  <c r="R60" i="2"/>
  <c r="R64" i="2"/>
  <c r="R67" i="2"/>
  <c r="R68" i="2"/>
  <c r="R69" i="2"/>
  <c r="R66" i="2"/>
  <c r="R63" i="2"/>
  <c r="R58" i="2"/>
  <c r="R53" i="2"/>
  <c r="R47" i="2"/>
  <c r="R39" i="2"/>
  <c r="R30" i="2"/>
  <c r="R27" i="2"/>
  <c r="R23" i="2"/>
  <c r="R24" i="2"/>
  <c r="R22" i="2"/>
  <c r="R18" i="2"/>
  <c r="R17" i="2"/>
  <c r="R12" i="2"/>
  <c r="R13" i="2"/>
  <c r="R14" i="2"/>
  <c r="R15" i="2"/>
  <c r="R11" i="2"/>
  <c r="R4" i="2"/>
  <c r="R3" i="2"/>
  <c r="N11" i="2"/>
  <c r="N12" i="2"/>
  <c r="N13" i="2"/>
  <c r="N14" i="2"/>
  <c r="N15" i="2"/>
  <c r="N17" i="2"/>
  <c r="N18" i="2"/>
  <c r="N20" i="2"/>
  <c r="N22" i="2"/>
  <c r="N23" i="2"/>
  <c r="N24" i="2"/>
  <c r="N26" i="2"/>
  <c r="N27" i="2"/>
  <c r="N28" i="2"/>
  <c r="N30" i="2"/>
  <c r="N31" i="2"/>
  <c r="N32" i="2"/>
  <c r="N33" i="2"/>
  <c r="N34" i="2"/>
  <c r="N35" i="2"/>
  <c r="N39" i="2"/>
  <c r="N40" i="2"/>
  <c r="N41" i="2"/>
  <c r="N42" i="2"/>
  <c r="N47" i="2"/>
  <c r="N48" i="2"/>
  <c r="N49" i="2"/>
  <c r="N50" i="2"/>
  <c r="N51" i="2"/>
  <c r="N53" i="2"/>
  <c r="N54" i="2"/>
  <c r="N56" i="2"/>
  <c r="N58" i="2"/>
  <c r="N59" i="2"/>
  <c r="N60" i="2"/>
  <c r="N62" i="2"/>
  <c r="N63" i="2"/>
  <c r="N64" i="2"/>
  <c r="N66" i="2"/>
  <c r="N67" i="2"/>
  <c r="N68" i="2"/>
  <c r="N69" i="2"/>
  <c r="N70" i="2"/>
  <c r="N71" i="2"/>
  <c r="N4" i="2"/>
  <c r="N5" i="2"/>
  <c r="N6" i="2"/>
  <c r="N3" i="2"/>
  <c r="J3" i="2"/>
  <c r="J4" i="2"/>
  <c r="J5" i="2"/>
  <c r="J6" i="2"/>
  <c r="J11" i="2"/>
  <c r="J12" i="2"/>
  <c r="J13" i="2"/>
  <c r="J14" i="2"/>
  <c r="J15" i="2"/>
  <c r="J17" i="2"/>
  <c r="J18" i="2"/>
  <c r="J20" i="2"/>
  <c r="J22" i="2"/>
  <c r="J23" i="2"/>
  <c r="J24" i="2"/>
  <c r="J26" i="2"/>
  <c r="J27" i="2"/>
  <c r="J28" i="2"/>
  <c r="J30" i="2"/>
  <c r="J31" i="2"/>
  <c r="J32" i="2"/>
  <c r="J33" i="2"/>
  <c r="J34" i="2"/>
  <c r="J35" i="2"/>
  <c r="J39" i="2"/>
  <c r="J40" i="2"/>
  <c r="J41" i="2"/>
  <c r="J42" i="2"/>
  <c r="J47" i="2"/>
  <c r="J48" i="2"/>
  <c r="J49" i="2"/>
  <c r="J50" i="2"/>
  <c r="J51" i="2"/>
  <c r="J53" i="2"/>
  <c r="J54" i="2"/>
  <c r="J56" i="2"/>
  <c r="J58" i="2"/>
  <c r="J59" i="2"/>
  <c r="J60" i="2"/>
  <c r="J62" i="2"/>
  <c r="J63" i="2"/>
  <c r="J64" i="2"/>
  <c r="J66" i="2"/>
  <c r="J67" i="2"/>
  <c r="J68" i="2"/>
  <c r="J69" i="2"/>
  <c r="J70" i="2"/>
  <c r="J71" i="2"/>
  <c r="J75" i="2" l="1"/>
  <c r="N75" i="2"/>
  <c r="R75" i="2"/>
</calcChain>
</file>

<file path=xl/sharedStrings.xml><?xml version="1.0" encoding="utf-8"?>
<sst xmlns="http://schemas.openxmlformats.org/spreadsheetml/2006/main" count="1139" uniqueCount="77">
  <si>
    <t>R5</t>
  </si>
  <si>
    <t>R2</t>
  </si>
  <si>
    <t>R5.8</t>
  </si>
  <si>
    <t>R3</t>
  </si>
  <si>
    <t>R4</t>
  </si>
  <si>
    <t>R6</t>
  </si>
  <si>
    <t>Average_9_8</t>
  </si>
  <si>
    <t>value_3</t>
  </si>
  <si>
    <t>value_2</t>
  </si>
  <si>
    <t>value_1</t>
  </si>
  <si>
    <t>Phenology stage_8_30</t>
  </si>
  <si>
    <t>Phenology stage_8_9</t>
  </si>
  <si>
    <t>Column</t>
  </si>
  <si>
    <t>Range</t>
  </si>
  <si>
    <t>mol+1m-2s-1</t>
  </si>
  <si>
    <t>Temp_1</t>
  </si>
  <si>
    <t>Temp_2</t>
  </si>
  <si>
    <t>Temp_3</t>
  </si>
  <si>
    <t>Average_Temp</t>
  </si>
  <si>
    <t>C</t>
  </si>
  <si>
    <t>Average_30_8</t>
  </si>
  <si>
    <t>Average_Temp_30_8</t>
  </si>
  <si>
    <t>average</t>
  </si>
  <si>
    <t>P42A84E</t>
  </si>
  <si>
    <t>P48A14E</t>
  </si>
  <si>
    <t>P52A14SE</t>
  </si>
  <si>
    <t>R19C-1012</t>
  </si>
  <si>
    <t>PI398245</t>
  </si>
  <si>
    <t>PI377574</t>
  </si>
  <si>
    <t>PI424397</t>
  </si>
  <si>
    <t>PI567488B</t>
  </si>
  <si>
    <t>Genotype Code</t>
  </si>
  <si>
    <t>Category</t>
  </si>
  <si>
    <t>Genotype</t>
  </si>
  <si>
    <t>Maturity-days</t>
  </si>
  <si>
    <t>G1</t>
  </si>
  <si>
    <t>Check</t>
  </si>
  <si>
    <t>4-Early</t>
  </si>
  <si>
    <t>G2</t>
  </si>
  <si>
    <t>4-Late</t>
  </si>
  <si>
    <t>G3</t>
  </si>
  <si>
    <t>5-Early</t>
  </si>
  <si>
    <t>G4</t>
  </si>
  <si>
    <t>BL - High yield</t>
  </si>
  <si>
    <t>G5</t>
  </si>
  <si>
    <t>R18-14502</t>
  </si>
  <si>
    <t>G6</t>
  </si>
  <si>
    <t>R18C-13665</t>
  </si>
  <si>
    <t>G7</t>
  </si>
  <si>
    <t>R19-46252</t>
  </si>
  <si>
    <t>G8</t>
  </si>
  <si>
    <t>R19-45980</t>
  </si>
  <si>
    <t>G9</t>
  </si>
  <si>
    <t>High WUE</t>
  </si>
  <si>
    <t>G10</t>
  </si>
  <si>
    <t>Low WUE</t>
  </si>
  <si>
    <t>G11</t>
  </si>
  <si>
    <t>G12</t>
  </si>
  <si>
    <t>yield</t>
  </si>
  <si>
    <t>ID</t>
  </si>
  <si>
    <t>kg/ha</t>
  </si>
  <si>
    <t>StomatalConductance</t>
  </si>
  <si>
    <t>LeafTemperature</t>
  </si>
  <si>
    <t>Date</t>
  </si>
  <si>
    <t>Rainfed</t>
  </si>
  <si>
    <t>Irrigated</t>
  </si>
  <si>
    <t>Phenologystage_8_9</t>
  </si>
  <si>
    <t>Phenologystage_8_30</t>
  </si>
  <si>
    <t>Irrig</t>
  </si>
  <si>
    <t>Yield</t>
  </si>
  <si>
    <t>Yield_buac</t>
  </si>
  <si>
    <t>WltingScore</t>
  </si>
  <si>
    <t>Row Labels</t>
  </si>
  <si>
    <t>(blank)</t>
  </si>
  <si>
    <t>Grand Total</t>
  </si>
  <si>
    <t>Sum of Yield_buac</t>
  </si>
  <si>
    <t>Sum of StomatalConductance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</si>
</sst>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#,##0.0000"/>
    <numFmt numFmtId="167" formatCode="#,##0.00000"/>
    <numFmt numFmtId="168" formatCode="#,##0.000000"/>
    <numFmt numFmtId="169" formatCode="0.0"/>
  </numFmts>
  <fonts count="11" x14ac:knownFonts="1">
    <font>
      <sz val="12"/>
      <color theme="1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rgb="FFFA7D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8"/>
      <color rgb="FF9C57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EEFF6D"/>
        <bgColor indexed="64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5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2" fillId="0" borderId="0"/>
    <xf numFmtId="0" fontId="1" fillId="2" borderId="1" applyNumberFormat="0" applyAlignment="0" applyProtection="0"/>
    <xf numFmtId="0" fontId="5" fillId="8" borderId="0" applyNumberFormat="0" applyBorder="0" applyAlignment="0" applyProtection="0"/>
  </cellStyleXfs>
  <cellXfs count="78">
    <xf numFmtId="0" fontId="0" fillId="0" borderId="0" xfId="0"/>
    <xf numFmtId="0" fontId="2" fillId="0" borderId="0" xfId="1"/>
    <xf numFmtId="0" fontId="3" fillId="0" borderId="0" xfId="1" applyFont="1"/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center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/>
    </xf>
    <xf numFmtId="0" fontId="3" fillId="5" borderId="2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/>
    </xf>
    <xf numFmtId="0" fontId="3" fillId="6" borderId="2" xfId="1" applyFont="1" applyFill="1" applyBorder="1" applyAlignment="1">
      <alignment horizontal="center" vertical="center"/>
    </xf>
    <xf numFmtId="0" fontId="3" fillId="6" borderId="4" xfId="1" applyFont="1" applyFill="1" applyBorder="1" applyAlignment="1">
      <alignment horizontal="center" vertical="center"/>
    </xf>
    <xf numFmtId="0" fontId="3" fillId="6" borderId="4" xfId="1" applyFont="1" applyFill="1" applyBorder="1" applyAlignment="1">
      <alignment horizontal="center"/>
    </xf>
    <xf numFmtId="0" fontId="3" fillId="7" borderId="2" xfId="1" applyFont="1" applyFill="1" applyBorder="1" applyAlignment="1">
      <alignment horizontal="center" vertical="center"/>
    </xf>
    <xf numFmtId="0" fontId="3" fillId="7" borderId="4" xfId="1" applyFont="1" applyFill="1" applyBorder="1" applyAlignment="1">
      <alignment horizontal="center" vertical="center"/>
    </xf>
    <xf numFmtId="0" fontId="3" fillId="7" borderId="4" xfId="1" applyFont="1" applyFill="1" applyBorder="1" applyAlignment="1">
      <alignment horizontal="center"/>
    </xf>
    <xf numFmtId="0" fontId="4" fillId="2" borderId="1" xfId="2" applyFont="1" applyAlignment="1">
      <alignment horizontal="center" vertical="center"/>
    </xf>
    <xf numFmtId="0" fontId="4" fillId="2" borderId="1" xfId="2" applyFont="1" applyAlignment="1">
      <alignment horizontal="center"/>
    </xf>
    <xf numFmtId="0" fontId="0" fillId="4" borderId="0" xfId="0" applyFill="1"/>
    <xf numFmtId="0" fontId="2" fillId="0" borderId="0" xfId="1" applyAlignment="1">
      <alignment horizontal="left"/>
    </xf>
    <xf numFmtId="0" fontId="2" fillId="4" borderId="0" xfId="1" applyFill="1" applyAlignment="1">
      <alignment horizontal="left"/>
    </xf>
    <xf numFmtId="0" fontId="4" fillId="2" borderId="5" xfId="2" applyFont="1" applyBorder="1" applyAlignment="1">
      <alignment horizontal="center" vertical="center"/>
    </xf>
    <xf numFmtId="0" fontId="4" fillId="2" borderId="4" xfId="2" applyFont="1" applyBorder="1" applyAlignment="1">
      <alignment horizontal="center"/>
    </xf>
    <xf numFmtId="0" fontId="4" fillId="2" borderId="4" xfId="2" applyFont="1" applyBorder="1" applyAlignment="1">
      <alignment horizontal="left"/>
    </xf>
    <xf numFmtId="0" fontId="2" fillId="4" borderId="4" xfId="1" applyFill="1" applyBorder="1"/>
    <xf numFmtId="164" fontId="2" fillId="4" borderId="4" xfId="1" applyNumberFormat="1" applyFill="1" applyBorder="1"/>
    <xf numFmtId="165" fontId="2" fillId="9" borderId="4" xfId="1" applyNumberFormat="1" applyFill="1" applyBorder="1"/>
    <xf numFmtId="0" fontId="0" fillId="4" borderId="4" xfId="0" applyFill="1" applyBorder="1"/>
    <xf numFmtId="0" fontId="2" fillId="0" borderId="4" xfId="1" applyBorder="1"/>
    <xf numFmtId="165" fontId="2" fillId="0" borderId="4" xfId="1" applyNumberFormat="1" applyBorder="1"/>
    <xf numFmtId="2" fontId="2" fillId="0" borderId="4" xfId="1" applyNumberFormat="1" applyBorder="1" applyAlignment="1">
      <alignment horizontal="right"/>
    </xf>
    <xf numFmtId="0" fontId="0" fillId="0" borderId="4" xfId="0" applyBorder="1"/>
    <xf numFmtId="0" fontId="2" fillId="0" borderId="4" xfId="1" applyBorder="1" applyAlignment="1">
      <alignment horizontal="left"/>
    </xf>
    <xf numFmtId="2" fontId="2" fillId="0" borderId="0" xfId="1" applyNumberFormat="1"/>
    <xf numFmtId="0" fontId="6" fillId="8" borderId="0" xfId="3" applyFont="1"/>
    <xf numFmtId="165" fontId="6" fillId="8" borderId="0" xfId="3" applyNumberFormat="1" applyFont="1"/>
    <xf numFmtId="166" fontId="0" fillId="4" borderId="4" xfId="0" applyNumberFormat="1" applyFill="1" applyBorder="1"/>
    <xf numFmtId="164" fontId="0" fillId="4" borderId="4" xfId="0" applyNumberFormat="1" applyFill="1" applyBorder="1"/>
    <xf numFmtId="167" fontId="0" fillId="4" borderId="4" xfId="0" applyNumberFormat="1" applyFill="1" applyBorder="1"/>
    <xf numFmtId="168" fontId="0" fillId="4" borderId="4" xfId="0" applyNumberFormat="1" applyFill="1" applyBorder="1"/>
    <xf numFmtId="0" fontId="7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/>
    </xf>
    <xf numFmtId="0" fontId="3" fillId="7" borderId="4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left"/>
    </xf>
    <xf numFmtId="0" fontId="7" fillId="11" borderId="4" xfId="0" applyFont="1" applyFill="1" applyBorder="1" applyAlignment="1">
      <alignment horizontal="left"/>
    </xf>
    <xf numFmtId="0" fontId="3" fillId="5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10" fillId="0" borderId="0" xfId="1" applyFont="1" applyAlignment="1">
      <alignment horizontal="left"/>
    </xf>
    <xf numFmtId="0" fontId="10" fillId="0" borderId="0" xfId="2" applyFont="1" applyFill="1" applyBorder="1" applyAlignment="1">
      <alignment horizontal="left"/>
    </xf>
    <xf numFmtId="0" fontId="10" fillId="0" borderId="0" xfId="2" applyFont="1" applyFill="1" applyBorder="1" applyAlignment="1">
      <alignment horizontal="left" vertical="center"/>
    </xf>
    <xf numFmtId="14" fontId="10" fillId="0" borderId="0" xfId="1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1" applyFont="1" applyAlignment="1">
      <alignment horizontal="left" vertical="center"/>
    </xf>
    <xf numFmtId="165" fontId="10" fillId="0" borderId="0" xfId="1" applyNumberFormat="1" applyFont="1" applyAlignment="1">
      <alignment horizontal="left"/>
    </xf>
    <xf numFmtId="2" fontId="10" fillId="0" borderId="0" xfId="1" applyNumberFormat="1" applyFont="1" applyAlignment="1">
      <alignment horizontal="left"/>
    </xf>
    <xf numFmtId="0" fontId="10" fillId="0" borderId="0" xfId="0" applyFont="1" applyAlignment="1">
      <alignment horizontal="left" vertical="center"/>
    </xf>
    <xf numFmtId="0" fontId="10" fillId="4" borderId="0" xfId="1" applyFont="1" applyFill="1" applyAlignment="1">
      <alignment horizontal="left"/>
    </xf>
    <xf numFmtId="14" fontId="10" fillId="4" borderId="0" xfId="1" applyNumberFormat="1" applyFont="1" applyFill="1" applyAlignment="1">
      <alignment horizontal="left"/>
    </xf>
    <xf numFmtId="0" fontId="10" fillId="4" borderId="0" xfId="0" applyFont="1" applyFill="1" applyAlignment="1">
      <alignment horizontal="left"/>
    </xf>
    <xf numFmtId="0" fontId="10" fillId="4" borderId="0" xfId="1" applyFont="1" applyFill="1" applyAlignment="1">
      <alignment horizontal="left" vertical="center"/>
    </xf>
    <xf numFmtId="2" fontId="10" fillId="4" borderId="0" xfId="1" applyNumberFormat="1" applyFont="1" applyFill="1" applyAlignment="1">
      <alignment horizontal="left"/>
    </xf>
    <xf numFmtId="169" fontId="2" fillId="0" borderId="0" xfId="1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">
    <cellStyle name="Calculation 2" xfId="2" xr:uid="{2922FE6A-79A6-6D4B-B026-6F39D596034E}"/>
    <cellStyle name="Neutral" xfId="3" builtinId="28"/>
    <cellStyle name="Normal" xfId="0" builtinId="0"/>
    <cellStyle name="Normal 2" xfId="1" xr:uid="{36CA28B6-BFC8-FD4A-8767-6905C24E82E9}"/>
  </cellStyles>
  <dxfs count="0"/>
  <tableStyles count="0" defaultTableStyle="TableStyleMedium2" defaultPivotStyle="PivotStyleLight16"/>
  <colors>
    <mruColors>
      <color rgb="FFEEFF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vis F. Elli" refreshedDate="45721.844913657405" createdVersion="8" refreshedVersion="8" minRefreshableVersion="3" recordCount="145" xr:uid="{ACCA4CA0-F2AC-4035-BBDF-D2C0F2E72687}">
  <cacheSource type="worksheet">
    <worksheetSource ref="A1:M1048576" sheet="dates_ee"/>
  </cacheSource>
  <cacheFields count="13">
    <cacheField name="Irrig" numFmtId="0">
      <sharedItems containsBlank="1" count="3">
        <s v="Rainfed"/>
        <s v="Irrigated"/>
        <m/>
      </sharedItems>
    </cacheField>
    <cacheField name="Date" numFmtId="0">
      <sharedItems containsNonDate="0" containsDate="1" containsString="0" containsBlank="1" minDate="2024-08-09T00:00:00" maxDate="2024-08-31T00:00:00" count="3">
        <d v="2024-08-09T00:00:00"/>
        <d v="2024-08-30T00:00:00"/>
        <m/>
      </sharedItems>
    </cacheField>
    <cacheField name="ID" numFmtId="0">
      <sharedItems containsString="0" containsBlank="1" containsNumber="1" containsInteger="1" minValue="1" maxValue="72"/>
    </cacheField>
    <cacheField name="Range" numFmtId="0">
      <sharedItems containsString="0" containsBlank="1" containsNumber="1" containsInteger="1" minValue="1" maxValue="12"/>
    </cacheField>
    <cacheField name="Column" numFmtId="0">
      <sharedItems containsString="0" containsBlank="1" containsNumber="1" containsInteger="1" minValue="1" maxValue="6"/>
    </cacheField>
    <cacheField name="Genotype" numFmtId="0">
      <sharedItems containsBlank="1"/>
    </cacheField>
    <cacheField name="Phenologystage_8_9" numFmtId="0">
      <sharedItems containsBlank="1"/>
    </cacheField>
    <cacheField name="Phenologystage_8_30" numFmtId="0">
      <sharedItems containsBlank="1"/>
    </cacheField>
    <cacheField name="StomatalConductance" numFmtId="0">
      <sharedItems containsString="0" containsBlank="1" containsNumber="1" minValue="2.5597999999999999E-2" maxValue="1.534967"/>
    </cacheField>
    <cacheField name="LeafTemperature" numFmtId="0">
      <sharedItems containsString="0" containsBlank="1" containsNumber="1" minValue="25.756666666666664" maxValue="36.403333333333336"/>
    </cacheField>
    <cacheField name="Yield" numFmtId="0">
      <sharedItems containsString="0" containsBlank="1" containsNumber="1" minValue="271.3347921225382" maxValue="5551.9693654266957"/>
    </cacheField>
    <cacheField name="Yield_buac" numFmtId="0">
      <sharedItems containsString="0" containsBlank="1" containsNumber="1" minValue="4.6469981639377238" maxValue="95.085452350411217"/>
    </cacheField>
    <cacheField name="WltingScore" numFmtId="0">
      <sharedItems containsString="0" containsBlank="1" containsNumber="1" containsInteger="1" minValue="0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x v="0"/>
    <x v="0"/>
    <n v="1"/>
    <n v="1"/>
    <n v="1"/>
    <s v="P42A84E"/>
    <s v="R4"/>
    <s v="R6"/>
    <n v="0.89290066666666668"/>
    <n v="29.24"/>
    <n v="1516.9584245076585"/>
    <n v="25.980092557659898"/>
    <n v="5"/>
  </r>
  <r>
    <x v="0"/>
    <x v="0"/>
    <n v="2"/>
    <n v="2"/>
    <n v="1"/>
    <s v="P48A14E"/>
    <s v="R4"/>
    <s v="R5.8"/>
    <n v="0.67524366666666669"/>
    <n v="30.189999999999998"/>
    <n v="1449.671772428884"/>
    <n v="24.827711964586634"/>
    <n v="0"/>
  </r>
  <r>
    <x v="0"/>
    <x v="0"/>
    <n v="3"/>
    <n v="3"/>
    <n v="1"/>
    <s v="P52A14SE"/>
    <s v="R3"/>
    <s v="R5"/>
    <n v="0.63957966666666666"/>
    <n v="31.446666666666669"/>
    <n v="1321.1159737417943"/>
    <n v="22.626009205462914"/>
    <n v="5"/>
  </r>
  <r>
    <x v="0"/>
    <x v="0"/>
    <n v="4"/>
    <n v="4"/>
    <n v="1"/>
    <s v="R19C-1012"/>
    <s v="R3"/>
    <s v="R5.8"/>
    <n v="0.5505553333333334"/>
    <n v="32.213333333333331"/>
    <n v="1450.2188183807439"/>
    <n v="24.8370809124978"/>
    <n v="0"/>
  </r>
  <r>
    <x v="0"/>
    <x v="0"/>
    <n v="5"/>
    <n v="5"/>
    <n v="1"/>
    <s v="R18-14502"/>
    <s v="R3"/>
    <s v="R5.8"/>
    <m/>
    <m/>
    <n v="271.3347921225382"/>
    <n v="4.6469981639377238"/>
    <n v="10"/>
  </r>
  <r>
    <x v="0"/>
    <x v="0"/>
    <n v="6"/>
    <n v="6"/>
    <n v="1"/>
    <s v="R18C-13665"/>
    <s v="R2"/>
    <s v="R5"/>
    <m/>
    <m/>
    <n v="2586.980306345733"/>
    <n v="44.305754671898185"/>
    <n v="0"/>
  </r>
  <r>
    <x v="0"/>
    <x v="0"/>
    <n v="7"/>
    <n v="7"/>
    <n v="1"/>
    <s v="R19-46252"/>
    <s v="R2"/>
    <s v="R5"/>
    <m/>
    <m/>
    <n v="1771.8818380743983"/>
    <n v="30.346022284262681"/>
    <n v="0"/>
  </r>
  <r>
    <x v="0"/>
    <x v="0"/>
    <n v="8"/>
    <n v="8"/>
    <n v="1"/>
    <s v="R19-45980"/>
    <s v="R3"/>
    <s v="R5.8"/>
    <m/>
    <m/>
    <n v="1237.9649890590808"/>
    <n v="21.201929122965868"/>
    <n v="0"/>
  </r>
  <r>
    <x v="0"/>
    <x v="0"/>
    <n v="9"/>
    <n v="9"/>
    <n v="1"/>
    <s v="PI398245"/>
    <s v="R2"/>
    <s v="R5.8"/>
    <n v="0.75610333333333335"/>
    <n v="31.526666666666667"/>
    <n v="952.95404814004382"/>
    <n v="16.320707261249026"/>
    <n v="20"/>
  </r>
  <r>
    <x v="0"/>
    <x v="0"/>
    <n v="10"/>
    <n v="10"/>
    <n v="1"/>
    <s v="PI377574"/>
    <s v="R2"/>
    <s v="R6"/>
    <n v="4.0697333333333335E-2"/>
    <n v="34.063333333333333"/>
    <n v="856.12691466083152"/>
    <n v="14.662403480972861"/>
    <n v="20"/>
  </r>
  <r>
    <x v="0"/>
    <x v="0"/>
    <n v="11"/>
    <n v="11"/>
    <n v="1"/>
    <s v="PI424397"/>
    <s v="R4"/>
    <s v="R5"/>
    <n v="3.5785000000000004E-2"/>
    <n v="33.016666666666673"/>
    <n v="910.83150984682698"/>
    <n v="15.599298272089335"/>
    <n v="30"/>
  </r>
  <r>
    <x v="0"/>
    <x v="0"/>
    <n v="12"/>
    <n v="12"/>
    <n v="1"/>
    <s v="PI567488B"/>
    <s v="R3"/>
    <s v="R6"/>
    <n v="5.2778666666666668E-2"/>
    <n v="31.97"/>
    <n v="1498.90590809628"/>
    <n v="25.670917276591464"/>
    <n v="0"/>
  </r>
  <r>
    <x v="0"/>
    <x v="0"/>
    <n v="13"/>
    <n v="1"/>
    <n v="2"/>
    <s v="PI377574"/>
    <s v="R3"/>
    <s v="R5"/>
    <n v="4.8692333333333337E-2"/>
    <n v="32.556666666666665"/>
    <n v="586.43326039387307"/>
    <n v="10.043512160768632"/>
    <n v="30"/>
  </r>
  <r>
    <x v="0"/>
    <x v="0"/>
    <n v="14"/>
    <n v="2"/>
    <n v="2"/>
    <s v="R19-45980"/>
    <s v="R2"/>
    <s v="R5.8"/>
    <m/>
    <m/>
    <n v="1647.1553610503283"/>
    <n v="28.209902160517117"/>
    <n v="0"/>
  </r>
  <r>
    <x v="0"/>
    <x v="0"/>
    <n v="15"/>
    <n v="3"/>
    <n v="2"/>
    <s v="PI398245"/>
    <s v="R2"/>
    <s v="R5.8"/>
    <n v="4.8150999999999999E-2"/>
    <n v="32.769999999999996"/>
    <n v="1360.5032822757114"/>
    <n v="23.300573455066782"/>
    <n v="5"/>
  </r>
  <r>
    <x v="0"/>
    <x v="0"/>
    <n v="16"/>
    <n v="4"/>
    <n v="2"/>
    <s v="P48A14E"/>
    <s v="R5"/>
    <s v="R5.8"/>
    <n v="2.5597999999999999E-2"/>
    <n v="32.916666666666664"/>
    <n v="1636.2144420131292"/>
    <n v="28.022523202293822"/>
    <n v="0"/>
  </r>
  <r>
    <x v="0"/>
    <x v="0"/>
    <n v="17"/>
    <n v="5"/>
    <n v="2"/>
    <s v="R19-46252"/>
    <s v="R2"/>
    <s v="R5"/>
    <m/>
    <m/>
    <n v="1438.1838074398249"/>
    <n v="24.630964058452175"/>
    <n v="0"/>
  </r>
  <r>
    <x v="0"/>
    <x v="0"/>
    <n v="18"/>
    <n v="6"/>
    <n v="2"/>
    <s v="R19C-1012"/>
    <s v="R3"/>
    <s v="R5.8"/>
    <n v="4.0080333333333329E-2"/>
    <n v="34.116666666666667"/>
    <n v="1684.9015317286651"/>
    <n v="28.856359566387482"/>
    <n v="0"/>
  </r>
  <r>
    <x v="0"/>
    <x v="0"/>
    <n v="19"/>
    <n v="7"/>
    <n v="2"/>
    <s v="R18-14502"/>
    <s v="R4"/>
    <s v="R5.8"/>
    <m/>
    <m/>
    <n v="1712.253829321663"/>
    <n v="29.324806961945722"/>
    <n v="10"/>
  </r>
  <r>
    <x v="0"/>
    <x v="0"/>
    <n v="20"/>
    <n v="8"/>
    <n v="2"/>
    <s v="PI424397"/>
    <s v="R5"/>
    <s v="R5"/>
    <n v="4.8795333333333336E-2"/>
    <n v="33.546666666666667"/>
    <n v="894.96717724288851"/>
    <n v="15.327598782665563"/>
    <n v="10"/>
  </r>
  <r>
    <x v="0"/>
    <x v="0"/>
    <n v="21"/>
    <n v="9"/>
    <n v="2"/>
    <s v="P42A84E"/>
    <s v="R4"/>
    <s v="R5.8"/>
    <n v="3.1484333333333336E-2"/>
    <n v="31.793333333333333"/>
    <n v="1430.5251641137854"/>
    <n v="24.499798787695866"/>
    <n v="30"/>
  </r>
  <r>
    <x v="0"/>
    <x v="0"/>
    <n v="22"/>
    <n v="10"/>
    <n v="2"/>
    <s v="PI567488B"/>
    <s v="R3"/>
    <s v="R5.8"/>
    <n v="4.6344666666666666E-2"/>
    <n v="32.11"/>
    <n v="1812.3632385120352"/>
    <n v="31.039324429688875"/>
    <n v="5"/>
  </r>
  <r>
    <x v="0"/>
    <x v="0"/>
    <n v="23"/>
    <n v="11"/>
    <n v="2"/>
    <s v="R18C-13665"/>
    <s v="R2"/>
    <s v="R5"/>
    <m/>
    <m/>
    <n v="1802.5164113785556"/>
    <n v="30.870683367287906"/>
    <n v="0"/>
  </r>
  <r>
    <x v="0"/>
    <x v="0"/>
    <n v="24"/>
    <n v="12"/>
    <n v="2"/>
    <s v="P52A14SE"/>
    <s v="R3"/>
    <s v="R5"/>
    <n v="5.2981333333333325E-2"/>
    <n v="31.72666666666667"/>
    <n v="1613.785557986871"/>
    <n v="27.638396337936069"/>
    <n v="5"/>
  </r>
  <r>
    <x v="0"/>
    <x v="0"/>
    <n v="25"/>
    <n v="1"/>
    <n v="3"/>
    <s v="P48A14E"/>
    <s v="R5"/>
    <s v="R5"/>
    <n v="6.1534666666666675E-2"/>
    <n v="33.163333333333327"/>
    <n v="1796.4989059080965"/>
    <n v="30.767624940265101"/>
    <n v="3"/>
  </r>
  <r>
    <x v="0"/>
    <x v="0"/>
    <n v="26"/>
    <n v="2"/>
    <n v="3"/>
    <s v="P42A84E"/>
    <s v="R5"/>
    <s v="R5.8"/>
    <n v="6.3075000000000006E-2"/>
    <n v="33.663333333333334"/>
    <n v="1636.7614879649891"/>
    <n v="28.031892150204985"/>
    <n v="30"/>
  </r>
  <r>
    <x v="0"/>
    <x v="0"/>
    <n v="27"/>
    <n v="3"/>
    <n v="3"/>
    <s v="R19-45980"/>
    <s v="R2"/>
    <s v="R5.8"/>
    <m/>
    <m/>
    <n v="1442.5601750547046"/>
    <n v="24.705915641741491"/>
    <n v="0"/>
  </r>
  <r>
    <x v="0"/>
    <x v="0"/>
    <n v="28"/>
    <n v="4"/>
    <n v="3"/>
    <s v="PI398245"/>
    <s v="R3"/>
    <s v="R5.8"/>
    <n v="6.2447000000000003E-2"/>
    <n v="33.876666666666665"/>
    <n v="1736.870897155361"/>
    <n v="29.746409617948135"/>
    <n v="10"/>
  </r>
  <r>
    <x v="0"/>
    <x v="0"/>
    <n v="29"/>
    <n v="5"/>
    <n v="3"/>
    <s v="PI567488B"/>
    <s v="R4"/>
    <s v="R5.8"/>
    <n v="5.0952999999999998E-2"/>
    <n v="34.646666666666668"/>
    <n v="1681.0722100656455"/>
    <n v="28.790776931009333"/>
    <n v="0"/>
  </r>
  <r>
    <x v="0"/>
    <x v="0"/>
    <n v="30"/>
    <n v="6"/>
    <n v="3"/>
    <s v="PI424397"/>
    <s v="R5"/>
    <s v="R5.8"/>
    <n v="6.1006333333333329E-2"/>
    <n v="35.050000000000004"/>
    <n v="1155.9080962800874"/>
    <n v="19.796586936291153"/>
    <n v="30"/>
  </r>
  <r>
    <x v="0"/>
    <x v="0"/>
    <n v="31"/>
    <n v="7"/>
    <n v="3"/>
    <s v="PI377574"/>
    <s v="R3"/>
    <s v="R6"/>
    <n v="9.088966666666666E-2"/>
    <n v="33.766666666666673"/>
    <n v="691.46608315098479"/>
    <n v="11.84235015971227"/>
    <n v="10"/>
  </r>
  <r>
    <x v="0"/>
    <x v="0"/>
    <n v="32"/>
    <n v="8"/>
    <n v="3"/>
    <s v="P52A14SE"/>
    <s v="R2"/>
    <s v="R5"/>
    <n v="8.5517999999999997E-2"/>
    <n v="33.513333333333335"/>
    <n v="1548.1400437636764"/>
    <n v="26.514122588596297"/>
    <n v="5"/>
  </r>
  <r>
    <x v="0"/>
    <x v="0"/>
    <n v="33"/>
    <n v="9"/>
    <n v="3"/>
    <s v="R19C-1012"/>
    <s v="R3"/>
    <s v="R5.8"/>
    <n v="7.1440000000000003E-2"/>
    <n v="34.06"/>
    <n v="2449.1247264770241"/>
    <n v="41.944779798284664"/>
    <n v="0"/>
  </r>
  <r>
    <x v="0"/>
    <x v="0"/>
    <n v="34"/>
    <n v="10"/>
    <n v="3"/>
    <s v="R18C-13665"/>
    <s v="R3"/>
    <s v="R5.8"/>
    <m/>
    <m/>
    <n v="1916.8490153172868"/>
    <n v="32.828793480721352"/>
    <n v="0"/>
  </r>
  <r>
    <x v="0"/>
    <x v="0"/>
    <n v="35"/>
    <n v="11"/>
    <n v="3"/>
    <s v="R18-14502"/>
    <s v="R4"/>
    <s v="R5"/>
    <m/>
    <m/>
    <n v="2071.1159737417938"/>
    <n v="35.470836791669804"/>
    <n v="10"/>
  </r>
  <r>
    <x v="0"/>
    <x v="0"/>
    <n v="36"/>
    <n v="12"/>
    <n v="3"/>
    <s v="R19-46252"/>
    <s v="R2"/>
    <s v="R5.8"/>
    <m/>
    <m/>
    <n v="1861.0503282275711"/>
    <n v="31.873160793782542"/>
    <n v="3"/>
  </r>
  <r>
    <x v="1"/>
    <x v="0"/>
    <n v="37"/>
    <n v="1"/>
    <n v="4"/>
    <s v="P42A84E"/>
    <s v="R4"/>
    <s v="R5"/>
    <n v="0.17318100000000003"/>
    <n v="32.083333333333336"/>
    <n v="3729.7592997811817"/>
    <n v="63.87748685832139"/>
    <m/>
  </r>
  <r>
    <x v="1"/>
    <x v="0"/>
    <n v="38"/>
    <n v="2"/>
    <n v="4"/>
    <s v="P48A14E"/>
    <s v="R3"/>
    <s v="R5.8"/>
    <n v="0.17416866666666667"/>
    <n v="31.623333333333335"/>
    <n v="5551.9693654266957"/>
    <n v="95.085452350411217"/>
    <m/>
  </r>
  <r>
    <x v="1"/>
    <x v="0"/>
    <n v="39"/>
    <n v="3"/>
    <n v="4"/>
    <s v="P52A14SE"/>
    <s v="R3"/>
    <s v="R5.8"/>
    <n v="0.58261700000000005"/>
    <n v="30.253333333333334"/>
    <n v="3612.1444201312902"/>
    <n v="61.863163057420948"/>
    <m/>
  </r>
  <r>
    <x v="1"/>
    <x v="0"/>
    <n v="40"/>
    <n v="4"/>
    <n v="4"/>
    <s v="R19C-1012"/>
    <s v="R3"/>
    <s v="R5.8"/>
    <n v="0.52647100000000002"/>
    <n v="29.316666666666663"/>
    <n v="3928.3369803063447"/>
    <n v="67.278414950074179"/>
    <m/>
  </r>
  <r>
    <x v="1"/>
    <x v="0"/>
    <n v="41"/>
    <n v="5"/>
    <n v="4"/>
    <s v="R18-14502"/>
    <s v="R3"/>
    <s v="R5.8"/>
    <m/>
    <m/>
    <n v="2659.7374179431072"/>
    <n v="45.551824744083099"/>
    <m/>
  </r>
  <r>
    <x v="1"/>
    <x v="0"/>
    <n v="42"/>
    <n v="6"/>
    <n v="4"/>
    <s v="R18C-13665"/>
    <s v="R3"/>
    <s v="R5"/>
    <m/>
    <m/>
    <n v="4312.3632385120345"/>
    <n v="73.855416383711855"/>
    <m/>
  </r>
  <r>
    <x v="1"/>
    <x v="0"/>
    <n v="43"/>
    <n v="7"/>
    <n v="4"/>
    <s v="R19-46252"/>
    <s v="R2"/>
    <s v="R5"/>
    <m/>
    <m/>
    <n v="2979.2122538293206"/>
    <n v="51.023290324203309"/>
    <m/>
  </r>
  <r>
    <x v="1"/>
    <x v="0"/>
    <n v="44"/>
    <n v="8"/>
    <n v="4"/>
    <s v="R19-45980"/>
    <s v="R2"/>
    <s v="R5"/>
    <m/>
    <m/>
    <n v="4120.3501094091898"/>
    <n v="70.566915666893024"/>
    <m/>
  </r>
  <r>
    <x v="1"/>
    <x v="0"/>
    <n v="45"/>
    <n v="9"/>
    <n v="4"/>
    <s v="PI398245"/>
    <s v="R3"/>
    <s v="R5.8"/>
    <n v="0.12428166666666667"/>
    <n v="30.916666666666668"/>
    <n v="3164.1137855579868"/>
    <n v="54.189994718177019"/>
    <m/>
  </r>
  <r>
    <x v="1"/>
    <x v="0"/>
    <n v="46"/>
    <n v="10"/>
    <n v="4"/>
    <s v="PI377574"/>
    <s v="R3"/>
    <s v="R5"/>
    <n v="0.24288799999999999"/>
    <n v="30.656666666666666"/>
    <n v="922.86652078774625"/>
    <n v="15.805415126134964"/>
    <m/>
  </r>
  <r>
    <x v="1"/>
    <x v="0"/>
    <n v="47"/>
    <n v="11"/>
    <n v="4"/>
    <s v="PI424397"/>
    <s v="R4"/>
    <s v="R5.8"/>
    <n v="0.12807266666666664"/>
    <n v="32.11"/>
    <n v="2830.9628008752738"/>
    <n v="48.48430544027768"/>
    <m/>
  </r>
  <r>
    <x v="1"/>
    <x v="0"/>
    <n v="48"/>
    <n v="12"/>
    <n v="4"/>
    <s v="PI567488B"/>
    <s v="R3"/>
    <s v="R5.8"/>
    <n v="7.3979333333333341E-2"/>
    <n v="32.833333333333329"/>
    <n v="3277.8993435448579"/>
    <n v="56.13873588369929"/>
    <m/>
  </r>
  <r>
    <x v="1"/>
    <x v="0"/>
    <n v="49"/>
    <n v="1"/>
    <n v="5"/>
    <s v="PI377574"/>
    <s v="R4"/>
    <s v="R5.8"/>
    <n v="0.52567766666666671"/>
    <n v="31.546666666666667"/>
    <n v="1377.4617067833699"/>
    <n v="23.591010840312887"/>
    <m/>
  </r>
  <r>
    <x v="1"/>
    <x v="0"/>
    <n v="50"/>
    <n v="2"/>
    <n v="5"/>
    <s v="R19-45980"/>
    <s v="R2"/>
    <s v="R5.8"/>
    <m/>
    <m/>
    <n v="5253.2822757111599"/>
    <n v="89.970006790915264"/>
    <m/>
  </r>
  <r>
    <x v="1"/>
    <x v="0"/>
    <n v="51"/>
    <n v="3"/>
    <n v="5"/>
    <s v="PI398245"/>
    <s v="R3"/>
    <s v="R5.8"/>
    <n v="0.22336966666666669"/>
    <n v="31.820000000000004"/>
    <n v="3196.936542669584"/>
    <n v="54.752131592846901"/>
    <m/>
  </r>
  <r>
    <x v="1"/>
    <x v="0"/>
    <n v="52"/>
    <n v="4"/>
    <n v="5"/>
    <s v="PI398245"/>
    <s v="R3"/>
    <s v="R5.8"/>
    <n v="0.18053733333333333"/>
    <n v="32.99"/>
    <n v="4379.1028446389491"/>
    <n v="74.99842802887396"/>
    <m/>
  </r>
  <r>
    <x v="1"/>
    <x v="0"/>
    <n v="53"/>
    <n v="5"/>
    <n v="5"/>
    <s v="R19-46252"/>
    <s v="R2"/>
    <s v="R5"/>
    <m/>
    <m/>
    <n v="4084.2450765864328"/>
    <n v="69.948565104756142"/>
    <m/>
  </r>
  <r>
    <x v="1"/>
    <x v="0"/>
    <n v="54"/>
    <n v="6"/>
    <n v="5"/>
    <s v="R19C-1012"/>
    <s v="R2"/>
    <s v="R5.8"/>
    <n v="0.19360200000000002"/>
    <n v="31.613333333333333"/>
    <n v="4579.8687089715531"/>
    <n v="78.43683191227143"/>
    <m/>
  </r>
  <r>
    <x v="1"/>
    <x v="0"/>
    <n v="55"/>
    <n v="7"/>
    <n v="5"/>
    <s v="R18-14502"/>
    <s v="R3"/>
    <s v="R6"/>
    <m/>
    <m/>
    <n v="3208.4245076586431"/>
    <n v="54.948879498981356"/>
    <m/>
  </r>
  <r>
    <x v="1"/>
    <x v="0"/>
    <n v="56"/>
    <n v="8"/>
    <n v="5"/>
    <s v="PI424397"/>
    <s v="R5"/>
    <s v="R6"/>
    <n v="0.105501"/>
    <n v="32.336666666666666"/>
    <n v="3094.6389496717725"/>
    <n v="53.000138333459091"/>
    <m/>
  </r>
  <r>
    <x v="1"/>
    <x v="0"/>
    <n v="57"/>
    <n v="9"/>
    <n v="5"/>
    <s v="P42A84E"/>
    <s v="R5"/>
    <s v="R5.8"/>
    <n v="0.74029533333333342"/>
    <n v="30.746666666666666"/>
    <n v="4454.0481400437629"/>
    <n v="76.281973892703533"/>
    <m/>
  </r>
  <r>
    <x v="1"/>
    <x v="0"/>
    <n v="58"/>
    <n v="10"/>
    <n v="5"/>
    <s v="PI567488B"/>
    <s v="R4"/>
    <s v="R5"/>
    <n v="0.28394733333333333"/>
    <n v="30.516666666666666"/>
    <n v="2572.7571115973742"/>
    <n v="44.062162026207901"/>
    <m/>
  </r>
  <r>
    <x v="1"/>
    <x v="0"/>
    <n v="59"/>
    <n v="11"/>
    <n v="5"/>
    <s v="R18C-13665"/>
    <s v="R3"/>
    <s v="R5"/>
    <m/>
    <m/>
    <n v="3689.2778993435445"/>
    <n v="63.184184712895195"/>
    <m/>
  </r>
  <r>
    <x v="1"/>
    <x v="0"/>
    <n v="60"/>
    <n v="12"/>
    <n v="5"/>
    <s v="PI567488B"/>
    <s v="R4"/>
    <s v="R5.8"/>
    <n v="8.8678333333333345E-2"/>
    <n v="31.13"/>
    <n v="3242.34135667396"/>
    <n v="55.529754269473571"/>
    <m/>
  </r>
  <r>
    <x v="1"/>
    <x v="0"/>
    <n v="61"/>
    <n v="1"/>
    <n v="6"/>
    <s v="P48A14E"/>
    <s v="R4"/>
    <s v="R5.8"/>
    <n v="0.5100986666666667"/>
    <n v="28.876666666666665"/>
    <n v="4652.6258205689273"/>
    <n v="79.68290198445635"/>
    <m/>
  </r>
  <r>
    <x v="1"/>
    <x v="0"/>
    <n v="62"/>
    <n v="2"/>
    <n v="6"/>
    <s v="P42A84E"/>
    <s v="R4"/>
    <s v="R5.8"/>
    <n v="0.481659"/>
    <n v="28.62"/>
    <n v="4184.9015317286648"/>
    <n v="71.672451520410476"/>
    <m/>
  </r>
  <r>
    <x v="1"/>
    <x v="0"/>
    <n v="63"/>
    <n v="3"/>
    <n v="6"/>
    <s v="R19-45980"/>
    <s v="R2"/>
    <s v="R5.8"/>
    <m/>
    <m/>
    <n v="4450.2188183807439"/>
    <n v="76.216391257325384"/>
    <m/>
  </r>
  <r>
    <x v="1"/>
    <x v="0"/>
    <n v="64"/>
    <n v="4"/>
    <n v="6"/>
    <s v="PI398245"/>
    <s v="R4"/>
    <s v="R5"/>
    <n v="5.9706000000000002E-2"/>
    <n v="30.973333333333333"/>
    <n v="2958.4245076586435"/>
    <n v="50.667270303579066"/>
    <m/>
  </r>
  <r>
    <x v="1"/>
    <x v="0"/>
    <n v="65"/>
    <n v="5"/>
    <n v="6"/>
    <s v="PI567488B"/>
    <s v="R5"/>
    <s v="R5.8"/>
    <n v="0.27680633333333332"/>
    <n v="29.66"/>
    <n v="4041.575492341356"/>
    <n v="69.217787167685287"/>
    <m/>
  </r>
  <r>
    <x v="1"/>
    <x v="0"/>
    <n v="66"/>
    <n v="6"/>
    <n v="6"/>
    <s v="PI424397"/>
    <s v="R2"/>
    <s v="R5.8"/>
    <n v="0.23996033333333333"/>
    <n v="30.043333333333333"/>
    <n v="2670.6783369803061"/>
    <n v="45.739203702306391"/>
    <m/>
  </r>
  <r>
    <x v="1"/>
    <x v="0"/>
    <n v="67"/>
    <n v="7"/>
    <n v="6"/>
    <s v="PI377574"/>
    <s v="R3"/>
    <s v="R5"/>
    <n v="0.12636333333333336"/>
    <n v="29.3"/>
    <n v="2442.5601750547044"/>
    <n v="41.832352423350684"/>
    <m/>
  </r>
  <r>
    <x v="1"/>
    <x v="0"/>
    <n v="68"/>
    <n v="8"/>
    <n v="6"/>
    <s v="P52A14SE"/>
    <s v="R3"/>
    <s v="R5.8"/>
    <n v="0.15356266666666665"/>
    <n v="30.070000000000004"/>
    <n v="4363.2385120350109"/>
    <n v="74.726728539450193"/>
    <m/>
  </r>
  <r>
    <x v="1"/>
    <x v="0"/>
    <n v="69"/>
    <n v="9"/>
    <n v="6"/>
    <s v="R19C-1012"/>
    <s v="R3"/>
    <s v="R5.8"/>
    <n v="3.3495666666666667E-2"/>
    <n v="30.566666666666666"/>
    <n v="3097.3741794310722"/>
    <n v="53.046983073014914"/>
    <m/>
  </r>
  <r>
    <x v="1"/>
    <x v="0"/>
    <n v="70"/>
    <n v="10"/>
    <n v="6"/>
    <s v="R18C-13665"/>
    <s v="R2"/>
    <s v="R5"/>
    <m/>
    <m/>
    <n v="3602.2975929978115"/>
    <n v="61.69452199501999"/>
    <m/>
  </r>
  <r>
    <x v="1"/>
    <x v="0"/>
    <n v="71"/>
    <n v="11"/>
    <n v="6"/>
    <s v="R18-14502"/>
    <s v="R3"/>
    <s v="R5.8"/>
    <m/>
    <m/>
    <n v="4084.7921225382929"/>
    <n v="69.957934052667312"/>
    <m/>
  </r>
  <r>
    <x v="1"/>
    <x v="0"/>
    <n v="72"/>
    <n v="12"/>
    <n v="6"/>
    <s v="R19-46252"/>
    <s v="R2"/>
    <s v="R5"/>
    <m/>
    <m/>
    <n v="3345.1859956236322"/>
    <n v="57.291116476772551"/>
    <m/>
  </r>
  <r>
    <x v="0"/>
    <x v="1"/>
    <n v="1"/>
    <n v="1"/>
    <n v="1"/>
    <s v="P42A84E"/>
    <s v="R4"/>
    <s v="R6"/>
    <n v="0.23831533333333332"/>
    <n v="25.756666666666664"/>
    <n v="1516.9584245076585"/>
    <n v="25.980092557659898"/>
    <n v="20"/>
  </r>
  <r>
    <x v="0"/>
    <x v="1"/>
    <n v="2"/>
    <n v="2"/>
    <n v="1"/>
    <s v="P48A14E"/>
    <s v="R4"/>
    <s v="R5.8"/>
    <n v="0.27213733333333329"/>
    <n v="26.13"/>
    <n v="1449.671772428884"/>
    <n v="24.827711964586634"/>
    <n v="25"/>
  </r>
  <r>
    <x v="0"/>
    <x v="1"/>
    <n v="3"/>
    <n v="3"/>
    <n v="1"/>
    <s v="P52A14SE"/>
    <s v="R3"/>
    <s v="R5"/>
    <m/>
    <m/>
    <n v="1321.1159737417943"/>
    <n v="22.626009205462914"/>
    <n v="35"/>
  </r>
  <r>
    <x v="0"/>
    <x v="1"/>
    <n v="4"/>
    <n v="4"/>
    <n v="1"/>
    <s v="R19C-1012"/>
    <s v="R3"/>
    <s v="R5.8"/>
    <m/>
    <m/>
    <n v="1450.2188183807439"/>
    <n v="24.8370809124978"/>
    <n v="10"/>
  </r>
  <r>
    <x v="0"/>
    <x v="1"/>
    <n v="5"/>
    <n v="5"/>
    <n v="1"/>
    <s v="R18-14502"/>
    <s v="R3"/>
    <s v="R5.8"/>
    <m/>
    <m/>
    <n v="271.3347921225382"/>
    <n v="4.6469981639377238"/>
    <n v="40"/>
  </r>
  <r>
    <x v="0"/>
    <x v="1"/>
    <n v="6"/>
    <n v="6"/>
    <n v="1"/>
    <s v="R18C-13665"/>
    <s v="R2"/>
    <s v="R5"/>
    <m/>
    <m/>
    <n v="2586.980306345733"/>
    <n v="44.305754671898185"/>
    <n v="15"/>
  </r>
  <r>
    <x v="0"/>
    <x v="1"/>
    <n v="7"/>
    <n v="7"/>
    <n v="1"/>
    <s v="R19-46252"/>
    <s v="R2"/>
    <s v="R5"/>
    <m/>
    <m/>
    <n v="1771.8818380743983"/>
    <n v="30.346022284262681"/>
    <n v="15"/>
  </r>
  <r>
    <x v="0"/>
    <x v="1"/>
    <n v="8"/>
    <n v="8"/>
    <n v="1"/>
    <s v="R19-45980"/>
    <s v="R3"/>
    <s v="R5.8"/>
    <m/>
    <m/>
    <n v="1237.9649890590808"/>
    <n v="21.201929122965868"/>
    <n v="20"/>
  </r>
  <r>
    <x v="0"/>
    <x v="1"/>
    <n v="9"/>
    <n v="9"/>
    <n v="1"/>
    <s v="PI398245"/>
    <s v="R2"/>
    <s v="R5.8"/>
    <n v="0.59535800000000005"/>
    <n v="26.790000000000003"/>
    <n v="952.95404814004382"/>
    <n v="16.320707261249026"/>
    <n v="20"/>
  </r>
  <r>
    <x v="0"/>
    <x v="1"/>
    <n v="10"/>
    <n v="10"/>
    <n v="1"/>
    <s v="PI377574"/>
    <s v="R2"/>
    <s v="R6"/>
    <n v="0.43315700000000001"/>
    <n v="27.38"/>
    <n v="856.12691466083152"/>
    <n v="14.662403480972861"/>
    <n v="30"/>
  </r>
  <r>
    <x v="0"/>
    <x v="1"/>
    <n v="11"/>
    <n v="11"/>
    <n v="1"/>
    <s v="PI424397"/>
    <s v="R4"/>
    <s v="R5"/>
    <n v="0.65567333333333344"/>
    <n v="27.52"/>
    <n v="910.83150984682698"/>
    <n v="15.599298272089335"/>
    <n v="40"/>
  </r>
  <r>
    <x v="0"/>
    <x v="1"/>
    <n v="12"/>
    <n v="12"/>
    <n v="1"/>
    <s v="PI567488B"/>
    <s v="R3"/>
    <s v="R6"/>
    <n v="0.73217366666666672"/>
    <n v="27.366666666666664"/>
    <n v="1498.90590809628"/>
    <n v="25.670917276591464"/>
    <n v="45"/>
  </r>
  <r>
    <x v="0"/>
    <x v="1"/>
    <n v="13"/>
    <n v="1"/>
    <n v="2"/>
    <s v="PI377574"/>
    <s v="R3"/>
    <s v="R5"/>
    <n v="0.12997933333333334"/>
    <n v="29.24"/>
    <n v="586.43326039387307"/>
    <n v="10.043512160768632"/>
    <n v="35"/>
  </r>
  <r>
    <x v="0"/>
    <x v="1"/>
    <n v="14"/>
    <n v="2"/>
    <n v="2"/>
    <s v="R19-45980"/>
    <s v="R2"/>
    <s v="R5.8"/>
    <m/>
    <m/>
    <n v="1647.1553610503283"/>
    <n v="28.209902160517117"/>
    <n v="30"/>
  </r>
  <r>
    <x v="0"/>
    <x v="1"/>
    <n v="15"/>
    <n v="3"/>
    <n v="2"/>
    <s v="PI398245"/>
    <s v="R2"/>
    <s v="R5.8"/>
    <n v="0.17206466666666667"/>
    <n v="29.78"/>
    <n v="1360.5032822757114"/>
    <n v="23.300573455066782"/>
    <n v="25"/>
  </r>
  <r>
    <x v="0"/>
    <x v="1"/>
    <n v="16"/>
    <n v="4"/>
    <n v="2"/>
    <s v="P48A14E"/>
    <s v="R5"/>
    <s v="R5.8"/>
    <n v="0.2999486666666667"/>
    <n v="29.576666666666668"/>
    <n v="1636.2144420131292"/>
    <n v="28.022523202293822"/>
    <n v="45"/>
  </r>
  <r>
    <x v="0"/>
    <x v="1"/>
    <n v="17"/>
    <n v="5"/>
    <n v="2"/>
    <s v="R19-46252"/>
    <s v="R2"/>
    <s v="R5"/>
    <m/>
    <m/>
    <n v="1438.1838074398249"/>
    <n v="24.630964058452175"/>
    <n v="45"/>
  </r>
  <r>
    <x v="0"/>
    <x v="1"/>
    <n v="18"/>
    <n v="6"/>
    <n v="2"/>
    <s v="R19C-1012"/>
    <s v="R3"/>
    <s v="R5.8"/>
    <m/>
    <m/>
    <n v="1684.9015317286651"/>
    <n v="28.856359566387482"/>
    <n v="30"/>
  </r>
  <r>
    <x v="0"/>
    <x v="1"/>
    <n v="19"/>
    <n v="7"/>
    <n v="2"/>
    <s v="R18-14502"/>
    <s v="R4"/>
    <s v="R5.8"/>
    <m/>
    <m/>
    <n v="1712.253829321663"/>
    <n v="29.324806961945722"/>
    <n v="30"/>
  </r>
  <r>
    <x v="0"/>
    <x v="1"/>
    <n v="20"/>
    <n v="8"/>
    <n v="2"/>
    <s v="PI424397"/>
    <s v="R5"/>
    <s v="R5"/>
    <n v="0.32335766666666665"/>
    <n v="29.626666666666665"/>
    <n v="894.96717724288851"/>
    <n v="15.327598782665563"/>
    <n v="25"/>
  </r>
  <r>
    <x v="0"/>
    <x v="1"/>
    <n v="21"/>
    <n v="9"/>
    <n v="2"/>
    <s v="P42A84E"/>
    <s v="R4"/>
    <s v="R5.8"/>
    <n v="0.3960253333333334"/>
    <n v="29.236666666666668"/>
    <n v="1430.5251641137854"/>
    <n v="24.499798787695866"/>
    <n v="20"/>
  </r>
  <r>
    <x v="0"/>
    <x v="1"/>
    <n v="22"/>
    <n v="10"/>
    <n v="2"/>
    <s v="PI567488B"/>
    <s v="R3"/>
    <s v="R5.8"/>
    <n v="0.22531866666666667"/>
    <n v="30.66"/>
    <n v="1812.3632385120352"/>
    <n v="31.039324429688875"/>
    <n v="35"/>
  </r>
  <r>
    <x v="0"/>
    <x v="1"/>
    <n v="23"/>
    <n v="11"/>
    <n v="2"/>
    <s v="R18C-13665"/>
    <s v="R2"/>
    <s v="R5"/>
    <m/>
    <m/>
    <n v="1802.5164113785556"/>
    <n v="30.870683367287906"/>
    <n v="40"/>
  </r>
  <r>
    <x v="0"/>
    <x v="1"/>
    <n v="24"/>
    <n v="12"/>
    <n v="2"/>
    <s v="P52A14SE"/>
    <s v="R3"/>
    <s v="R5"/>
    <m/>
    <m/>
    <n v="1613.785557986871"/>
    <n v="27.638396337936069"/>
    <n v="45"/>
  </r>
  <r>
    <x v="0"/>
    <x v="1"/>
    <n v="25"/>
    <n v="1"/>
    <n v="3"/>
    <s v="P48A14E"/>
    <s v="R5"/>
    <s v="R5"/>
    <n v="1.0383046666666667"/>
    <n v="30.956666666666667"/>
    <n v="1796.4989059080965"/>
    <n v="30.767624940265101"/>
    <n v="45"/>
  </r>
  <r>
    <x v="0"/>
    <x v="1"/>
    <n v="26"/>
    <n v="2"/>
    <n v="3"/>
    <s v="P42A84E"/>
    <s v="R5"/>
    <s v="R5.8"/>
    <n v="0.95992533333333341"/>
    <n v="30.646666666666665"/>
    <n v="1636.7614879649891"/>
    <n v="28.031892150204985"/>
    <n v="25"/>
  </r>
  <r>
    <x v="0"/>
    <x v="1"/>
    <n v="27"/>
    <n v="3"/>
    <n v="3"/>
    <s v="R19-45980"/>
    <s v="R2"/>
    <s v="R5.8"/>
    <m/>
    <m/>
    <n v="1442.5601750547046"/>
    <n v="24.705915641741491"/>
    <n v="20"/>
  </r>
  <r>
    <x v="0"/>
    <x v="1"/>
    <n v="28"/>
    <n v="4"/>
    <n v="3"/>
    <s v="PI398245"/>
    <s v="R3"/>
    <s v="R5.8"/>
    <n v="0.36885033333333334"/>
    <n v="31.459999999999997"/>
    <n v="1736.870897155361"/>
    <n v="29.746409617948135"/>
    <n v="25"/>
  </r>
  <r>
    <x v="0"/>
    <x v="1"/>
    <n v="29"/>
    <n v="5"/>
    <n v="3"/>
    <s v="PI567488B"/>
    <s v="R4"/>
    <s v="R5.8"/>
    <n v="0.32994833333333334"/>
    <n v="31.556666666666668"/>
    <n v="1681.0722100656455"/>
    <n v="28.790776931009333"/>
    <n v="15"/>
  </r>
  <r>
    <x v="0"/>
    <x v="1"/>
    <n v="30"/>
    <n v="6"/>
    <n v="3"/>
    <s v="PI424397"/>
    <s v="R5"/>
    <s v="R5.8"/>
    <n v="0.27892500000000003"/>
    <n v="31.103333333333335"/>
    <n v="1155.9080962800874"/>
    <n v="19.796586936291153"/>
    <n v="20"/>
  </r>
  <r>
    <x v="0"/>
    <x v="1"/>
    <n v="31"/>
    <n v="7"/>
    <n v="3"/>
    <s v="PI377574"/>
    <s v="R3"/>
    <s v="R6"/>
    <n v="5.8475333333333331E-2"/>
    <n v="31.823333333333334"/>
    <n v="691.46608315098479"/>
    <n v="11.84235015971227"/>
    <n v="10"/>
  </r>
  <r>
    <x v="0"/>
    <x v="1"/>
    <n v="32"/>
    <n v="8"/>
    <n v="3"/>
    <s v="P52A14SE"/>
    <s v="R2"/>
    <s v="R5"/>
    <m/>
    <m/>
    <n v="1548.1400437636764"/>
    <n v="26.514122588596297"/>
    <n v="30"/>
  </r>
  <r>
    <x v="0"/>
    <x v="1"/>
    <n v="33"/>
    <n v="9"/>
    <n v="3"/>
    <s v="R19C-1012"/>
    <s v="R3"/>
    <s v="R5.8"/>
    <m/>
    <m/>
    <n v="2449.1247264770241"/>
    <n v="41.944779798284664"/>
    <n v="10"/>
  </r>
  <r>
    <x v="0"/>
    <x v="1"/>
    <n v="34"/>
    <n v="10"/>
    <n v="3"/>
    <s v="R18C-13665"/>
    <s v="R3"/>
    <s v="R5.8"/>
    <m/>
    <m/>
    <n v="1916.8490153172868"/>
    <n v="32.828793480721352"/>
    <n v="15"/>
  </r>
  <r>
    <x v="0"/>
    <x v="1"/>
    <n v="35"/>
    <n v="11"/>
    <n v="3"/>
    <s v="R18-14502"/>
    <s v="R4"/>
    <s v="R5"/>
    <m/>
    <m/>
    <n v="2071.1159737417938"/>
    <n v="35.470836791669804"/>
    <n v="25"/>
  </r>
  <r>
    <x v="0"/>
    <x v="1"/>
    <n v="36"/>
    <n v="12"/>
    <n v="3"/>
    <s v="R19-46252"/>
    <s v="R2"/>
    <s v="R5.8"/>
    <m/>
    <m/>
    <n v="1861.0503282275711"/>
    <n v="31.873160793782542"/>
    <n v="20"/>
  </r>
  <r>
    <x v="1"/>
    <x v="1"/>
    <n v="37"/>
    <n v="1"/>
    <n v="4"/>
    <s v="P42A84E"/>
    <s v="R4"/>
    <s v="R5"/>
    <n v="0.36331466666666662"/>
    <n v="33.203333333333333"/>
    <n v="3729.7592997811817"/>
    <n v="63.87748685832139"/>
    <m/>
  </r>
  <r>
    <x v="1"/>
    <x v="1"/>
    <n v="38"/>
    <n v="2"/>
    <n v="4"/>
    <s v="P48A14E"/>
    <s v="R3"/>
    <s v="R5.8"/>
    <n v="0.7853296666666667"/>
    <n v="32.586666666666666"/>
    <n v="5551.9693654266957"/>
    <n v="95.085452350411217"/>
    <m/>
  </r>
  <r>
    <x v="1"/>
    <x v="1"/>
    <n v="39"/>
    <n v="3"/>
    <n v="4"/>
    <s v="P52A14SE"/>
    <s v="R3"/>
    <s v="R5.8"/>
    <m/>
    <m/>
    <n v="3612.1444201312902"/>
    <n v="61.863163057420948"/>
    <m/>
  </r>
  <r>
    <x v="1"/>
    <x v="1"/>
    <n v="40"/>
    <n v="4"/>
    <n v="4"/>
    <s v="R19C-1012"/>
    <s v="R3"/>
    <s v="R5.8"/>
    <m/>
    <m/>
    <n v="3928.3369803063447"/>
    <n v="67.278414950074179"/>
    <m/>
  </r>
  <r>
    <x v="1"/>
    <x v="1"/>
    <n v="41"/>
    <n v="5"/>
    <n v="4"/>
    <s v="R18-14502"/>
    <s v="R3"/>
    <s v="R5.8"/>
    <m/>
    <m/>
    <n v="2659.7374179431072"/>
    <n v="45.551824744083099"/>
    <m/>
  </r>
  <r>
    <x v="1"/>
    <x v="1"/>
    <n v="42"/>
    <n v="6"/>
    <n v="4"/>
    <s v="R18C-13665"/>
    <s v="R3"/>
    <s v="R5"/>
    <m/>
    <m/>
    <n v="4312.3632385120345"/>
    <n v="73.855416383711855"/>
    <m/>
  </r>
  <r>
    <x v="1"/>
    <x v="1"/>
    <n v="43"/>
    <n v="7"/>
    <n v="4"/>
    <s v="R19-46252"/>
    <s v="R2"/>
    <s v="R5"/>
    <m/>
    <m/>
    <n v="2979.2122538293206"/>
    <n v="51.023290324203309"/>
    <m/>
  </r>
  <r>
    <x v="1"/>
    <x v="1"/>
    <n v="44"/>
    <n v="8"/>
    <n v="4"/>
    <s v="R19-45980"/>
    <s v="R2"/>
    <s v="R5"/>
    <m/>
    <m/>
    <n v="4120.3501094091898"/>
    <n v="70.566915666893024"/>
    <m/>
  </r>
  <r>
    <x v="1"/>
    <x v="1"/>
    <n v="45"/>
    <n v="9"/>
    <n v="4"/>
    <s v="PI398245"/>
    <s v="R3"/>
    <s v="R5.8"/>
    <n v="0.40412033333333336"/>
    <n v="34.063333333333333"/>
    <n v="3164.1137855579868"/>
    <n v="54.189994718177019"/>
    <m/>
  </r>
  <r>
    <x v="1"/>
    <x v="1"/>
    <n v="46"/>
    <n v="10"/>
    <n v="4"/>
    <s v="PI377574"/>
    <s v="R3"/>
    <s v="R5"/>
    <n v="0.31040733333333331"/>
    <n v="32.773333333333333"/>
    <n v="922.86652078774625"/>
    <n v="15.805415126134964"/>
    <m/>
  </r>
  <r>
    <x v="1"/>
    <x v="1"/>
    <n v="47"/>
    <n v="11"/>
    <n v="4"/>
    <s v="PI424397"/>
    <s v="R4"/>
    <s v="R5.8"/>
    <n v="0.86694066666666669"/>
    <n v="31.096666666666664"/>
    <n v="2830.9628008752738"/>
    <n v="48.48430544027768"/>
    <m/>
  </r>
  <r>
    <x v="1"/>
    <x v="1"/>
    <n v="48"/>
    <n v="12"/>
    <n v="4"/>
    <s v="PI567488B"/>
    <s v="R3"/>
    <s v="R5.8"/>
    <n v="0.95822066666666661"/>
    <n v="32.9"/>
    <n v="3277.8993435448579"/>
    <n v="56.13873588369929"/>
    <m/>
  </r>
  <r>
    <x v="1"/>
    <x v="1"/>
    <n v="49"/>
    <n v="1"/>
    <n v="5"/>
    <s v="PI377574"/>
    <s v="R4"/>
    <s v="R5.8"/>
    <n v="0.55041799999999996"/>
    <n v="33.199999999999996"/>
    <n v="1377.4617067833699"/>
    <n v="23.591010840312887"/>
    <m/>
  </r>
  <r>
    <x v="1"/>
    <x v="1"/>
    <n v="50"/>
    <n v="2"/>
    <n v="5"/>
    <s v="R19-45980"/>
    <s v="R2"/>
    <s v="R5.8"/>
    <m/>
    <m/>
    <n v="5253.2822757111599"/>
    <n v="89.970006790915264"/>
    <m/>
  </r>
  <r>
    <x v="1"/>
    <x v="1"/>
    <n v="51"/>
    <n v="3"/>
    <n v="5"/>
    <s v="PI398245"/>
    <s v="R3"/>
    <s v="R5.8"/>
    <n v="0.48072333333333334"/>
    <n v="31.923333333333336"/>
    <n v="3196.936542669584"/>
    <n v="54.752131592846901"/>
    <m/>
  </r>
  <r>
    <x v="1"/>
    <x v="1"/>
    <n v="52"/>
    <n v="4"/>
    <n v="5"/>
    <s v="PI398245"/>
    <s v="R3"/>
    <s v="R5.8"/>
    <n v="0.85061933333333339"/>
    <n v="32.593333333333334"/>
    <n v="4379.1028446389491"/>
    <n v="74.99842802887396"/>
    <m/>
  </r>
  <r>
    <x v="1"/>
    <x v="1"/>
    <n v="53"/>
    <n v="5"/>
    <n v="5"/>
    <s v="R19-46252"/>
    <s v="R2"/>
    <s v="R5"/>
    <m/>
    <m/>
    <n v="4084.2450765864328"/>
    <n v="69.948565104756142"/>
    <m/>
  </r>
  <r>
    <x v="1"/>
    <x v="1"/>
    <n v="54"/>
    <n v="6"/>
    <n v="5"/>
    <s v="R19C-1012"/>
    <s v="R2"/>
    <s v="R5.8"/>
    <m/>
    <m/>
    <n v="4579.8687089715531"/>
    <n v="78.43683191227143"/>
    <m/>
  </r>
  <r>
    <x v="1"/>
    <x v="1"/>
    <n v="55"/>
    <n v="7"/>
    <n v="5"/>
    <s v="R18-14502"/>
    <s v="R3"/>
    <s v="R6"/>
    <m/>
    <m/>
    <n v="3208.4245076586431"/>
    <n v="54.948879498981356"/>
    <m/>
  </r>
  <r>
    <x v="1"/>
    <x v="1"/>
    <n v="56"/>
    <n v="8"/>
    <n v="5"/>
    <s v="PI424397"/>
    <s v="R5"/>
    <s v="R6"/>
    <n v="0.16497533333333333"/>
    <n v="32.726666666666667"/>
    <n v="3094.6389496717725"/>
    <n v="53.000138333459091"/>
    <m/>
  </r>
  <r>
    <x v="1"/>
    <x v="1"/>
    <n v="57"/>
    <n v="9"/>
    <n v="5"/>
    <s v="P42A84E"/>
    <s v="R5"/>
    <s v="R5.8"/>
    <n v="0.88494633333333328"/>
    <n v="31.603333333333335"/>
    <n v="4454.0481400437629"/>
    <n v="76.281973892703533"/>
    <m/>
  </r>
  <r>
    <x v="1"/>
    <x v="1"/>
    <n v="58"/>
    <n v="10"/>
    <n v="5"/>
    <s v="PI567488B"/>
    <s v="R4"/>
    <s v="R5"/>
    <n v="0.86971200000000015"/>
    <n v="31.580000000000002"/>
    <n v="2572.7571115973742"/>
    <n v="44.062162026207901"/>
    <m/>
  </r>
  <r>
    <x v="1"/>
    <x v="1"/>
    <n v="59"/>
    <n v="11"/>
    <n v="5"/>
    <s v="R18C-13665"/>
    <s v="R3"/>
    <s v="R5"/>
    <m/>
    <m/>
    <n v="3689.2778993435445"/>
    <n v="63.184184712895195"/>
    <m/>
  </r>
  <r>
    <x v="1"/>
    <x v="1"/>
    <n v="60"/>
    <n v="12"/>
    <n v="5"/>
    <s v="PI567488B"/>
    <s v="R4"/>
    <s v="R5.8"/>
    <m/>
    <m/>
    <n v="3242.34135667396"/>
    <n v="55.529754269473571"/>
    <m/>
  </r>
  <r>
    <x v="1"/>
    <x v="1"/>
    <n v="61"/>
    <n v="1"/>
    <n v="6"/>
    <s v="P48A14E"/>
    <s v="R4"/>
    <s v="R5.8"/>
    <n v="1.0823600000000002"/>
    <n v="34.163333333333334"/>
    <n v="4652.6258205689273"/>
    <n v="79.68290198445635"/>
    <m/>
  </r>
  <r>
    <x v="1"/>
    <x v="1"/>
    <n v="62"/>
    <n v="2"/>
    <n v="6"/>
    <s v="P42A84E"/>
    <s v="R4"/>
    <s v="R5.8"/>
    <n v="1.534967"/>
    <n v="34.223333333333329"/>
    <n v="4184.9015317286648"/>
    <n v="71.672451520410476"/>
    <m/>
  </r>
  <r>
    <x v="1"/>
    <x v="1"/>
    <n v="63"/>
    <n v="3"/>
    <n v="6"/>
    <s v="R19-45980"/>
    <s v="R2"/>
    <s v="R5.8"/>
    <m/>
    <m/>
    <n v="4450.2188183807439"/>
    <n v="76.216391257325384"/>
    <m/>
  </r>
  <r>
    <x v="1"/>
    <x v="1"/>
    <n v="64"/>
    <n v="4"/>
    <n v="6"/>
    <s v="PI398245"/>
    <s v="R4"/>
    <s v="R5"/>
    <n v="0.64451233333333324"/>
    <n v="35.599999999999994"/>
    <n v="2958.4245076586435"/>
    <n v="50.667270303579066"/>
    <m/>
  </r>
  <r>
    <x v="1"/>
    <x v="1"/>
    <n v="65"/>
    <n v="5"/>
    <n v="6"/>
    <s v="PI567488B"/>
    <s v="R5"/>
    <s v="R5.8"/>
    <n v="0.35928300000000002"/>
    <n v="36.403333333333336"/>
    <n v="4041.575492341356"/>
    <n v="69.217787167685287"/>
    <m/>
  </r>
  <r>
    <x v="1"/>
    <x v="1"/>
    <n v="66"/>
    <n v="6"/>
    <n v="6"/>
    <s v="PI424397"/>
    <s v="R2"/>
    <s v="R5.8"/>
    <n v="1.0779983333333334"/>
    <n v="36.199999999999996"/>
    <n v="2670.6783369803061"/>
    <n v="45.739203702306391"/>
    <m/>
  </r>
  <r>
    <x v="1"/>
    <x v="1"/>
    <n v="67"/>
    <n v="7"/>
    <n v="6"/>
    <s v="PI377574"/>
    <s v="R3"/>
    <s v="R5"/>
    <n v="0.50997233333333336"/>
    <n v="34.196666666666665"/>
    <n v="2442.5601750547044"/>
    <n v="41.832352423350684"/>
    <m/>
  </r>
  <r>
    <x v="1"/>
    <x v="1"/>
    <n v="68"/>
    <n v="8"/>
    <n v="6"/>
    <s v="P52A14SE"/>
    <s v="R3"/>
    <s v="R5.8"/>
    <m/>
    <m/>
    <n v="4363.2385120350109"/>
    <n v="74.726728539450193"/>
    <m/>
  </r>
  <r>
    <x v="1"/>
    <x v="1"/>
    <n v="69"/>
    <n v="9"/>
    <n v="6"/>
    <s v="R19C-1012"/>
    <s v="R3"/>
    <s v="R5.8"/>
    <m/>
    <m/>
    <n v="3097.3741794310722"/>
    <n v="53.046983073014914"/>
    <m/>
  </r>
  <r>
    <x v="1"/>
    <x v="1"/>
    <n v="70"/>
    <n v="10"/>
    <n v="6"/>
    <s v="R18C-13665"/>
    <s v="R2"/>
    <s v="R5"/>
    <m/>
    <m/>
    <n v="3602.2975929978115"/>
    <n v="61.69452199501999"/>
    <m/>
  </r>
  <r>
    <x v="1"/>
    <x v="1"/>
    <n v="71"/>
    <n v="11"/>
    <n v="6"/>
    <s v="R18-14502"/>
    <s v="R3"/>
    <s v="R5.8"/>
    <m/>
    <m/>
    <n v="4084.7921225382929"/>
    <n v="69.957934052667312"/>
    <m/>
  </r>
  <r>
    <x v="1"/>
    <x v="1"/>
    <n v="72"/>
    <n v="12"/>
    <n v="6"/>
    <s v="R19-46252"/>
    <s v="R2"/>
    <s v="R5"/>
    <m/>
    <m/>
    <n v="3345.1859956236322"/>
    <n v="57.291116476772551"/>
    <m/>
  </r>
  <r>
    <x v="2"/>
    <x v="2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BC90A5-C5FE-4A79-96D9-09D2E34C16E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2" firstHeaderRow="0" firstDataRow="1" firstDataCol="1"/>
  <pivotFields count="13">
    <pivotField axis="axisRow" showAll="0">
      <items count="4"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</pivotFields>
  <rowFields count="2">
    <field x="1"/>
    <field x="0"/>
  </rowFields>
  <rowItems count="9">
    <i>
      <x/>
    </i>
    <i r="1">
      <x/>
    </i>
    <i r="1">
      <x v="1"/>
    </i>
    <i>
      <x v="1"/>
    </i>
    <i r="1">
      <x/>
    </i>
    <i r="1">
      <x v="1"/>
    </i>
    <i>
      <x v="2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Yield_buac" fld="11" baseField="0" baseItem="0"/>
    <dataField name="Sum of StomatalConductan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A108A-93E3-5C49-86CA-09DA60C6B943}">
  <dimension ref="A1:X146"/>
  <sheetViews>
    <sheetView workbookViewId="0">
      <pane xSplit="1" topLeftCell="I1" activePane="topRight" state="frozen"/>
      <selection pane="topRight" activeCell="F12" sqref="F12"/>
    </sheetView>
  </sheetViews>
  <sheetFormatPr defaultColWidth="10.83203125" defaultRowHeight="18.5" x14ac:dyDescent="0.45"/>
  <cols>
    <col min="1" max="3" width="10.83203125" style="2"/>
    <col min="4" max="4" width="11.6640625" style="2" bestFit="1" customWidth="1"/>
    <col min="5" max="5" width="24.1640625" style="2" customWidth="1"/>
    <col min="6" max="6" width="25" style="2" customWidth="1"/>
    <col min="7" max="9" width="10.83203125" style="1"/>
    <col min="10" max="10" width="14.5" style="1" bestFit="1" customWidth="1"/>
    <col min="11" max="13" width="10.83203125" style="1"/>
    <col min="14" max="14" width="17" style="22" bestFit="1" customWidth="1"/>
    <col min="15" max="17" width="10.83203125" style="1"/>
    <col min="18" max="18" width="15.83203125" style="1" bestFit="1" customWidth="1"/>
    <col min="19" max="22" width="10.83203125" style="1"/>
    <col min="23" max="23" width="22.1640625" style="1" bestFit="1" customWidth="1"/>
    <col min="24" max="16384" width="10.83203125" style="1"/>
  </cols>
  <sheetData>
    <row r="1" spans="1:24" x14ac:dyDescent="0.45">
      <c r="J1" s="21" t="s">
        <v>14</v>
      </c>
      <c r="N1" s="23" t="s">
        <v>19</v>
      </c>
      <c r="R1" s="21" t="s">
        <v>14</v>
      </c>
      <c r="X1" s="21" t="s">
        <v>60</v>
      </c>
    </row>
    <row r="2" spans="1:24" ht="21" x14ac:dyDescent="0.5">
      <c r="A2" s="20" t="s">
        <v>59</v>
      </c>
      <c r="B2" s="20" t="s">
        <v>13</v>
      </c>
      <c r="C2" s="20" t="s">
        <v>12</v>
      </c>
      <c r="D2" s="20" t="s">
        <v>33</v>
      </c>
      <c r="E2" s="19" t="s">
        <v>11</v>
      </c>
      <c r="F2" s="24" t="s">
        <v>10</v>
      </c>
      <c r="G2" s="25" t="s">
        <v>9</v>
      </c>
      <c r="H2" s="25" t="s">
        <v>8</v>
      </c>
      <c r="I2" s="25" t="s">
        <v>7</v>
      </c>
      <c r="J2" s="25" t="s">
        <v>6</v>
      </c>
      <c r="K2" s="25" t="s">
        <v>15</v>
      </c>
      <c r="L2" s="25" t="s">
        <v>16</v>
      </c>
      <c r="M2" s="25" t="s">
        <v>17</v>
      </c>
      <c r="N2" s="26" t="s">
        <v>18</v>
      </c>
      <c r="O2" s="25" t="s">
        <v>9</v>
      </c>
      <c r="P2" s="25" t="s">
        <v>8</v>
      </c>
      <c r="Q2" s="25" t="s">
        <v>7</v>
      </c>
      <c r="R2" s="25" t="s">
        <v>20</v>
      </c>
      <c r="S2" s="25" t="s">
        <v>15</v>
      </c>
      <c r="T2" s="25" t="s">
        <v>16</v>
      </c>
      <c r="U2" s="25" t="s">
        <v>17</v>
      </c>
      <c r="V2" s="25"/>
      <c r="W2" s="26" t="s">
        <v>21</v>
      </c>
      <c r="X2" s="26" t="s">
        <v>58</v>
      </c>
    </row>
    <row r="3" spans="1:24" x14ac:dyDescent="0.45">
      <c r="A3" s="18">
        <v>1</v>
      </c>
      <c r="B3" s="18">
        <v>1</v>
      </c>
      <c r="C3" s="18">
        <v>1</v>
      </c>
      <c r="D3" s="47" t="s">
        <v>23</v>
      </c>
      <c r="E3" s="17" t="s">
        <v>4</v>
      </c>
      <c r="F3" s="16" t="s">
        <v>5</v>
      </c>
      <c r="G3" s="27">
        <v>0.49393500000000001</v>
      </c>
      <c r="H3" s="28">
        <v>1.236</v>
      </c>
      <c r="I3" s="27">
        <v>0.94876700000000003</v>
      </c>
      <c r="J3" s="29">
        <f>+AVERAGE(G3:I3)</f>
        <v>0.89290066666666668</v>
      </c>
      <c r="K3" s="30">
        <v>29.29</v>
      </c>
      <c r="L3" s="30">
        <v>29.07</v>
      </c>
      <c r="M3" s="30">
        <v>29.36</v>
      </c>
      <c r="N3" s="29">
        <f>+AVERAGE(K3:M3)</f>
        <v>29.24</v>
      </c>
      <c r="O3" s="30">
        <v>9.6554000000000001E-2</v>
      </c>
      <c r="P3" s="30">
        <v>0.29482199999999997</v>
      </c>
      <c r="Q3" s="30">
        <v>0.32357000000000002</v>
      </c>
      <c r="R3" s="29">
        <f>+AVERAGE(O3:Q3)</f>
        <v>0.23831533333333332</v>
      </c>
      <c r="S3" s="30">
        <v>25.56</v>
      </c>
      <c r="T3" s="30">
        <v>25.68</v>
      </c>
      <c r="U3" s="30">
        <v>26.03</v>
      </c>
      <c r="V3" s="30"/>
      <c r="W3" s="29">
        <f>+AVERAGE(S3:U3)</f>
        <v>25.756666666666664</v>
      </c>
      <c r="X3" s="36">
        <v>1516.9584245076585</v>
      </c>
    </row>
    <row r="4" spans="1:24" x14ac:dyDescent="0.45">
      <c r="A4" s="15">
        <v>2</v>
      </c>
      <c r="B4" s="15">
        <v>2</v>
      </c>
      <c r="C4" s="15">
        <v>1</v>
      </c>
      <c r="D4" s="48" t="s">
        <v>24</v>
      </c>
      <c r="E4" s="14" t="s">
        <v>4</v>
      </c>
      <c r="F4" s="13" t="s">
        <v>2</v>
      </c>
      <c r="G4" s="27">
        <v>0.54718</v>
      </c>
      <c r="H4" s="27">
        <v>0.64804200000000001</v>
      </c>
      <c r="I4" s="27">
        <v>0.83050900000000005</v>
      </c>
      <c r="J4" s="29">
        <f>+AVERAGE(G4:I4)</f>
        <v>0.67524366666666669</v>
      </c>
      <c r="K4" s="30">
        <v>30.52</v>
      </c>
      <c r="L4" s="30">
        <v>30.08</v>
      </c>
      <c r="M4" s="30">
        <v>29.97</v>
      </c>
      <c r="N4" s="29">
        <f t="shared" ref="N4:N67" si="0">+AVERAGE(K4:M4)</f>
        <v>30.189999999999998</v>
      </c>
      <c r="O4" s="30">
        <v>0.360626</v>
      </c>
      <c r="P4" s="30">
        <v>0.159276</v>
      </c>
      <c r="Q4" s="30">
        <v>0.29651</v>
      </c>
      <c r="R4" s="29">
        <f>+AVERAGE(O4:Q4)</f>
        <v>0.27213733333333329</v>
      </c>
      <c r="S4" s="30">
        <v>26.13</v>
      </c>
      <c r="T4" s="30">
        <v>25.94</v>
      </c>
      <c r="U4" s="30">
        <v>26.32</v>
      </c>
      <c r="V4" s="30"/>
      <c r="W4" s="29">
        <f>+AVERAGE(S4:U4)</f>
        <v>26.13</v>
      </c>
      <c r="X4" s="36">
        <v>1449.671772428884</v>
      </c>
    </row>
    <row r="5" spans="1:24" x14ac:dyDescent="0.45">
      <c r="A5" s="15">
        <v>3</v>
      </c>
      <c r="B5" s="15">
        <v>3</v>
      </c>
      <c r="C5" s="15">
        <v>1</v>
      </c>
      <c r="D5" s="48" t="s">
        <v>25</v>
      </c>
      <c r="E5" s="14" t="s">
        <v>3</v>
      </c>
      <c r="F5" s="13" t="s">
        <v>0</v>
      </c>
      <c r="G5" s="27">
        <v>0.55032599999999998</v>
      </c>
      <c r="H5" s="27">
        <v>0.434473</v>
      </c>
      <c r="I5" s="27">
        <v>0.93393999999999999</v>
      </c>
      <c r="J5" s="29">
        <f>+AVERAGE(G5:I5)</f>
        <v>0.63957966666666666</v>
      </c>
      <c r="K5" s="30">
        <v>31.49</v>
      </c>
      <c r="L5" s="30">
        <v>32.42</v>
      </c>
      <c r="M5" s="30">
        <v>30.43</v>
      </c>
      <c r="N5" s="29">
        <f t="shared" si="0"/>
        <v>31.446666666666669</v>
      </c>
      <c r="O5" s="31"/>
      <c r="P5" s="31"/>
      <c r="Q5" s="31"/>
      <c r="R5" s="31"/>
      <c r="S5" s="31"/>
      <c r="T5" s="31"/>
      <c r="U5" s="31"/>
      <c r="V5" s="31"/>
      <c r="W5" s="31"/>
      <c r="X5" s="36">
        <v>1321.1159737417943</v>
      </c>
    </row>
    <row r="6" spans="1:24" x14ac:dyDescent="0.45">
      <c r="A6" s="15">
        <v>4</v>
      </c>
      <c r="B6" s="15">
        <v>4</v>
      </c>
      <c r="C6" s="15">
        <v>1</v>
      </c>
      <c r="D6" s="48" t="s">
        <v>26</v>
      </c>
      <c r="E6" s="14" t="s">
        <v>3</v>
      </c>
      <c r="F6" s="13" t="s">
        <v>2</v>
      </c>
      <c r="G6" s="27">
        <v>0.76261599999999996</v>
      </c>
      <c r="H6" s="27">
        <v>0.43824400000000002</v>
      </c>
      <c r="I6" s="27">
        <v>0.45080599999999998</v>
      </c>
      <c r="J6" s="29">
        <f>+AVERAGE(G6:I6)</f>
        <v>0.5505553333333334</v>
      </c>
      <c r="K6" s="30">
        <v>30.74</v>
      </c>
      <c r="L6" s="30">
        <v>33.11</v>
      </c>
      <c r="M6" s="30">
        <v>32.79</v>
      </c>
      <c r="N6" s="29">
        <f t="shared" si="0"/>
        <v>32.213333333333331</v>
      </c>
      <c r="O6" s="31"/>
      <c r="P6" s="31"/>
      <c r="Q6" s="31"/>
      <c r="R6" s="31"/>
      <c r="S6" s="31"/>
      <c r="T6" s="31"/>
      <c r="U6" s="31"/>
      <c r="V6" s="31"/>
      <c r="W6" s="31"/>
      <c r="X6" s="36">
        <v>1450.2188183807439</v>
      </c>
    </row>
    <row r="7" spans="1:24" x14ac:dyDescent="0.45">
      <c r="A7" s="15">
        <v>5</v>
      </c>
      <c r="B7" s="15">
        <v>5</v>
      </c>
      <c r="C7" s="15">
        <v>1</v>
      </c>
      <c r="D7" s="57" t="s">
        <v>45</v>
      </c>
      <c r="E7" s="14" t="s">
        <v>3</v>
      </c>
      <c r="F7" s="13" t="s">
        <v>2</v>
      </c>
      <c r="G7" s="31"/>
      <c r="H7" s="31"/>
      <c r="I7" s="31"/>
      <c r="J7" s="32"/>
      <c r="K7" s="31"/>
      <c r="L7" s="31"/>
      <c r="M7" s="31"/>
      <c r="N7" s="33"/>
      <c r="O7" s="31"/>
      <c r="P7" s="31"/>
      <c r="Q7" s="31"/>
      <c r="R7" s="31"/>
      <c r="S7" s="31"/>
      <c r="T7" s="31"/>
      <c r="U7" s="31"/>
      <c r="V7" s="31"/>
      <c r="W7" s="31"/>
      <c r="X7" s="36">
        <v>271.3347921225382</v>
      </c>
    </row>
    <row r="8" spans="1:24" x14ac:dyDescent="0.45">
      <c r="A8" s="15">
        <v>6</v>
      </c>
      <c r="B8" s="15">
        <v>6</v>
      </c>
      <c r="C8" s="15">
        <v>1</v>
      </c>
      <c r="D8" s="57" t="s">
        <v>47</v>
      </c>
      <c r="E8" s="14" t="s">
        <v>1</v>
      </c>
      <c r="F8" s="13" t="s">
        <v>0</v>
      </c>
      <c r="G8" s="31"/>
      <c r="H8" s="31"/>
      <c r="I8" s="31"/>
      <c r="J8" s="32"/>
      <c r="K8" s="31"/>
      <c r="L8" s="31"/>
      <c r="M8" s="31"/>
      <c r="N8" s="33"/>
      <c r="O8" s="31"/>
      <c r="P8" s="31"/>
      <c r="Q8" s="31"/>
      <c r="R8" s="31"/>
      <c r="S8" s="31"/>
      <c r="T8" s="31"/>
      <c r="U8" s="31"/>
      <c r="V8" s="31"/>
      <c r="W8" s="31"/>
      <c r="X8" s="36">
        <v>2586.980306345733</v>
      </c>
    </row>
    <row r="9" spans="1:24" x14ac:dyDescent="0.45">
      <c r="A9" s="15">
        <v>7</v>
      </c>
      <c r="B9" s="15">
        <v>7</v>
      </c>
      <c r="C9" s="15">
        <v>1</v>
      </c>
      <c r="D9" s="57" t="s">
        <v>49</v>
      </c>
      <c r="E9" s="14" t="s">
        <v>1</v>
      </c>
      <c r="F9" s="13" t="s">
        <v>0</v>
      </c>
      <c r="G9" s="31"/>
      <c r="H9" s="31"/>
      <c r="I9" s="31"/>
      <c r="J9" s="32"/>
      <c r="K9" s="31"/>
      <c r="L9" s="31"/>
      <c r="M9" s="31"/>
      <c r="N9" s="33"/>
      <c r="O9" s="31"/>
      <c r="P9" s="31"/>
      <c r="Q9" s="31"/>
      <c r="R9" s="31"/>
      <c r="S9" s="31"/>
      <c r="T9" s="31"/>
      <c r="U9" s="31"/>
      <c r="V9" s="31"/>
      <c r="W9" s="31"/>
      <c r="X9" s="36">
        <v>1771.8818380743983</v>
      </c>
    </row>
    <row r="10" spans="1:24" x14ac:dyDescent="0.45">
      <c r="A10" s="15">
        <v>8</v>
      </c>
      <c r="B10" s="15">
        <v>8</v>
      </c>
      <c r="C10" s="15">
        <v>1</v>
      </c>
      <c r="D10" s="57" t="s">
        <v>51</v>
      </c>
      <c r="E10" s="14" t="s">
        <v>3</v>
      </c>
      <c r="F10" s="13" t="s">
        <v>2</v>
      </c>
      <c r="G10" s="31"/>
      <c r="H10" s="31"/>
      <c r="I10" s="31"/>
      <c r="J10" s="32"/>
      <c r="K10" s="31"/>
      <c r="L10" s="31"/>
      <c r="M10" s="31"/>
      <c r="N10" s="33"/>
      <c r="O10" s="31"/>
      <c r="P10" s="31"/>
      <c r="Q10" s="31"/>
      <c r="R10" s="31"/>
      <c r="S10" s="31"/>
      <c r="T10" s="31"/>
      <c r="U10" s="31"/>
      <c r="V10" s="31"/>
      <c r="W10" s="31"/>
      <c r="X10" s="36">
        <v>1237.9649890590808</v>
      </c>
    </row>
    <row r="11" spans="1:24" x14ac:dyDescent="0.45">
      <c r="A11" s="15">
        <v>9</v>
      </c>
      <c r="B11" s="15">
        <v>9</v>
      </c>
      <c r="C11" s="15">
        <v>1</v>
      </c>
      <c r="D11" s="48" t="s">
        <v>27</v>
      </c>
      <c r="E11" s="14" t="s">
        <v>1</v>
      </c>
      <c r="F11" s="13" t="s">
        <v>2</v>
      </c>
      <c r="G11" s="27">
        <v>0.90991500000000003</v>
      </c>
      <c r="H11" s="27">
        <v>0.64546000000000003</v>
      </c>
      <c r="I11" s="27">
        <v>0.71293499999999999</v>
      </c>
      <c r="J11" s="29">
        <f>+AVERAGE(G11:I11)</f>
        <v>0.75610333333333335</v>
      </c>
      <c r="K11" s="30">
        <v>31</v>
      </c>
      <c r="L11" s="30">
        <v>30.99</v>
      </c>
      <c r="M11" s="30">
        <v>32.590000000000003</v>
      </c>
      <c r="N11" s="29">
        <f t="shared" si="0"/>
        <v>31.526666666666667</v>
      </c>
      <c r="O11" s="30">
        <v>0.85533099999999995</v>
      </c>
      <c r="P11" s="30">
        <v>0.70011000000000001</v>
      </c>
      <c r="Q11" s="30">
        <v>0.230633</v>
      </c>
      <c r="R11" s="29">
        <f>+AVERAGE(O11:Q11)</f>
        <v>0.59535800000000005</v>
      </c>
      <c r="S11" s="30">
        <v>25.88</v>
      </c>
      <c r="T11" s="30">
        <v>26.35</v>
      </c>
      <c r="U11" s="30">
        <v>28.14</v>
      </c>
      <c r="V11" s="30"/>
      <c r="W11" s="29">
        <f>+AVERAGE(S11:U11)</f>
        <v>26.790000000000003</v>
      </c>
      <c r="X11" s="36">
        <v>952.95404814004382</v>
      </c>
    </row>
    <row r="12" spans="1:24" x14ac:dyDescent="0.45">
      <c r="A12" s="15">
        <v>10</v>
      </c>
      <c r="B12" s="15">
        <v>10</v>
      </c>
      <c r="C12" s="15">
        <v>1</v>
      </c>
      <c r="D12" s="48" t="s">
        <v>28</v>
      </c>
      <c r="E12" s="14" t="s">
        <v>1</v>
      </c>
      <c r="F12" s="13" t="s">
        <v>5</v>
      </c>
      <c r="G12" s="27">
        <v>1.9116000000000001E-2</v>
      </c>
      <c r="H12" s="27">
        <v>6.5955E-2</v>
      </c>
      <c r="I12" s="27">
        <v>3.7020999999999998E-2</v>
      </c>
      <c r="J12" s="29">
        <f>+AVERAGE(G12:I12)</f>
        <v>4.0697333333333335E-2</v>
      </c>
      <c r="K12" s="30">
        <v>34.11</v>
      </c>
      <c r="L12" s="30">
        <v>34.090000000000003</v>
      </c>
      <c r="M12" s="30">
        <v>33.99</v>
      </c>
      <c r="N12" s="29">
        <f t="shared" si="0"/>
        <v>34.063333333333333</v>
      </c>
      <c r="O12" s="30">
        <v>0.20927899999999999</v>
      </c>
      <c r="P12" s="30">
        <v>0.81178300000000003</v>
      </c>
      <c r="Q12" s="30">
        <v>0.27840900000000002</v>
      </c>
      <c r="R12" s="29">
        <f t="shared" ref="R12:R18" si="1">+AVERAGE(O12:Q12)</f>
        <v>0.43315700000000001</v>
      </c>
      <c r="S12" s="30">
        <v>27.71</v>
      </c>
      <c r="T12" s="30">
        <v>26.61</v>
      </c>
      <c r="U12" s="30">
        <v>27.82</v>
      </c>
      <c r="V12" s="30"/>
      <c r="W12" s="29">
        <f>+AVERAGE(S12:U12)</f>
        <v>27.38</v>
      </c>
      <c r="X12" s="36">
        <v>856.12691466083152</v>
      </c>
    </row>
    <row r="13" spans="1:24" x14ac:dyDescent="0.45">
      <c r="A13" s="15">
        <v>11</v>
      </c>
      <c r="B13" s="15">
        <v>11</v>
      </c>
      <c r="C13" s="15">
        <v>1</v>
      </c>
      <c r="D13" s="48" t="s">
        <v>29</v>
      </c>
      <c r="E13" s="14" t="s">
        <v>4</v>
      </c>
      <c r="F13" s="13" t="s">
        <v>0</v>
      </c>
      <c r="G13" s="27">
        <v>3.4138000000000002E-2</v>
      </c>
      <c r="H13" s="27">
        <v>4.2376999999999998E-2</v>
      </c>
      <c r="I13" s="27">
        <v>3.0839999999999999E-2</v>
      </c>
      <c r="J13" s="29">
        <f>+AVERAGE(G13:I13)</f>
        <v>3.5785000000000004E-2</v>
      </c>
      <c r="K13" s="30">
        <v>32.08</v>
      </c>
      <c r="L13" s="30">
        <v>33.880000000000003</v>
      </c>
      <c r="M13" s="30">
        <v>33.090000000000003</v>
      </c>
      <c r="N13" s="29">
        <f t="shared" si="0"/>
        <v>33.016666666666673</v>
      </c>
      <c r="O13" s="30">
        <v>0.19466900000000001</v>
      </c>
      <c r="P13" s="30">
        <v>0.40301500000000001</v>
      </c>
      <c r="Q13" s="39">
        <v>1.3693360000000001</v>
      </c>
      <c r="R13" s="29">
        <f t="shared" si="1"/>
        <v>0.65567333333333344</v>
      </c>
      <c r="S13" s="30">
        <v>27.94</v>
      </c>
      <c r="T13" s="30">
        <v>27.44</v>
      </c>
      <c r="U13" s="30">
        <v>27.18</v>
      </c>
      <c r="V13" s="30"/>
      <c r="W13" s="29">
        <f t="shared" ref="W13:W15" si="2">+AVERAGE(S13:U13)</f>
        <v>27.52</v>
      </c>
      <c r="X13" s="36">
        <v>910.83150984682698</v>
      </c>
    </row>
    <row r="14" spans="1:24" x14ac:dyDescent="0.45">
      <c r="A14" s="15">
        <v>12</v>
      </c>
      <c r="B14" s="15">
        <v>12</v>
      </c>
      <c r="C14" s="15">
        <v>1</v>
      </c>
      <c r="D14" s="48" t="s">
        <v>30</v>
      </c>
      <c r="E14" s="14" t="s">
        <v>3</v>
      </c>
      <c r="F14" s="13" t="s">
        <v>5</v>
      </c>
      <c r="G14" s="27">
        <v>5.2091999999999999E-2</v>
      </c>
      <c r="H14" s="27">
        <v>6.1976000000000003E-2</v>
      </c>
      <c r="I14" s="27">
        <v>4.4268000000000002E-2</v>
      </c>
      <c r="J14" s="29">
        <f>+AVERAGE(G14:I14)</f>
        <v>5.2778666666666668E-2</v>
      </c>
      <c r="K14" s="30">
        <v>31.75</v>
      </c>
      <c r="L14" s="30">
        <v>32.21</v>
      </c>
      <c r="M14" s="30">
        <v>31.95</v>
      </c>
      <c r="N14" s="29">
        <f t="shared" si="0"/>
        <v>31.97</v>
      </c>
      <c r="O14" s="30">
        <v>0.94388799999999995</v>
      </c>
      <c r="P14" s="30">
        <v>0.88123499999999999</v>
      </c>
      <c r="Q14" s="30">
        <v>0.37139800000000001</v>
      </c>
      <c r="R14" s="29">
        <f t="shared" si="1"/>
        <v>0.73217366666666672</v>
      </c>
      <c r="S14" s="30">
        <v>27.24</v>
      </c>
      <c r="T14" s="30">
        <v>27.36</v>
      </c>
      <c r="U14" s="30">
        <v>27.5</v>
      </c>
      <c r="V14" s="30"/>
      <c r="W14" s="29">
        <f t="shared" si="2"/>
        <v>27.366666666666664</v>
      </c>
      <c r="X14" s="36">
        <v>1498.90590809628</v>
      </c>
    </row>
    <row r="15" spans="1:24" x14ac:dyDescent="0.45">
      <c r="A15" s="15">
        <v>13</v>
      </c>
      <c r="B15" s="15">
        <v>1</v>
      </c>
      <c r="C15" s="15">
        <v>2</v>
      </c>
      <c r="D15" s="49" t="s">
        <v>28</v>
      </c>
      <c r="E15" s="14" t="s">
        <v>3</v>
      </c>
      <c r="F15" s="13" t="s">
        <v>0</v>
      </c>
      <c r="G15" s="27">
        <v>4.2775000000000001E-2</v>
      </c>
      <c r="H15" s="27">
        <v>2.1687999999999999E-2</v>
      </c>
      <c r="I15" s="27">
        <v>8.1614000000000006E-2</v>
      </c>
      <c r="J15" s="29">
        <f>+AVERAGE(G15:I15)</f>
        <v>4.8692333333333337E-2</v>
      </c>
      <c r="K15" s="30">
        <v>32.81</v>
      </c>
      <c r="L15" s="30">
        <v>33.549999999999997</v>
      </c>
      <c r="M15" s="30">
        <v>31.31</v>
      </c>
      <c r="N15" s="29">
        <f t="shared" si="0"/>
        <v>32.556666666666665</v>
      </c>
      <c r="O15" s="30">
        <v>0.118801</v>
      </c>
      <c r="P15" s="30">
        <v>0.14762800000000001</v>
      </c>
      <c r="Q15" s="30">
        <v>0.12350899999999999</v>
      </c>
      <c r="R15" s="29">
        <f t="shared" si="1"/>
        <v>0.12997933333333334</v>
      </c>
      <c r="S15" s="30">
        <v>29.08</v>
      </c>
      <c r="T15" s="30">
        <v>29.39</v>
      </c>
      <c r="U15" s="30">
        <v>29.25</v>
      </c>
      <c r="V15" s="30"/>
      <c r="W15" s="29">
        <f t="shared" si="2"/>
        <v>29.24</v>
      </c>
      <c r="X15" s="36">
        <v>586.43326039387307</v>
      </c>
    </row>
    <row r="16" spans="1:24" x14ac:dyDescent="0.45">
      <c r="A16" s="15">
        <v>14</v>
      </c>
      <c r="B16" s="15">
        <v>2</v>
      </c>
      <c r="C16" s="15">
        <v>2</v>
      </c>
      <c r="D16" s="57" t="s">
        <v>51</v>
      </c>
      <c r="E16" s="14" t="s">
        <v>1</v>
      </c>
      <c r="F16" s="13" t="s">
        <v>2</v>
      </c>
      <c r="G16" s="31"/>
      <c r="H16" s="31"/>
      <c r="I16" s="31"/>
      <c r="J16" s="32"/>
      <c r="K16" s="34"/>
      <c r="L16" s="31"/>
      <c r="M16" s="31"/>
      <c r="N16" s="33"/>
      <c r="O16" s="31"/>
      <c r="P16" s="31"/>
      <c r="Q16" s="31"/>
      <c r="R16" s="31"/>
      <c r="S16" s="31"/>
      <c r="T16" s="31"/>
      <c r="U16" s="31"/>
      <c r="V16" s="31"/>
      <c r="W16" s="31"/>
      <c r="X16" s="36">
        <v>1647.1553610503283</v>
      </c>
    </row>
    <row r="17" spans="1:24" x14ac:dyDescent="0.45">
      <c r="A17" s="15">
        <v>15</v>
      </c>
      <c r="B17" s="15">
        <v>3</v>
      </c>
      <c r="C17" s="15">
        <v>2</v>
      </c>
      <c r="D17" s="49" t="s">
        <v>27</v>
      </c>
      <c r="E17" s="14" t="s">
        <v>1</v>
      </c>
      <c r="F17" s="13" t="s">
        <v>2</v>
      </c>
      <c r="G17" s="27">
        <v>3.2378999999999998E-2</v>
      </c>
      <c r="H17" s="27">
        <v>1.8626E-2</v>
      </c>
      <c r="I17" s="27">
        <v>9.3448000000000003E-2</v>
      </c>
      <c r="J17" s="29">
        <f>+AVERAGE(G17:I17)</f>
        <v>4.8150999999999999E-2</v>
      </c>
      <c r="K17" s="30">
        <v>33.130000000000003</v>
      </c>
      <c r="L17" s="30">
        <v>33.19</v>
      </c>
      <c r="M17" s="30">
        <v>31.99</v>
      </c>
      <c r="N17" s="29">
        <f t="shared" si="0"/>
        <v>32.769999999999996</v>
      </c>
      <c r="O17" s="30">
        <v>0.165467</v>
      </c>
      <c r="P17" s="30">
        <v>0.222882</v>
      </c>
      <c r="Q17" s="30">
        <v>0.12784499999999999</v>
      </c>
      <c r="R17" s="29">
        <f t="shared" si="1"/>
        <v>0.17206466666666667</v>
      </c>
      <c r="S17" s="30">
        <v>29.66</v>
      </c>
      <c r="T17" s="30">
        <v>29.63</v>
      </c>
      <c r="U17" s="30">
        <v>30.05</v>
      </c>
      <c r="V17" s="30"/>
      <c r="W17" s="29">
        <f>+AVERAGE(S17:U17)</f>
        <v>29.78</v>
      </c>
      <c r="X17" s="36">
        <v>1360.5032822757114</v>
      </c>
    </row>
    <row r="18" spans="1:24" x14ac:dyDescent="0.45">
      <c r="A18" s="15">
        <v>16</v>
      </c>
      <c r="B18" s="15">
        <v>4</v>
      </c>
      <c r="C18" s="15">
        <v>2</v>
      </c>
      <c r="D18" s="49" t="s">
        <v>24</v>
      </c>
      <c r="E18" s="14" t="s">
        <v>0</v>
      </c>
      <c r="F18" s="13" t="s">
        <v>2</v>
      </c>
      <c r="G18" s="27">
        <v>2.3661000000000001E-2</v>
      </c>
      <c r="H18" s="27">
        <v>3.4405999999999999E-2</v>
      </c>
      <c r="I18" s="27">
        <v>1.8727000000000001E-2</v>
      </c>
      <c r="J18" s="29">
        <f>+AVERAGE(G18:I18)</f>
        <v>2.5597999999999999E-2</v>
      </c>
      <c r="K18" s="30">
        <v>33.25</v>
      </c>
      <c r="L18" s="30">
        <v>33.36</v>
      </c>
      <c r="M18" s="30">
        <v>32.14</v>
      </c>
      <c r="N18" s="29">
        <f t="shared" si="0"/>
        <v>32.916666666666664</v>
      </c>
      <c r="O18" s="30">
        <v>0.35787200000000002</v>
      </c>
      <c r="P18" s="30">
        <v>0.134015</v>
      </c>
      <c r="Q18" s="30">
        <v>0.40795900000000002</v>
      </c>
      <c r="R18" s="29">
        <f t="shared" si="1"/>
        <v>0.2999486666666667</v>
      </c>
      <c r="S18" s="30">
        <v>29.16</v>
      </c>
      <c r="T18" s="30">
        <v>30.34</v>
      </c>
      <c r="U18" s="30">
        <v>29.23</v>
      </c>
      <c r="V18" s="30"/>
      <c r="W18" s="29">
        <f>+AVERAGE(S18:U18)</f>
        <v>29.576666666666668</v>
      </c>
      <c r="X18" s="36">
        <v>1636.2144420131292</v>
      </c>
    </row>
    <row r="19" spans="1:24" x14ac:dyDescent="0.45">
      <c r="A19" s="15">
        <v>17</v>
      </c>
      <c r="B19" s="15">
        <v>5</v>
      </c>
      <c r="C19" s="15">
        <v>2</v>
      </c>
      <c r="D19" s="57" t="s">
        <v>49</v>
      </c>
      <c r="E19" s="14" t="s">
        <v>1</v>
      </c>
      <c r="F19" s="13" t="s">
        <v>0</v>
      </c>
      <c r="G19" s="31"/>
      <c r="H19" s="31"/>
      <c r="I19" s="31"/>
      <c r="J19" s="32"/>
      <c r="K19" s="31"/>
      <c r="L19" s="31"/>
      <c r="M19" s="31"/>
      <c r="N19" s="33"/>
      <c r="O19" s="31"/>
      <c r="P19" s="31"/>
      <c r="Q19" s="31"/>
      <c r="R19" s="32"/>
      <c r="S19" s="31"/>
      <c r="T19" s="31"/>
      <c r="U19" s="31"/>
      <c r="V19" s="31"/>
      <c r="W19" s="31"/>
      <c r="X19" s="36">
        <v>1438.1838074398249</v>
      </c>
    </row>
    <row r="20" spans="1:24" x14ac:dyDescent="0.45">
      <c r="A20" s="15">
        <v>18</v>
      </c>
      <c r="B20" s="15">
        <v>6</v>
      </c>
      <c r="C20" s="15">
        <v>2</v>
      </c>
      <c r="D20" s="49" t="s">
        <v>26</v>
      </c>
      <c r="E20" s="14" t="s">
        <v>3</v>
      </c>
      <c r="F20" s="13" t="s">
        <v>2</v>
      </c>
      <c r="G20" s="27">
        <v>2.7654999999999999E-2</v>
      </c>
      <c r="H20" s="27">
        <v>2.7036999999999999E-2</v>
      </c>
      <c r="I20" s="27">
        <v>6.5548999999999996E-2</v>
      </c>
      <c r="J20" s="29">
        <f>+AVERAGE(G20:I20)</f>
        <v>4.0080333333333329E-2</v>
      </c>
      <c r="K20" s="30">
        <v>33.979999999999997</v>
      </c>
      <c r="L20" s="30">
        <v>34.19</v>
      </c>
      <c r="M20" s="30">
        <v>34.18</v>
      </c>
      <c r="N20" s="29">
        <f t="shared" si="0"/>
        <v>34.116666666666667</v>
      </c>
      <c r="O20" s="31"/>
      <c r="P20" s="31"/>
      <c r="Q20" s="31"/>
      <c r="R20" s="32"/>
      <c r="S20" s="31"/>
      <c r="T20" s="31"/>
      <c r="U20" s="31"/>
      <c r="V20" s="31"/>
      <c r="W20" s="31"/>
      <c r="X20" s="36">
        <v>1684.9015317286651</v>
      </c>
    </row>
    <row r="21" spans="1:24" x14ac:dyDescent="0.45">
      <c r="A21" s="15">
        <v>19</v>
      </c>
      <c r="B21" s="15">
        <v>7</v>
      </c>
      <c r="C21" s="15">
        <v>2</v>
      </c>
      <c r="D21" s="57" t="s">
        <v>45</v>
      </c>
      <c r="E21" s="14" t="s">
        <v>4</v>
      </c>
      <c r="F21" s="13" t="s">
        <v>2</v>
      </c>
      <c r="G21" s="31"/>
      <c r="H21" s="31"/>
      <c r="I21" s="31"/>
      <c r="J21" s="32"/>
      <c r="K21" s="31"/>
      <c r="L21" s="31"/>
      <c r="M21" s="31"/>
      <c r="N21" s="33"/>
      <c r="O21" s="31"/>
      <c r="P21" s="31"/>
      <c r="Q21" s="31"/>
      <c r="R21" s="32"/>
      <c r="S21" s="31"/>
      <c r="T21" s="31"/>
      <c r="U21" s="31"/>
      <c r="V21" s="31"/>
      <c r="W21" s="31"/>
      <c r="X21" s="36">
        <v>1712.253829321663</v>
      </c>
    </row>
    <row r="22" spans="1:24" x14ac:dyDescent="0.45">
      <c r="A22" s="15">
        <v>20</v>
      </c>
      <c r="B22" s="15">
        <v>8</v>
      </c>
      <c r="C22" s="15">
        <v>2</v>
      </c>
      <c r="D22" s="49" t="s">
        <v>29</v>
      </c>
      <c r="E22" s="14" t="s">
        <v>0</v>
      </c>
      <c r="F22" s="13" t="s">
        <v>0</v>
      </c>
      <c r="G22" s="27">
        <v>5.5226999999999998E-2</v>
      </c>
      <c r="H22" s="27">
        <v>4.8159E-2</v>
      </c>
      <c r="I22" s="27">
        <v>4.2999999999999997E-2</v>
      </c>
      <c r="J22" s="29">
        <f>+AVERAGE(G22:I22)</f>
        <v>4.8795333333333336E-2</v>
      </c>
      <c r="K22" s="30">
        <v>33.630000000000003</v>
      </c>
      <c r="L22" s="30">
        <v>33.07</v>
      </c>
      <c r="M22" s="30">
        <v>33.94</v>
      </c>
      <c r="N22" s="29">
        <f t="shared" si="0"/>
        <v>33.546666666666667</v>
      </c>
      <c r="O22" s="30">
        <v>0.16649800000000001</v>
      </c>
      <c r="P22" s="30">
        <v>0.42769499999999999</v>
      </c>
      <c r="Q22" s="30">
        <v>0.37587999999999999</v>
      </c>
      <c r="R22" s="29">
        <f t="shared" ref="R22:R24" si="3">+AVERAGE(O22:Q22)</f>
        <v>0.32335766666666665</v>
      </c>
      <c r="S22" s="30">
        <v>30.21</v>
      </c>
      <c r="T22" s="30">
        <v>29.42</v>
      </c>
      <c r="U22" s="30">
        <v>29.25</v>
      </c>
      <c r="V22" s="30"/>
      <c r="W22" s="29">
        <f>+AVERAGE(S22:U22)</f>
        <v>29.626666666666665</v>
      </c>
      <c r="X22" s="36">
        <v>894.96717724288851</v>
      </c>
    </row>
    <row r="23" spans="1:24" x14ac:dyDescent="0.45">
      <c r="A23" s="15">
        <v>21</v>
      </c>
      <c r="B23" s="15">
        <v>9</v>
      </c>
      <c r="C23" s="15">
        <v>2</v>
      </c>
      <c r="D23" s="49" t="s">
        <v>23</v>
      </c>
      <c r="E23" s="14" t="s">
        <v>4</v>
      </c>
      <c r="F23" s="13" t="s">
        <v>2</v>
      </c>
      <c r="G23" s="27">
        <v>4.1749000000000001E-2</v>
      </c>
      <c r="H23" s="27">
        <v>3.8487E-2</v>
      </c>
      <c r="I23" s="27">
        <v>1.4217E-2</v>
      </c>
      <c r="J23" s="29">
        <f>+AVERAGE(G23:I23)</f>
        <v>3.1484333333333336E-2</v>
      </c>
      <c r="K23" s="30">
        <v>31.66</v>
      </c>
      <c r="L23" s="30">
        <v>31.77</v>
      </c>
      <c r="M23" s="30">
        <v>31.95</v>
      </c>
      <c r="N23" s="29">
        <f t="shared" si="0"/>
        <v>31.793333333333333</v>
      </c>
      <c r="O23" s="30">
        <v>0.37551899999999999</v>
      </c>
      <c r="P23" s="30">
        <v>0.41266199999999997</v>
      </c>
      <c r="Q23" s="30">
        <v>0.399895</v>
      </c>
      <c r="R23" s="29">
        <f t="shared" si="3"/>
        <v>0.3960253333333334</v>
      </c>
      <c r="S23" s="30">
        <v>29.23</v>
      </c>
      <c r="T23" s="30">
        <v>29.22</v>
      </c>
      <c r="U23" s="30">
        <v>29.26</v>
      </c>
      <c r="V23" s="30"/>
      <c r="W23" s="29">
        <f t="shared" ref="W23:W24" si="4">+AVERAGE(S23:U23)</f>
        <v>29.236666666666668</v>
      </c>
      <c r="X23" s="36">
        <v>1430.5251641137854</v>
      </c>
    </row>
    <row r="24" spans="1:24" x14ac:dyDescent="0.45">
      <c r="A24" s="15">
        <v>22</v>
      </c>
      <c r="B24" s="15">
        <v>10</v>
      </c>
      <c r="C24" s="15">
        <v>2</v>
      </c>
      <c r="D24" s="49" t="s">
        <v>30</v>
      </c>
      <c r="E24" s="14" t="s">
        <v>3</v>
      </c>
      <c r="F24" s="13" t="s">
        <v>2</v>
      </c>
      <c r="G24" s="27">
        <v>3.5720000000000002E-2</v>
      </c>
      <c r="H24" s="27">
        <v>4.8869999999999997E-2</v>
      </c>
      <c r="I24" s="27">
        <v>5.4443999999999999E-2</v>
      </c>
      <c r="J24" s="29">
        <f>+AVERAGE(G24:I24)</f>
        <v>4.6344666666666666E-2</v>
      </c>
      <c r="K24" s="30">
        <v>32.29</v>
      </c>
      <c r="L24" s="30">
        <v>31.85</v>
      </c>
      <c r="M24" s="30">
        <v>32.19</v>
      </c>
      <c r="N24" s="29">
        <f t="shared" si="0"/>
        <v>32.11</v>
      </c>
      <c r="O24" s="30">
        <v>0.221133</v>
      </c>
      <c r="P24" s="30">
        <v>0.37623899999999999</v>
      </c>
      <c r="Q24" s="30">
        <v>7.8584000000000001E-2</v>
      </c>
      <c r="R24" s="29">
        <f t="shared" si="3"/>
        <v>0.22531866666666667</v>
      </c>
      <c r="S24" s="30">
        <v>29.89</v>
      </c>
      <c r="T24" s="30">
        <v>30.78</v>
      </c>
      <c r="U24" s="30">
        <v>31.31</v>
      </c>
      <c r="V24" s="30"/>
      <c r="W24" s="29">
        <f t="shared" si="4"/>
        <v>30.66</v>
      </c>
      <c r="X24" s="36">
        <v>1812.3632385120352</v>
      </c>
    </row>
    <row r="25" spans="1:24" x14ac:dyDescent="0.45">
      <c r="A25" s="15">
        <v>23</v>
      </c>
      <c r="B25" s="15">
        <v>11</v>
      </c>
      <c r="C25" s="15">
        <v>2</v>
      </c>
      <c r="D25" s="57" t="s">
        <v>47</v>
      </c>
      <c r="E25" s="14" t="s">
        <v>1</v>
      </c>
      <c r="F25" s="13" t="s">
        <v>0</v>
      </c>
      <c r="G25" s="31"/>
      <c r="H25" s="31"/>
      <c r="I25" s="31"/>
      <c r="J25" s="32"/>
      <c r="K25" s="31"/>
      <c r="L25" s="31"/>
      <c r="M25" s="31"/>
      <c r="N25" s="33"/>
      <c r="O25" s="31"/>
      <c r="P25" s="31"/>
      <c r="Q25" s="31"/>
      <c r="R25" s="32"/>
      <c r="S25" s="31"/>
      <c r="T25" s="31"/>
      <c r="U25" s="31"/>
      <c r="V25" s="31"/>
      <c r="W25" s="31"/>
      <c r="X25" s="36">
        <v>1802.5164113785556</v>
      </c>
    </row>
    <row r="26" spans="1:24" x14ac:dyDescent="0.45">
      <c r="A26" s="15">
        <v>24</v>
      </c>
      <c r="B26" s="15">
        <v>12</v>
      </c>
      <c r="C26" s="15">
        <v>2</v>
      </c>
      <c r="D26" s="15" t="s">
        <v>25</v>
      </c>
      <c r="E26" s="14" t="s">
        <v>3</v>
      </c>
      <c r="F26" s="13" t="s">
        <v>0</v>
      </c>
      <c r="G26" s="27">
        <v>4.7650999999999999E-2</v>
      </c>
      <c r="H26" s="27">
        <v>4.5703000000000001E-2</v>
      </c>
      <c r="I26" s="27">
        <v>6.5589999999999996E-2</v>
      </c>
      <c r="J26" s="29">
        <f>+AVERAGE(G26:I26)</f>
        <v>5.2981333333333325E-2</v>
      </c>
      <c r="K26" s="30">
        <v>32.4</v>
      </c>
      <c r="L26" s="30">
        <v>31.68</v>
      </c>
      <c r="M26" s="30">
        <v>31.1</v>
      </c>
      <c r="N26" s="29">
        <f t="shared" si="0"/>
        <v>31.72666666666667</v>
      </c>
      <c r="O26" s="31"/>
      <c r="P26" s="31"/>
      <c r="Q26" s="31"/>
      <c r="R26" s="32"/>
      <c r="S26" s="31"/>
      <c r="T26" s="31"/>
      <c r="U26" s="31"/>
      <c r="V26" s="31"/>
      <c r="W26" s="31"/>
      <c r="X26" s="36">
        <v>1613.785557986871</v>
      </c>
    </row>
    <row r="27" spans="1:24" x14ac:dyDescent="0.45">
      <c r="A27" s="15">
        <v>25</v>
      </c>
      <c r="B27" s="15">
        <v>1</v>
      </c>
      <c r="C27" s="15">
        <v>3</v>
      </c>
      <c r="D27" s="15" t="s">
        <v>24</v>
      </c>
      <c r="E27" s="14" t="s">
        <v>0</v>
      </c>
      <c r="F27" s="13" t="s">
        <v>0</v>
      </c>
      <c r="G27" s="27">
        <v>6.4085000000000003E-2</v>
      </c>
      <c r="H27" s="27">
        <v>8.1361000000000003E-2</v>
      </c>
      <c r="I27" s="27">
        <v>3.9157999999999998E-2</v>
      </c>
      <c r="J27" s="29">
        <f>+AVERAGE(G27:I27)</f>
        <v>6.1534666666666675E-2</v>
      </c>
      <c r="K27" s="30">
        <v>32.229999999999997</v>
      </c>
      <c r="L27" s="30">
        <v>32.159999999999997</v>
      </c>
      <c r="M27" s="30">
        <v>35.1</v>
      </c>
      <c r="N27" s="29">
        <f t="shared" si="0"/>
        <v>33.163333333333327</v>
      </c>
      <c r="O27" s="30">
        <v>0.64034599999999997</v>
      </c>
      <c r="P27" s="39">
        <v>1.608803</v>
      </c>
      <c r="Q27" s="30">
        <v>0.86576500000000001</v>
      </c>
      <c r="R27" s="29">
        <f t="shared" ref="R27:R28" si="5">+AVERAGE(O27:Q27)</f>
        <v>1.0383046666666667</v>
      </c>
      <c r="S27" s="30">
        <v>31.12</v>
      </c>
      <c r="T27" s="30">
        <v>30.76</v>
      </c>
      <c r="U27" s="30">
        <v>30.99</v>
      </c>
      <c r="V27" s="30"/>
      <c r="W27" s="29">
        <f>+AVERAGE(S27:U27)</f>
        <v>30.956666666666667</v>
      </c>
      <c r="X27" s="36">
        <v>1796.4989059080965</v>
      </c>
    </row>
    <row r="28" spans="1:24" x14ac:dyDescent="0.45">
      <c r="A28" s="15">
        <v>26</v>
      </c>
      <c r="B28" s="15">
        <v>2</v>
      </c>
      <c r="C28" s="15">
        <v>3</v>
      </c>
      <c r="D28" s="15" t="s">
        <v>23</v>
      </c>
      <c r="E28" s="14" t="s">
        <v>0</v>
      </c>
      <c r="F28" s="13" t="s">
        <v>2</v>
      </c>
      <c r="G28" s="27">
        <v>5.0106999999999999E-2</v>
      </c>
      <c r="H28" s="27">
        <v>8.0017000000000005E-2</v>
      </c>
      <c r="I28" s="27">
        <v>5.9101000000000001E-2</v>
      </c>
      <c r="J28" s="29">
        <f>+AVERAGE(G28:I28)</f>
        <v>6.3075000000000006E-2</v>
      </c>
      <c r="K28" s="30">
        <v>32.69</v>
      </c>
      <c r="L28" s="30">
        <v>34.44</v>
      </c>
      <c r="M28" s="30">
        <v>33.86</v>
      </c>
      <c r="N28" s="29">
        <f t="shared" si="0"/>
        <v>33.663333333333334</v>
      </c>
      <c r="O28" s="30">
        <v>0.92910000000000004</v>
      </c>
      <c r="P28" s="30">
        <v>0.70729699999999995</v>
      </c>
      <c r="Q28" s="39">
        <v>1.243379</v>
      </c>
      <c r="R28" s="29">
        <f t="shared" si="5"/>
        <v>0.95992533333333341</v>
      </c>
      <c r="S28" s="30">
        <v>30.65</v>
      </c>
      <c r="T28" s="30">
        <v>30.84</v>
      </c>
      <c r="U28" s="30">
        <v>30.45</v>
      </c>
      <c r="V28" s="30"/>
      <c r="W28" s="29">
        <f>+AVERAGE(S28:U28)</f>
        <v>30.646666666666665</v>
      </c>
      <c r="X28" s="36">
        <v>1636.7614879649891</v>
      </c>
    </row>
    <row r="29" spans="1:24" x14ac:dyDescent="0.45">
      <c r="A29" s="15">
        <v>27</v>
      </c>
      <c r="B29" s="15">
        <v>3</v>
      </c>
      <c r="C29" s="15">
        <v>3</v>
      </c>
      <c r="D29" s="57" t="s">
        <v>51</v>
      </c>
      <c r="E29" s="14" t="s">
        <v>1</v>
      </c>
      <c r="F29" s="13" t="s">
        <v>2</v>
      </c>
      <c r="G29" s="31"/>
      <c r="H29" s="31"/>
      <c r="I29" s="31"/>
      <c r="J29" s="32"/>
      <c r="K29" s="31"/>
      <c r="L29" s="31"/>
      <c r="M29" s="31"/>
      <c r="N29" s="33"/>
      <c r="O29" s="31"/>
      <c r="P29" s="31"/>
      <c r="Q29" s="31"/>
      <c r="R29" s="32"/>
      <c r="S29" s="31"/>
      <c r="T29" s="31"/>
      <c r="U29" s="31"/>
      <c r="V29" s="31"/>
      <c r="W29" s="31"/>
      <c r="X29" s="36">
        <v>1442.5601750547046</v>
      </c>
    </row>
    <row r="30" spans="1:24" x14ac:dyDescent="0.45">
      <c r="A30" s="15">
        <v>28</v>
      </c>
      <c r="B30" s="15">
        <v>4</v>
      </c>
      <c r="C30" s="15">
        <v>3</v>
      </c>
      <c r="D30" s="15" t="s">
        <v>27</v>
      </c>
      <c r="E30" s="14" t="s">
        <v>3</v>
      </c>
      <c r="F30" s="13" t="s">
        <v>2</v>
      </c>
      <c r="G30" s="27">
        <v>4.3711E-2</v>
      </c>
      <c r="H30" s="27">
        <v>8.9707999999999996E-2</v>
      </c>
      <c r="I30" s="27">
        <v>5.3921999999999998E-2</v>
      </c>
      <c r="J30" s="29">
        <f t="shared" ref="J30:J35" si="6">+AVERAGE(G30:I30)</f>
        <v>6.2447000000000003E-2</v>
      </c>
      <c r="K30" s="30">
        <v>33.74</v>
      </c>
      <c r="L30" s="30">
        <v>33.630000000000003</v>
      </c>
      <c r="M30" s="30">
        <v>34.26</v>
      </c>
      <c r="N30" s="29">
        <f t="shared" si="0"/>
        <v>33.876666666666665</v>
      </c>
      <c r="O30" s="30">
        <v>0.22611300000000001</v>
      </c>
      <c r="P30" s="30">
        <v>0.416157</v>
      </c>
      <c r="Q30" s="30">
        <v>0.464281</v>
      </c>
      <c r="R30" s="29">
        <f t="shared" ref="R30:R33" si="7">+AVERAGE(O30:Q30)</f>
        <v>0.36885033333333334</v>
      </c>
      <c r="S30" s="30">
        <v>31.93</v>
      </c>
      <c r="T30" s="30">
        <v>31.25</v>
      </c>
      <c r="U30" s="30">
        <v>31.2</v>
      </c>
      <c r="V30" s="30"/>
      <c r="W30" s="29">
        <f>+AVERAGE(S30:U30)</f>
        <v>31.459999999999997</v>
      </c>
      <c r="X30" s="36">
        <v>1736.870897155361</v>
      </c>
    </row>
    <row r="31" spans="1:24" x14ac:dyDescent="0.45">
      <c r="A31" s="15">
        <v>29</v>
      </c>
      <c r="B31" s="15">
        <v>5</v>
      </c>
      <c r="C31" s="15">
        <v>3</v>
      </c>
      <c r="D31" s="49" t="s">
        <v>30</v>
      </c>
      <c r="E31" s="14" t="s">
        <v>4</v>
      </c>
      <c r="F31" s="13" t="s">
        <v>2</v>
      </c>
      <c r="G31" s="27">
        <v>5.7703999999999998E-2</v>
      </c>
      <c r="H31" s="27">
        <v>4.7549000000000001E-2</v>
      </c>
      <c r="I31" s="27">
        <v>4.7606000000000002E-2</v>
      </c>
      <c r="J31" s="29">
        <f t="shared" si="6"/>
        <v>5.0952999999999998E-2</v>
      </c>
      <c r="K31" s="30">
        <v>34.97</v>
      </c>
      <c r="L31" s="30">
        <v>34.549999999999997</v>
      </c>
      <c r="M31" s="30">
        <v>34.42</v>
      </c>
      <c r="N31" s="29">
        <f t="shared" si="0"/>
        <v>34.646666666666668</v>
      </c>
      <c r="O31" s="30">
        <v>0.20485100000000001</v>
      </c>
      <c r="P31" s="30">
        <v>0.38585999999999998</v>
      </c>
      <c r="Q31" s="30">
        <v>0.39913399999999999</v>
      </c>
      <c r="R31" s="29">
        <f t="shared" si="7"/>
        <v>0.32994833333333334</v>
      </c>
      <c r="S31" s="30">
        <v>31.6</v>
      </c>
      <c r="T31" s="30">
        <v>31.42</v>
      </c>
      <c r="U31" s="30">
        <v>31.65</v>
      </c>
      <c r="V31" s="30"/>
      <c r="W31" s="29">
        <f t="shared" ref="W31:W33" si="8">+AVERAGE(S31:U31)</f>
        <v>31.556666666666668</v>
      </c>
      <c r="X31" s="36">
        <v>1681.0722100656455</v>
      </c>
    </row>
    <row r="32" spans="1:24" x14ac:dyDescent="0.45">
      <c r="A32" s="15">
        <v>30</v>
      </c>
      <c r="B32" s="15">
        <v>6</v>
      </c>
      <c r="C32" s="15">
        <v>3</v>
      </c>
      <c r="D32" s="49" t="s">
        <v>29</v>
      </c>
      <c r="E32" s="14" t="s">
        <v>0</v>
      </c>
      <c r="F32" s="13" t="s">
        <v>2</v>
      </c>
      <c r="G32" s="27">
        <v>5.9874999999999998E-2</v>
      </c>
      <c r="H32" s="27">
        <v>4.4437999999999998E-2</v>
      </c>
      <c r="I32" s="27">
        <v>7.8705999999999998E-2</v>
      </c>
      <c r="J32" s="29">
        <f t="shared" si="6"/>
        <v>6.1006333333333329E-2</v>
      </c>
      <c r="K32" s="30">
        <v>34.53</v>
      </c>
      <c r="L32" s="30">
        <v>35.64</v>
      </c>
      <c r="M32" s="30">
        <v>34.979999999999997</v>
      </c>
      <c r="N32" s="29">
        <f t="shared" si="0"/>
        <v>35.050000000000004</v>
      </c>
      <c r="O32" s="30">
        <v>0.13226099999999999</v>
      </c>
      <c r="P32" s="30">
        <v>0.37914300000000001</v>
      </c>
      <c r="Q32" s="30">
        <v>0.32537100000000002</v>
      </c>
      <c r="R32" s="29">
        <f t="shared" si="7"/>
        <v>0.27892500000000003</v>
      </c>
      <c r="S32" s="30">
        <v>31.42</v>
      </c>
      <c r="T32" s="30">
        <v>30.92</v>
      </c>
      <c r="U32" s="30">
        <v>30.97</v>
      </c>
      <c r="V32" s="30"/>
      <c r="W32" s="29">
        <f t="shared" si="8"/>
        <v>31.103333333333335</v>
      </c>
      <c r="X32" s="36">
        <v>1155.9080962800874</v>
      </c>
    </row>
    <row r="33" spans="1:24" x14ac:dyDescent="0.45">
      <c r="A33" s="15">
        <v>31</v>
      </c>
      <c r="B33" s="15">
        <v>7</v>
      </c>
      <c r="C33" s="15">
        <v>3</v>
      </c>
      <c r="D33" s="49" t="s">
        <v>28</v>
      </c>
      <c r="E33" s="14" t="s">
        <v>3</v>
      </c>
      <c r="F33" s="13" t="s">
        <v>5</v>
      </c>
      <c r="G33" s="27">
        <v>0.141126</v>
      </c>
      <c r="H33" s="27">
        <v>6.1966E-2</v>
      </c>
      <c r="I33" s="27">
        <v>6.9577E-2</v>
      </c>
      <c r="J33" s="29">
        <f t="shared" si="6"/>
        <v>9.088966666666666E-2</v>
      </c>
      <c r="K33" s="30">
        <v>33.840000000000003</v>
      </c>
      <c r="L33" s="30">
        <v>34.17</v>
      </c>
      <c r="M33" s="30">
        <v>33.29</v>
      </c>
      <c r="N33" s="29">
        <f t="shared" si="0"/>
        <v>33.766666666666673</v>
      </c>
      <c r="O33" s="30">
        <v>0.11625099999999999</v>
      </c>
      <c r="P33" s="30">
        <v>4.7879999999999999E-2</v>
      </c>
      <c r="Q33" s="30">
        <v>1.1294999999999999E-2</v>
      </c>
      <c r="R33" s="29">
        <f t="shared" si="7"/>
        <v>5.8475333333333331E-2</v>
      </c>
      <c r="S33" s="30">
        <v>30.87</v>
      </c>
      <c r="T33" s="30">
        <v>32.229999999999997</v>
      </c>
      <c r="U33" s="30">
        <v>32.369999999999997</v>
      </c>
      <c r="V33" s="30"/>
      <c r="W33" s="29">
        <f t="shared" si="8"/>
        <v>31.823333333333334</v>
      </c>
      <c r="X33" s="36">
        <v>691.46608315098479</v>
      </c>
    </row>
    <row r="34" spans="1:24" x14ac:dyDescent="0.45">
      <c r="A34" s="15">
        <v>32</v>
      </c>
      <c r="B34" s="15">
        <v>8</v>
      </c>
      <c r="C34" s="15">
        <v>3</v>
      </c>
      <c r="D34" s="49" t="s">
        <v>25</v>
      </c>
      <c r="E34" s="14" t="s">
        <v>1</v>
      </c>
      <c r="F34" s="13" t="s">
        <v>0</v>
      </c>
      <c r="G34" s="27">
        <v>7.2588E-2</v>
      </c>
      <c r="H34" s="27">
        <v>6.6833000000000004E-2</v>
      </c>
      <c r="I34" s="27">
        <v>0.117133</v>
      </c>
      <c r="J34" s="29">
        <f t="shared" si="6"/>
        <v>8.5517999999999997E-2</v>
      </c>
      <c r="K34" s="30">
        <v>34.22</v>
      </c>
      <c r="L34" s="30">
        <v>32.68</v>
      </c>
      <c r="M34" s="30">
        <v>33.64</v>
      </c>
      <c r="N34" s="29">
        <f t="shared" si="0"/>
        <v>33.513333333333335</v>
      </c>
      <c r="O34" s="31"/>
      <c r="P34" s="31"/>
      <c r="Q34" s="31"/>
      <c r="R34" s="32"/>
      <c r="S34" s="31"/>
      <c r="T34" s="31"/>
      <c r="U34" s="31"/>
      <c r="V34" s="31"/>
      <c r="W34" s="31"/>
      <c r="X34" s="36">
        <v>1548.1400437636764</v>
      </c>
    </row>
    <row r="35" spans="1:24" x14ac:dyDescent="0.45">
      <c r="A35" s="15">
        <v>33</v>
      </c>
      <c r="B35" s="15">
        <v>9</v>
      </c>
      <c r="C35" s="15">
        <v>3</v>
      </c>
      <c r="D35" s="49" t="s">
        <v>26</v>
      </c>
      <c r="E35" s="14" t="s">
        <v>3</v>
      </c>
      <c r="F35" s="13" t="s">
        <v>2</v>
      </c>
      <c r="G35" s="27">
        <v>6.0104999999999999E-2</v>
      </c>
      <c r="H35" s="27">
        <v>6.5376000000000004E-2</v>
      </c>
      <c r="I35" s="27">
        <v>8.8839000000000001E-2</v>
      </c>
      <c r="J35" s="29">
        <f t="shared" si="6"/>
        <v>7.1440000000000003E-2</v>
      </c>
      <c r="K35" s="30">
        <v>34.11</v>
      </c>
      <c r="L35" s="30">
        <v>34.28</v>
      </c>
      <c r="M35" s="30">
        <v>33.79</v>
      </c>
      <c r="N35" s="29">
        <f t="shared" si="0"/>
        <v>34.06</v>
      </c>
      <c r="O35" s="31"/>
      <c r="P35" s="31"/>
      <c r="Q35" s="31"/>
      <c r="R35" s="32"/>
      <c r="S35" s="31"/>
      <c r="T35" s="31"/>
      <c r="U35" s="31"/>
      <c r="V35" s="31"/>
      <c r="W35" s="31"/>
      <c r="X35" s="36">
        <v>2449.1247264770241</v>
      </c>
    </row>
    <row r="36" spans="1:24" x14ac:dyDescent="0.45">
      <c r="A36" s="15">
        <v>34</v>
      </c>
      <c r="B36" s="15">
        <v>10</v>
      </c>
      <c r="C36" s="15">
        <v>3</v>
      </c>
      <c r="D36" s="57" t="s">
        <v>47</v>
      </c>
      <c r="E36" s="14" t="s">
        <v>3</v>
      </c>
      <c r="F36" s="13" t="s">
        <v>2</v>
      </c>
      <c r="G36" s="31"/>
      <c r="H36" s="31"/>
      <c r="I36" s="31"/>
      <c r="J36" s="32"/>
      <c r="K36" s="31"/>
      <c r="L36" s="31"/>
      <c r="M36" s="31"/>
      <c r="N36" s="33"/>
      <c r="O36" s="31"/>
      <c r="P36" s="31"/>
      <c r="Q36" s="31"/>
      <c r="R36" s="32"/>
      <c r="S36" s="31"/>
      <c r="T36" s="31"/>
      <c r="U36" s="31"/>
      <c r="V36" s="31"/>
      <c r="W36" s="31"/>
      <c r="X36" s="36">
        <v>1916.8490153172868</v>
      </c>
    </row>
    <row r="37" spans="1:24" x14ac:dyDescent="0.45">
      <c r="A37" s="15">
        <v>35</v>
      </c>
      <c r="B37" s="15">
        <v>11</v>
      </c>
      <c r="C37" s="15">
        <v>3</v>
      </c>
      <c r="D37" s="57" t="s">
        <v>45</v>
      </c>
      <c r="E37" s="14" t="s">
        <v>4</v>
      </c>
      <c r="F37" s="13" t="s">
        <v>0</v>
      </c>
      <c r="G37" s="31"/>
      <c r="H37" s="31"/>
      <c r="I37" s="31"/>
      <c r="J37" s="32"/>
      <c r="K37" s="31"/>
      <c r="L37" s="31"/>
      <c r="M37" s="31"/>
      <c r="N37" s="33"/>
      <c r="O37" s="31"/>
      <c r="P37" s="31"/>
      <c r="Q37" s="31"/>
      <c r="R37" s="32"/>
      <c r="S37" s="31"/>
      <c r="T37" s="31"/>
      <c r="U37" s="31"/>
      <c r="V37" s="31"/>
      <c r="W37" s="31"/>
      <c r="X37" s="36">
        <v>2071.1159737417938</v>
      </c>
    </row>
    <row r="38" spans="1:24" x14ac:dyDescent="0.45">
      <c r="A38" s="15">
        <v>36</v>
      </c>
      <c r="B38" s="15">
        <v>12</v>
      </c>
      <c r="C38" s="15">
        <v>3</v>
      </c>
      <c r="D38" s="57" t="s">
        <v>49</v>
      </c>
      <c r="E38" s="14" t="s">
        <v>1</v>
      </c>
      <c r="F38" s="13" t="s">
        <v>2</v>
      </c>
      <c r="G38" s="31"/>
      <c r="H38" s="31"/>
      <c r="I38" s="31"/>
      <c r="J38" s="32"/>
      <c r="K38" s="31"/>
      <c r="L38" s="31"/>
      <c r="M38" s="31"/>
      <c r="N38" s="33"/>
      <c r="O38" s="31"/>
      <c r="P38" s="31"/>
      <c r="Q38" s="31"/>
      <c r="R38" s="32"/>
      <c r="S38" s="31"/>
      <c r="T38" s="31"/>
      <c r="U38" s="31"/>
      <c r="V38" s="31"/>
      <c r="W38" s="31"/>
      <c r="X38" s="36">
        <v>1861.0503282275711</v>
      </c>
    </row>
    <row r="39" spans="1:24" x14ac:dyDescent="0.45">
      <c r="A39" s="12">
        <v>37</v>
      </c>
      <c r="B39" s="12">
        <v>1</v>
      </c>
      <c r="C39" s="12">
        <v>4</v>
      </c>
      <c r="D39" s="55" t="s">
        <v>23</v>
      </c>
      <c r="E39" s="11" t="s">
        <v>4</v>
      </c>
      <c r="F39" s="10" t="s">
        <v>0</v>
      </c>
      <c r="G39" s="27">
        <v>0.14541200000000001</v>
      </c>
      <c r="H39" s="27">
        <v>0.248554</v>
      </c>
      <c r="I39" s="27">
        <v>0.12557699999999999</v>
      </c>
      <c r="J39" s="29">
        <f>+AVERAGE(G39:I39)</f>
        <v>0.17318100000000003</v>
      </c>
      <c r="K39" s="30">
        <v>32.43</v>
      </c>
      <c r="L39" s="30">
        <v>31.13</v>
      </c>
      <c r="M39" s="30">
        <v>32.69</v>
      </c>
      <c r="N39" s="29">
        <f t="shared" si="0"/>
        <v>32.083333333333336</v>
      </c>
      <c r="O39" s="30">
        <v>0.75241400000000003</v>
      </c>
      <c r="P39" s="30">
        <v>0.29142299999999999</v>
      </c>
      <c r="Q39" s="30">
        <v>4.6107000000000002E-2</v>
      </c>
      <c r="R39" s="29">
        <f t="shared" ref="R39:R40" si="9">+AVERAGE(O39:Q39)</f>
        <v>0.36331466666666662</v>
      </c>
      <c r="S39" s="30">
        <v>32.89</v>
      </c>
      <c r="T39" s="30">
        <v>32.11</v>
      </c>
      <c r="U39" s="30">
        <v>34.61</v>
      </c>
      <c r="V39" s="30"/>
      <c r="W39" s="29">
        <f>+AVERAGE(S39:U39)</f>
        <v>33.203333333333333</v>
      </c>
      <c r="X39" s="36">
        <v>3729.7592997811817</v>
      </c>
    </row>
    <row r="40" spans="1:24" x14ac:dyDescent="0.45">
      <c r="A40" s="9">
        <v>38</v>
      </c>
      <c r="B40" s="9">
        <v>2</v>
      </c>
      <c r="C40" s="9">
        <v>4</v>
      </c>
      <c r="D40" s="9" t="s">
        <v>24</v>
      </c>
      <c r="E40" s="8" t="s">
        <v>3</v>
      </c>
      <c r="F40" s="5" t="s">
        <v>2</v>
      </c>
      <c r="G40" s="27">
        <v>0.132523</v>
      </c>
      <c r="H40" s="27">
        <v>0.30738199999999999</v>
      </c>
      <c r="I40" s="27">
        <v>8.2600999999999994E-2</v>
      </c>
      <c r="J40" s="29">
        <f>+AVERAGE(G40:I40)</f>
        <v>0.17416866666666667</v>
      </c>
      <c r="K40" s="30">
        <v>32.020000000000003</v>
      </c>
      <c r="L40" s="30">
        <v>30.63</v>
      </c>
      <c r="M40" s="30">
        <v>32.22</v>
      </c>
      <c r="N40" s="29">
        <f t="shared" si="0"/>
        <v>31.623333333333335</v>
      </c>
      <c r="O40" s="30">
        <v>0.86206400000000005</v>
      </c>
      <c r="P40" s="30">
        <v>0.78800099999999995</v>
      </c>
      <c r="Q40" s="30">
        <v>0.705924</v>
      </c>
      <c r="R40" s="29">
        <f t="shared" si="9"/>
        <v>0.7853296666666667</v>
      </c>
      <c r="S40" s="30">
        <v>31.69</v>
      </c>
      <c r="T40" s="30">
        <v>33.15</v>
      </c>
      <c r="U40" s="30">
        <v>32.92</v>
      </c>
      <c r="V40" s="30"/>
      <c r="W40" s="29">
        <f>+AVERAGE(S40:U40)</f>
        <v>32.586666666666666</v>
      </c>
      <c r="X40" s="36">
        <v>5551.9693654266957</v>
      </c>
    </row>
    <row r="41" spans="1:24" x14ac:dyDescent="0.45">
      <c r="A41" s="9">
        <v>39</v>
      </c>
      <c r="B41" s="9">
        <v>3</v>
      </c>
      <c r="C41" s="9">
        <v>4</v>
      </c>
      <c r="D41" s="9" t="s">
        <v>25</v>
      </c>
      <c r="E41" s="8" t="s">
        <v>3</v>
      </c>
      <c r="F41" s="5" t="s">
        <v>2</v>
      </c>
      <c r="G41" s="27">
        <v>0.72093200000000002</v>
      </c>
      <c r="H41" s="27">
        <v>0.69193899999999997</v>
      </c>
      <c r="I41" s="27">
        <v>0.33498</v>
      </c>
      <c r="J41" s="29">
        <f>+AVERAGE(G41:I41)</f>
        <v>0.58261700000000005</v>
      </c>
      <c r="K41" s="30">
        <v>31.64</v>
      </c>
      <c r="L41" s="30">
        <v>29.37</v>
      </c>
      <c r="M41" s="30">
        <v>29.75</v>
      </c>
      <c r="N41" s="29">
        <f t="shared" si="0"/>
        <v>30.253333333333334</v>
      </c>
      <c r="O41" s="31"/>
      <c r="P41" s="31"/>
      <c r="Q41" s="31"/>
      <c r="R41" s="32"/>
      <c r="S41" s="31"/>
      <c r="T41" s="31"/>
      <c r="U41" s="31"/>
      <c r="V41" s="31"/>
      <c r="W41" s="31"/>
      <c r="X41" s="36">
        <v>3612.1444201312902</v>
      </c>
    </row>
    <row r="42" spans="1:24" x14ac:dyDescent="0.45">
      <c r="A42" s="9">
        <v>40</v>
      </c>
      <c r="B42" s="9">
        <v>4</v>
      </c>
      <c r="C42" s="9">
        <v>4</v>
      </c>
      <c r="D42" s="9" t="s">
        <v>26</v>
      </c>
      <c r="E42" s="8" t="s">
        <v>3</v>
      </c>
      <c r="F42" s="5" t="s">
        <v>2</v>
      </c>
      <c r="G42" s="27">
        <v>0.97686700000000004</v>
      </c>
      <c r="H42" s="27">
        <v>9.9268999999999996E-2</v>
      </c>
      <c r="I42" s="27">
        <v>0.50327699999999997</v>
      </c>
      <c r="J42" s="29">
        <f>+AVERAGE(G42:I42)</f>
        <v>0.52647100000000002</v>
      </c>
      <c r="K42" s="30">
        <v>28.33</v>
      </c>
      <c r="L42" s="30">
        <v>30.94</v>
      </c>
      <c r="M42" s="30">
        <v>28.68</v>
      </c>
      <c r="N42" s="29">
        <f t="shared" si="0"/>
        <v>29.316666666666663</v>
      </c>
      <c r="O42" s="31"/>
      <c r="P42" s="31"/>
      <c r="Q42" s="31"/>
      <c r="R42" s="32"/>
      <c r="S42" s="31"/>
      <c r="T42" s="31"/>
      <c r="U42" s="31"/>
      <c r="V42" s="31"/>
      <c r="W42" s="31"/>
      <c r="X42" s="36">
        <v>3928.3369803063447</v>
      </c>
    </row>
    <row r="43" spans="1:24" x14ac:dyDescent="0.45">
      <c r="A43" s="9">
        <v>41</v>
      </c>
      <c r="B43" s="9">
        <v>5</v>
      </c>
      <c r="C43" s="9">
        <v>4</v>
      </c>
      <c r="D43" s="56" t="s">
        <v>45</v>
      </c>
      <c r="E43" s="8" t="s">
        <v>3</v>
      </c>
      <c r="F43" s="5" t="s">
        <v>2</v>
      </c>
      <c r="G43" s="31"/>
      <c r="H43" s="31"/>
      <c r="I43" s="31"/>
      <c r="J43" s="32"/>
      <c r="K43" s="31"/>
      <c r="L43" s="31"/>
      <c r="M43" s="31"/>
      <c r="N43" s="33"/>
      <c r="O43" s="31"/>
      <c r="P43" s="31"/>
      <c r="Q43" s="31"/>
      <c r="R43" s="32"/>
      <c r="S43" s="31"/>
      <c r="T43" s="31"/>
      <c r="U43" s="31"/>
      <c r="V43" s="31"/>
      <c r="W43" s="31"/>
      <c r="X43" s="36">
        <v>2659.7374179431072</v>
      </c>
    </row>
    <row r="44" spans="1:24" x14ac:dyDescent="0.45">
      <c r="A44" s="9">
        <v>42</v>
      </c>
      <c r="B44" s="9">
        <v>6</v>
      </c>
      <c r="C44" s="9">
        <v>4</v>
      </c>
      <c r="D44" s="56" t="s">
        <v>47</v>
      </c>
      <c r="E44" s="8" t="s">
        <v>3</v>
      </c>
      <c r="F44" s="5" t="s">
        <v>0</v>
      </c>
      <c r="G44" s="31"/>
      <c r="H44" s="31"/>
      <c r="I44" s="31"/>
      <c r="J44" s="32"/>
      <c r="K44" s="31"/>
      <c r="L44" s="31"/>
      <c r="M44" s="31"/>
      <c r="N44" s="33"/>
      <c r="O44" s="31"/>
      <c r="P44" s="31"/>
      <c r="Q44" s="31"/>
      <c r="R44" s="32"/>
      <c r="S44" s="31"/>
      <c r="T44" s="31"/>
      <c r="U44" s="31"/>
      <c r="V44" s="31"/>
      <c r="W44" s="31"/>
      <c r="X44" s="36">
        <v>4312.3632385120345</v>
      </c>
    </row>
    <row r="45" spans="1:24" x14ac:dyDescent="0.45">
      <c r="A45" s="9">
        <v>43</v>
      </c>
      <c r="B45" s="9">
        <v>7</v>
      </c>
      <c r="C45" s="9">
        <v>4</v>
      </c>
      <c r="D45" s="56" t="s">
        <v>49</v>
      </c>
      <c r="E45" s="8" t="s">
        <v>1</v>
      </c>
      <c r="F45" s="5" t="s">
        <v>0</v>
      </c>
      <c r="G45" s="31"/>
      <c r="H45" s="31"/>
      <c r="I45" s="31"/>
      <c r="J45" s="32"/>
      <c r="K45" s="31"/>
      <c r="L45" s="31"/>
      <c r="M45" s="31"/>
      <c r="N45" s="33"/>
      <c r="O45" s="31"/>
      <c r="P45" s="31"/>
      <c r="Q45" s="31"/>
      <c r="R45" s="32"/>
      <c r="S45" s="31"/>
      <c r="T45" s="31"/>
      <c r="U45" s="31"/>
      <c r="V45" s="31"/>
      <c r="W45" s="31"/>
      <c r="X45" s="36">
        <v>2979.2122538293206</v>
      </c>
    </row>
    <row r="46" spans="1:24" x14ac:dyDescent="0.45">
      <c r="A46" s="9">
        <v>44</v>
      </c>
      <c r="B46" s="9">
        <v>8</v>
      </c>
      <c r="C46" s="9">
        <v>4</v>
      </c>
      <c r="D46" s="56" t="s">
        <v>51</v>
      </c>
      <c r="E46" s="8" t="s">
        <v>1</v>
      </c>
      <c r="F46" s="5" t="s">
        <v>0</v>
      </c>
      <c r="G46" s="31"/>
      <c r="H46" s="31"/>
      <c r="I46" s="31"/>
      <c r="J46" s="32"/>
      <c r="K46" s="31"/>
      <c r="L46" s="31"/>
      <c r="M46" s="31"/>
      <c r="N46" s="33"/>
      <c r="O46" s="31"/>
      <c r="P46" s="31"/>
      <c r="Q46" s="31"/>
      <c r="R46" s="32"/>
      <c r="S46" s="31"/>
      <c r="T46" s="31"/>
      <c r="U46" s="31"/>
      <c r="V46" s="31"/>
      <c r="W46" s="31"/>
      <c r="X46" s="36">
        <v>4120.3501094091898</v>
      </c>
    </row>
    <row r="47" spans="1:24" x14ac:dyDescent="0.45">
      <c r="A47" s="9">
        <v>45</v>
      </c>
      <c r="B47" s="9">
        <v>9</v>
      </c>
      <c r="C47" s="9">
        <v>4</v>
      </c>
      <c r="D47" s="9" t="s">
        <v>27</v>
      </c>
      <c r="E47" s="8" t="s">
        <v>3</v>
      </c>
      <c r="F47" s="5" t="s">
        <v>2</v>
      </c>
      <c r="G47" s="27">
        <v>0.174427</v>
      </c>
      <c r="H47" s="27">
        <v>0.161632</v>
      </c>
      <c r="I47" s="27">
        <v>3.6785999999999999E-2</v>
      </c>
      <c r="J47" s="29">
        <f>+AVERAGE(G47:I47)</f>
        <v>0.12428166666666667</v>
      </c>
      <c r="K47" s="30">
        <v>30.81</v>
      </c>
      <c r="L47" s="30">
        <v>30.5</v>
      </c>
      <c r="M47" s="30">
        <v>31.44</v>
      </c>
      <c r="N47" s="29">
        <f t="shared" si="0"/>
        <v>30.916666666666668</v>
      </c>
      <c r="O47" s="30">
        <v>0.50950499999999999</v>
      </c>
      <c r="P47" s="30">
        <v>4.6545999999999997E-2</v>
      </c>
      <c r="Q47" s="30">
        <v>0.65630999999999995</v>
      </c>
      <c r="R47" s="29">
        <f t="shared" ref="R47:R51" si="10">+AVERAGE(O47:Q47)</f>
        <v>0.40412033333333336</v>
      </c>
      <c r="S47" s="30">
        <v>33.700000000000003</v>
      </c>
      <c r="T47" s="30">
        <v>36.06</v>
      </c>
      <c r="U47" s="30">
        <v>32.43</v>
      </c>
      <c r="V47" s="30"/>
      <c r="W47" s="29">
        <f>+AVERAGE(S47:U47)</f>
        <v>34.063333333333333</v>
      </c>
      <c r="X47" s="36">
        <v>3164.1137855579868</v>
      </c>
    </row>
    <row r="48" spans="1:24" x14ac:dyDescent="0.45">
      <c r="A48" s="9">
        <v>46</v>
      </c>
      <c r="B48" s="9">
        <v>10</v>
      </c>
      <c r="C48" s="9">
        <v>4</v>
      </c>
      <c r="D48" s="9" t="s">
        <v>28</v>
      </c>
      <c r="E48" s="8" t="s">
        <v>3</v>
      </c>
      <c r="F48" s="5" t="s">
        <v>0</v>
      </c>
      <c r="G48" s="27">
        <v>0.109387</v>
      </c>
      <c r="H48" s="27">
        <v>0.228689</v>
      </c>
      <c r="I48" s="27">
        <v>0.39058799999999999</v>
      </c>
      <c r="J48" s="29">
        <f>+AVERAGE(G48:I48)</f>
        <v>0.24288799999999999</v>
      </c>
      <c r="K48" s="30">
        <v>31.75</v>
      </c>
      <c r="L48" s="30">
        <v>30.27</v>
      </c>
      <c r="M48" s="30">
        <v>29.95</v>
      </c>
      <c r="N48" s="29">
        <f t="shared" si="0"/>
        <v>30.656666666666666</v>
      </c>
      <c r="O48" s="30">
        <v>0.28406300000000001</v>
      </c>
      <c r="P48" s="30">
        <v>0.33572800000000003</v>
      </c>
      <c r="Q48" s="30">
        <v>0.31143100000000001</v>
      </c>
      <c r="R48" s="29">
        <f t="shared" si="10"/>
        <v>0.31040733333333331</v>
      </c>
      <c r="S48" s="30">
        <v>33.28</v>
      </c>
      <c r="T48" s="30">
        <v>34.01</v>
      </c>
      <c r="U48" s="30">
        <v>31.03</v>
      </c>
      <c r="V48" s="30"/>
      <c r="W48" s="29">
        <f t="shared" ref="W48:W51" si="11">+AVERAGE(S48:U48)</f>
        <v>32.773333333333333</v>
      </c>
      <c r="X48" s="36">
        <v>922.86652078774625</v>
      </c>
    </row>
    <row r="49" spans="1:24" x14ac:dyDescent="0.45">
      <c r="A49" s="9">
        <v>47</v>
      </c>
      <c r="B49" s="9">
        <v>11</v>
      </c>
      <c r="C49" s="9">
        <v>4</v>
      </c>
      <c r="D49" s="9" t="s">
        <v>29</v>
      </c>
      <c r="E49" s="8" t="s">
        <v>4</v>
      </c>
      <c r="F49" s="5" t="s">
        <v>2</v>
      </c>
      <c r="G49" s="27">
        <v>0.15183099999999999</v>
      </c>
      <c r="H49" s="27">
        <v>0.10023799999999999</v>
      </c>
      <c r="I49" s="27">
        <v>0.13214899999999999</v>
      </c>
      <c r="J49" s="29">
        <f>+AVERAGE(G49:I49)</f>
        <v>0.12807266666666664</v>
      </c>
      <c r="K49" s="30">
        <v>33.08</v>
      </c>
      <c r="L49" s="30">
        <v>31.16</v>
      </c>
      <c r="M49" s="30">
        <v>32.090000000000003</v>
      </c>
      <c r="N49" s="29">
        <f t="shared" si="0"/>
        <v>32.11</v>
      </c>
      <c r="O49" s="39">
        <v>1.0091600000000001</v>
      </c>
      <c r="P49" s="39">
        <v>1.2827059999999999</v>
      </c>
      <c r="Q49" s="30">
        <v>0.30895600000000001</v>
      </c>
      <c r="R49" s="29">
        <f t="shared" si="10"/>
        <v>0.86694066666666669</v>
      </c>
      <c r="S49" s="30">
        <v>30.93</v>
      </c>
      <c r="T49" s="30">
        <v>30.56</v>
      </c>
      <c r="U49" s="30">
        <v>31.8</v>
      </c>
      <c r="V49" s="30"/>
      <c r="W49" s="29">
        <f t="shared" si="11"/>
        <v>31.096666666666664</v>
      </c>
      <c r="X49" s="36">
        <v>2830.9628008752738</v>
      </c>
    </row>
    <row r="50" spans="1:24" x14ac:dyDescent="0.45">
      <c r="A50" s="9">
        <v>48</v>
      </c>
      <c r="B50" s="9">
        <v>12</v>
      </c>
      <c r="C50" s="9">
        <v>4</v>
      </c>
      <c r="D50" s="50" t="s">
        <v>30</v>
      </c>
      <c r="E50" s="8" t="s">
        <v>3</v>
      </c>
      <c r="F50" s="5" t="s">
        <v>2</v>
      </c>
      <c r="G50" s="27">
        <v>8.9647000000000004E-2</v>
      </c>
      <c r="H50" s="27">
        <v>6.5751000000000004E-2</v>
      </c>
      <c r="I50" s="27">
        <v>6.6540000000000002E-2</v>
      </c>
      <c r="J50" s="29">
        <f>+AVERAGE(G50:I50)</f>
        <v>7.3979333333333341E-2</v>
      </c>
      <c r="K50" s="30">
        <v>34.21</v>
      </c>
      <c r="L50" s="30">
        <v>33.549999999999997</v>
      </c>
      <c r="M50" s="30">
        <v>30.74</v>
      </c>
      <c r="N50" s="29">
        <f t="shared" si="0"/>
        <v>32.833333333333329</v>
      </c>
      <c r="O50" s="40">
        <v>1.0838779999999999</v>
      </c>
      <c r="P50" s="39">
        <v>1.3921220000000001</v>
      </c>
      <c r="Q50" s="30">
        <v>0.39866200000000002</v>
      </c>
      <c r="R50" s="29">
        <f t="shared" si="10"/>
        <v>0.95822066666666661</v>
      </c>
      <c r="S50" s="30">
        <v>33.61</v>
      </c>
      <c r="T50" s="30">
        <v>32.950000000000003</v>
      </c>
      <c r="U50" s="30">
        <v>32.14</v>
      </c>
      <c r="V50" s="30"/>
      <c r="W50" s="29">
        <f t="shared" si="11"/>
        <v>32.9</v>
      </c>
      <c r="X50" s="36">
        <v>3277.8993435448579</v>
      </c>
    </row>
    <row r="51" spans="1:24" x14ac:dyDescent="0.45">
      <c r="A51" s="9">
        <v>49</v>
      </c>
      <c r="B51" s="9">
        <v>1</v>
      </c>
      <c r="C51" s="9">
        <v>5</v>
      </c>
      <c r="D51" s="51" t="s">
        <v>28</v>
      </c>
      <c r="E51" s="8" t="s">
        <v>4</v>
      </c>
      <c r="F51" s="5" t="s">
        <v>2</v>
      </c>
      <c r="G51" s="27">
        <v>9.1939999999999994E-2</v>
      </c>
      <c r="H51" s="27">
        <v>0.109975</v>
      </c>
      <c r="I51" s="27">
        <v>1.3751180000000001</v>
      </c>
      <c r="J51" s="29">
        <f>+AVERAGE(G51:I51)</f>
        <v>0.52567766666666671</v>
      </c>
      <c r="K51" s="30">
        <v>33.229999999999997</v>
      </c>
      <c r="L51" s="30">
        <v>32.93</v>
      </c>
      <c r="M51" s="30">
        <v>28.48</v>
      </c>
      <c r="N51" s="29">
        <f t="shared" si="0"/>
        <v>31.546666666666667</v>
      </c>
      <c r="O51" s="30">
        <v>8.3607000000000001E-2</v>
      </c>
      <c r="P51" s="30">
        <v>0.83066300000000004</v>
      </c>
      <c r="Q51" s="30">
        <v>0.73698399999999997</v>
      </c>
      <c r="R51" s="29">
        <f t="shared" si="10"/>
        <v>0.55041799999999996</v>
      </c>
      <c r="S51" s="30">
        <v>33.729999999999997</v>
      </c>
      <c r="T51" s="30">
        <v>32.4</v>
      </c>
      <c r="U51" s="30">
        <v>33.47</v>
      </c>
      <c r="V51" s="30"/>
      <c r="W51" s="29">
        <f t="shared" si="11"/>
        <v>33.199999999999996</v>
      </c>
      <c r="X51" s="36">
        <v>1377.4617067833699</v>
      </c>
    </row>
    <row r="52" spans="1:24" x14ac:dyDescent="0.45">
      <c r="A52" s="9">
        <v>50</v>
      </c>
      <c r="B52" s="9">
        <v>2</v>
      </c>
      <c r="C52" s="9">
        <v>5</v>
      </c>
      <c r="D52" s="56" t="s">
        <v>51</v>
      </c>
      <c r="E52" s="8" t="s">
        <v>1</v>
      </c>
      <c r="F52" s="5" t="s">
        <v>2</v>
      </c>
      <c r="G52" s="31"/>
      <c r="H52" s="31"/>
      <c r="I52" s="31"/>
      <c r="J52" s="32"/>
      <c r="K52" s="31"/>
      <c r="L52" s="31"/>
      <c r="M52" s="31"/>
      <c r="N52" s="33"/>
      <c r="O52" s="31"/>
      <c r="P52" s="31"/>
      <c r="Q52" s="31"/>
      <c r="R52" s="32"/>
      <c r="S52" s="31"/>
      <c r="T52" s="31"/>
      <c r="U52" s="31"/>
      <c r="V52" s="31"/>
      <c r="W52" s="31"/>
      <c r="X52" s="36">
        <v>5253.2822757111599</v>
      </c>
    </row>
    <row r="53" spans="1:24" x14ac:dyDescent="0.45">
      <c r="A53" s="9">
        <v>51</v>
      </c>
      <c r="B53" s="9">
        <v>3</v>
      </c>
      <c r="C53" s="9">
        <v>5</v>
      </c>
      <c r="D53" s="51" t="s">
        <v>27</v>
      </c>
      <c r="E53" s="8" t="s">
        <v>3</v>
      </c>
      <c r="F53" s="5" t="s">
        <v>2</v>
      </c>
      <c r="G53" s="27">
        <v>0.36343999999999999</v>
      </c>
      <c r="H53" s="27">
        <v>2.0950000000000001E-3</v>
      </c>
      <c r="I53" s="27">
        <v>0.30457400000000001</v>
      </c>
      <c r="J53" s="29">
        <f>+AVERAGE(G53:I53)</f>
        <v>0.22336966666666669</v>
      </c>
      <c r="K53" s="30">
        <v>30.15</v>
      </c>
      <c r="L53" s="30">
        <v>32.24</v>
      </c>
      <c r="M53" s="30">
        <v>33.07</v>
      </c>
      <c r="N53" s="29">
        <f t="shared" si="0"/>
        <v>31.820000000000004</v>
      </c>
      <c r="O53" s="30">
        <v>0.38847399999999999</v>
      </c>
      <c r="P53" s="30">
        <v>0.73682700000000001</v>
      </c>
      <c r="Q53" s="30">
        <v>0.31686900000000001</v>
      </c>
      <c r="R53" s="29">
        <f t="shared" ref="R53:R54" si="12">+AVERAGE(O53:Q53)</f>
        <v>0.48072333333333334</v>
      </c>
      <c r="S53" s="30">
        <v>32.590000000000003</v>
      </c>
      <c r="T53" s="30">
        <v>31.42</v>
      </c>
      <c r="U53" s="30">
        <v>31.76</v>
      </c>
      <c r="V53" s="30"/>
      <c r="W53" s="29">
        <f>+AVERAGE(S53:U53)</f>
        <v>31.923333333333336</v>
      </c>
      <c r="X53" s="36">
        <v>3196.936542669584</v>
      </c>
    </row>
    <row r="54" spans="1:24" x14ac:dyDescent="0.45">
      <c r="A54" s="9">
        <v>52</v>
      </c>
      <c r="B54" s="9">
        <v>4</v>
      </c>
      <c r="C54" s="9">
        <v>5</v>
      </c>
      <c r="D54" s="9" t="s">
        <v>27</v>
      </c>
      <c r="E54" s="8" t="s">
        <v>3</v>
      </c>
      <c r="F54" s="5" t="s">
        <v>2</v>
      </c>
      <c r="G54" s="27">
        <v>7.3500999999999997E-2</v>
      </c>
      <c r="H54" s="27">
        <v>0.23826600000000001</v>
      </c>
      <c r="I54" s="27">
        <v>0.22984499999999999</v>
      </c>
      <c r="J54" s="29">
        <f>+AVERAGE(G54:I54)</f>
        <v>0.18053733333333333</v>
      </c>
      <c r="K54" s="30">
        <v>34.53</v>
      </c>
      <c r="L54" s="30">
        <v>32</v>
      </c>
      <c r="M54" s="30">
        <v>32.44</v>
      </c>
      <c r="N54" s="29">
        <f t="shared" si="0"/>
        <v>32.99</v>
      </c>
      <c r="O54" s="30">
        <v>0.75324199999999997</v>
      </c>
      <c r="P54" s="41">
        <v>1.054775</v>
      </c>
      <c r="Q54" s="30">
        <v>0.74384099999999997</v>
      </c>
      <c r="R54" s="29">
        <f t="shared" si="12"/>
        <v>0.85061933333333339</v>
      </c>
      <c r="S54" s="30">
        <v>31.97</v>
      </c>
      <c r="T54" s="30">
        <v>34.049999999999997</v>
      </c>
      <c r="U54" s="30">
        <v>31.76</v>
      </c>
      <c r="V54" s="30"/>
      <c r="W54" s="29">
        <f>+AVERAGE(S54:U54)</f>
        <v>32.593333333333334</v>
      </c>
      <c r="X54" s="36">
        <v>4379.1028446389491</v>
      </c>
    </row>
    <row r="55" spans="1:24" x14ac:dyDescent="0.45">
      <c r="A55" s="9">
        <v>53</v>
      </c>
      <c r="B55" s="9">
        <v>5</v>
      </c>
      <c r="C55" s="9">
        <v>5</v>
      </c>
      <c r="D55" s="56" t="s">
        <v>49</v>
      </c>
      <c r="E55" s="8" t="s">
        <v>1</v>
      </c>
      <c r="F55" s="5" t="s">
        <v>0</v>
      </c>
      <c r="G55" s="31"/>
      <c r="H55" s="31"/>
      <c r="I55" s="31"/>
      <c r="J55" s="32"/>
      <c r="K55" s="31"/>
      <c r="L55" s="31"/>
      <c r="M55" s="31"/>
      <c r="N55" s="33"/>
      <c r="O55" s="31"/>
      <c r="P55" s="31"/>
      <c r="Q55" s="31"/>
      <c r="R55" s="32"/>
      <c r="S55" s="31"/>
      <c r="T55" s="31"/>
      <c r="U55" s="31"/>
      <c r="V55" s="31"/>
      <c r="W55" s="31"/>
      <c r="X55" s="36">
        <v>4084.2450765864328</v>
      </c>
    </row>
    <row r="56" spans="1:24" x14ac:dyDescent="0.45">
      <c r="A56" s="9">
        <v>54</v>
      </c>
      <c r="B56" s="9">
        <v>6</v>
      </c>
      <c r="C56" s="9">
        <v>5</v>
      </c>
      <c r="D56" s="51" t="s">
        <v>26</v>
      </c>
      <c r="E56" s="8" t="s">
        <v>1</v>
      </c>
      <c r="F56" s="5" t="s">
        <v>2</v>
      </c>
      <c r="G56" s="27">
        <v>0.30255900000000002</v>
      </c>
      <c r="H56" s="27">
        <v>0.12809699999999999</v>
      </c>
      <c r="I56" s="27">
        <v>0.15015000000000001</v>
      </c>
      <c r="J56" s="29">
        <f>+AVERAGE(G56:I56)</f>
        <v>0.19360200000000002</v>
      </c>
      <c r="K56" s="30">
        <v>30.56</v>
      </c>
      <c r="L56" s="30">
        <v>32.64</v>
      </c>
      <c r="M56" s="30">
        <v>31.64</v>
      </c>
      <c r="N56" s="29">
        <f t="shared" si="0"/>
        <v>31.613333333333333</v>
      </c>
      <c r="O56" s="31"/>
      <c r="P56" s="31"/>
      <c r="Q56" s="31"/>
      <c r="R56" s="32"/>
      <c r="S56" s="31"/>
      <c r="T56" s="31"/>
      <c r="U56" s="31"/>
      <c r="V56" s="31"/>
      <c r="W56" s="31"/>
      <c r="X56" s="36">
        <v>4579.8687089715531</v>
      </c>
    </row>
    <row r="57" spans="1:24" x14ac:dyDescent="0.45">
      <c r="A57" s="9">
        <v>55</v>
      </c>
      <c r="B57" s="9">
        <v>7</v>
      </c>
      <c r="C57" s="9">
        <v>5</v>
      </c>
      <c r="D57" s="56" t="s">
        <v>45</v>
      </c>
      <c r="E57" s="8" t="s">
        <v>3</v>
      </c>
      <c r="F57" s="5" t="s">
        <v>5</v>
      </c>
      <c r="G57" s="31"/>
      <c r="H57" s="31"/>
      <c r="I57" s="31"/>
      <c r="J57" s="32"/>
      <c r="K57" s="31"/>
      <c r="L57" s="31"/>
      <c r="M57" s="31"/>
      <c r="N57" s="33"/>
      <c r="O57" s="31"/>
      <c r="P57" s="31"/>
      <c r="Q57" s="31"/>
      <c r="R57" s="32"/>
      <c r="S57" s="31"/>
      <c r="T57" s="31"/>
      <c r="U57" s="31"/>
      <c r="V57" s="31"/>
      <c r="W57" s="31"/>
      <c r="X57" s="36">
        <v>3208.4245076586431</v>
      </c>
    </row>
    <row r="58" spans="1:24" x14ac:dyDescent="0.45">
      <c r="A58" s="9">
        <v>56</v>
      </c>
      <c r="B58" s="9">
        <v>8</v>
      </c>
      <c r="C58" s="9">
        <v>5</v>
      </c>
      <c r="D58" s="51" t="s">
        <v>29</v>
      </c>
      <c r="E58" s="8" t="s">
        <v>0</v>
      </c>
      <c r="F58" s="5" t="s">
        <v>5</v>
      </c>
      <c r="G58" s="27">
        <v>0.144512</v>
      </c>
      <c r="H58" s="27">
        <v>0.13427</v>
      </c>
      <c r="I58" s="27">
        <v>3.7720999999999998E-2</v>
      </c>
      <c r="J58" s="29">
        <f>+AVERAGE(G58:I58)</f>
        <v>0.105501</v>
      </c>
      <c r="K58" s="30">
        <v>31.21</v>
      </c>
      <c r="L58" s="30">
        <v>33.42</v>
      </c>
      <c r="M58" s="30">
        <v>32.380000000000003</v>
      </c>
      <c r="N58" s="29">
        <f t="shared" si="0"/>
        <v>32.336666666666666</v>
      </c>
      <c r="O58" s="30">
        <v>7.9920000000000005E-2</v>
      </c>
      <c r="P58" s="30">
        <v>0.13939399999999999</v>
      </c>
      <c r="Q58" s="30">
        <v>0.27561200000000002</v>
      </c>
      <c r="R58" s="29">
        <f t="shared" ref="R58:R60" si="13">+AVERAGE(O58:Q58)</f>
        <v>0.16497533333333333</v>
      </c>
      <c r="S58" s="30">
        <v>33.33</v>
      </c>
      <c r="T58" s="30">
        <v>32.869999999999997</v>
      </c>
      <c r="U58" s="30">
        <v>31.98</v>
      </c>
      <c r="V58" s="30"/>
      <c r="W58" s="29">
        <f>+AVERAGE(S58:U58)</f>
        <v>32.726666666666667</v>
      </c>
      <c r="X58" s="36">
        <v>3094.6389496717725</v>
      </c>
    </row>
    <row r="59" spans="1:24" x14ac:dyDescent="0.45">
      <c r="A59" s="9">
        <v>57</v>
      </c>
      <c r="B59" s="9">
        <v>9</v>
      </c>
      <c r="C59" s="9">
        <v>5</v>
      </c>
      <c r="D59" s="51" t="s">
        <v>23</v>
      </c>
      <c r="E59" s="8" t="s">
        <v>0</v>
      </c>
      <c r="F59" s="5" t="s">
        <v>2</v>
      </c>
      <c r="G59" s="27">
        <v>0.228468</v>
      </c>
      <c r="H59" s="27">
        <v>1.5926560000000001</v>
      </c>
      <c r="I59" s="27">
        <v>0.39976200000000001</v>
      </c>
      <c r="J59" s="29">
        <f>+AVERAGE(G59:I59)</f>
        <v>0.74029533333333342</v>
      </c>
      <c r="K59" s="30">
        <v>33.340000000000003</v>
      </c>
      <c r="L59" s="30">
        <v>28.27</v>
      </c>
      <c r="M59" s="30">
        <v>30.63</v>
      </c>
      <c r="N59" s="29">
        <f t="shared" si="0"/>
        <v>30.746666666666666</v>
      </c>
      <c r="O59" s="30">
        <v>0.85090500000000002</v>
      </c>
      <c r="P59" s="42">
        <v>1.0837680000000001</v>
      </c>
      <c r="Q59" s="30">
        <v>0.72016599999999997</v>
      </c>
      <c r="R59" s="29">
        <f t="shared" si="13"/>
        <v>0.88494633333333328</v>
      </c>
      <c r="S59" s="30">
        <v>31.49</v>
      </c>
      <c r="T59" s="30">
        <v>31.14</v>
      </c>
      <c r="U59" s="30">
        <v>32.18</v>
      </c>
      <c r="V59" s="30"/>
      <c r="W59" s="29">
        <f t="shared" ref="W59:W60" si="14">+AVERAGE(S59:U59)</f>
        <v>31.603333333333335</v>
      </c>
      <c r="X59" s="36">
        <v>4454.0481400437629</v>
      </c>
    </row>
    <row r="60" spans="1:24" x14ac:dyDescent="0.45">
      <c r="A60" s="9">
        <v>58</v>
      </c>
      <c r="B60" s="9">
        <v>10</v>
      </c>
      <c r="C60" s="9">
        <v>5</v>
      </c>
      <c r="D60" s="51" t="s">
        <v>30</v>
      </c>
      <c r="E60" s="8" t="s">
        <v>4</v>
      </c>
      <c r="F60" s="5" t="s">
        <v>0</v>
      </c>
      <c r="G60" s="27">
        <v>0.48252400000000001</v>
      </c>
      <c r="H60" s="27">
        <v>0.15767</v>
      </c>
      <c r="I60" s="27">
        <v>0.211648</v>
      </c>
      <c r="J60" s="29">
        <f>+AVERAGE(G60:I60)</f>
        <v>0.28394733333333333</v>
      </c>
      <c r="K60" s="30">
        <v>30.8</v>
      </c>
      <c r="L60" s="30">
        <v>30.51</v>
      </c>
      <c r="M60" s="30">
        <v>30.24</v>
      </c>
      <c r="N60" s="29">
        <f t="shared" si="0"/>
        <v>30.516666666666666</v>
      </c>
      <c r="O60" s="41">
        <v>1.0963080000000001</v>
      </c>
      <c r="P60" s="30">
        <v>0.24745800000000001</v>
      </c>
      <c r="Q60" s="41">
        <v>1.2653700000000001</v>
      </c>
      <c r="R60" s="29">
        <f t="shared" si="13"/>
        <v>0.86971200000000015</v>
      </c>
      <c r="S60" s="30">
        <v>31.43</v>
      </c>
      <c r="T60" s="30">
        <v>32.75</v>
      </c>
      <c r="U60" s="30">
        <v>30.56</v>
      </c>
      <c r="V60" s="30"/>
      <c r="W60" s="29">
        <f t="shared" si="14"/>
        <v>31.580000000000002</v>
      </c>
      <c r="X60" s="36">
        <v>2572.7571115973742</v>
      </c>
    </row>
    <row r="61" spans="1:24" x14ac:dyDescent="0.45">
      <c r="A61" s="9">
        <v>59</v>
      </c>
      <c r="B61" s="9">
        <v>11</v>
      </c>
      <c r="C61" s="9">
        <v>5</v>
      </c>
      <c r="D61" s="56" t="s">
        <v>47</v>
      </c>
      <c r="E61" s="8" t="s">
        <v>3</v>
      </c>
      <c r="F61" s="5" t="s">
        <v>0</v>
      </c>
      <c r="G61" s="31"/>
      <c r="H61" s="31"/>
      <c r="I61" s="31"/>
      <c r="J61" s="32"/>
      <c r="K61" s="31"/>
      <c r="L61" s="31"/>
      <c r="M61" s="31"/>
      <c r="N61" s="33"/>
      <c r="O61" s="31"/>
      <c r="P61" s="31"/>
      <c r="Q61" s="31"/>
      <c r="R61" s="32"/>
      <c r="S61" s="31"/>
      <c r="T61" s="31"/>
      <c r="U61" s="31"/>
      <c r="V61" s="31"/>
      <c r="W61" s="31"/>
      <c r="X61" s="36">
        <v>3689.2778993435445</v>
      </c>
    </row>
    <row r="62" spans="1:24" x14ac:dyDescent="0.45">
      <c r="A62" s="9">
        <v>60</v>
      </c>
      <c r="B62" s="9">
        <v>12</v>
      </c>
      <c r="C62" s="9">
        <v>5</v>
      </c>
      <c r="D62" s="52" t="s">
        <v>30</v>
      </c>
      <c r="E62" s="8" t="s">
        <v>4</v>
      </c>
      <c r="F62" s="5" t="s">
        <v>2</v>
      </c>
      <c r="G62" s="27">
        <v>7.0007E-2</v>
      </c>
      <c r="H62" s="27">
        <v>0.15976799999999999</v>
      </c>
      <c r="I62" s="27">
        <v>3.6260000000000001E-2</v>
      </c>
      <c r="J62" s="29">
        <f>+AVERAGE(G62:I62)</f>
        <v>8.8678333333333345E-2</v>
      </c>
      <c r="K62" s="30">
        <v>31.68</v>
      </c>
      <c r="L62" s="30">
        <v>30.67</v>
      </c>
      <c r="M62" s="30">
        <v>31.04</v>
      </c>
      <c r="N62" s="29">
        <f t="shared" si="0"/>
        <v>31.13</v>
      </c>
      <c r="O62" s="31"/>
      <c r="P62" s="31"/>
      <c r="Q62" s="31"/>
      <c r="R62" s="32"/>
      <c r="S62" s="31"/>
      <c r="T62" s="31"/>
      <c r="U62" s="31"/>
      <c r="V62" s="31"/>
      <c r="W62" s="31"/>
      <c r="X62" s="36">
        <v>3242.34135667396</v>
      </c>
    </row>
    <row r="63" spans="1:24" x14ac:dyDescent="0.45">
      <c r="A63" s="9">
        <v>61</v>
      </c>
      <c r="B63" s="9">
        <v>1</v>
      </c>
      <c r="C63" s="9">
        <v>6</v>
      </c>
      <c r="D63" s="51" t="s">
        <v>24</v>
      </c>
      <c r="E63" s="8" t="s">
        <v>4</v>
      </c>
      <c r="F63" s="5" t="s">
        <v>2</v>
      </c>
      <c r="G63" s="27">
        <v>1.20655</v>
      </c>
      <c r="H63" s="27">
        <v>0.19636500000000001</v>
      </c>
      <c r="I63" s="27">
        <v>0.12738099999999999</v>
      </c>
      <c r="J63" s="29">
        <f>+AVERAGE(G63:I63)</f>
        <v>0.5100986666666667</v>
      </c>
      <c r="K63" s="30">
        <v>28.29</v>
      </c>
      <c r="L63" s="30">
        <v>29.76</v>
      </c>
      <c r="M63" s="30">
        <v>28.58</v>
      </c>
      <c r="N63" s="29">
        <f t="shared" si="0"/>
        <v>28.876666666666665</v>
      </c>
      <c r="O63" s="41">
        <v>1.595175</v>
      </c>
      <c r="P63" s="30">
        <v>0.49515399999999998</v>
      </c>
      <c r="Q63" s="41">
        <v>1.1567510000000001</v>
      </c>
      <c r="R63" s="29">
        <f t="shared" ref="R63:R64" si="15">+AVERAGE(O63:Q63)</f>
        <v>1.0823600000000002</v>
      </c>
      <c r="S63" s="30">
        <v>34.58</v>
      </c>
      <c r="T63" s="30">
        <v>34.04</v>
      </c>
      <c r="U63" s="30">
        <v>33.869999999999997</v>
      </c>
      <c r="V63" s="30"/>
      <c r="W63" s="29">
        <f>+AVERAGE(S63:U63)</f>
        <v>34.163333333333334</v>
      </c>
      <c r="X63" s="36">
        <v>4652.6258205689273</v>
      </c>
    </row>
    <row r="64" spans="1:24" x14ac:dyDescent="0.45">
      <c r="A64" s="9">
        <v>62</v>
      </c>
      <c r="B64" s="9">
        <v>2</v>
      </c>
      <c r="C64" s="9">
        <v>6</v>
      </c>
      <c r="D64" s="51" t="s">
        <v>23</v>
      </c>
      <c r="E64" s="8" t="s">
        <v>4</v>
      </c>
      <c r="F64" s="5" t="s">
        <v>2</v>
      </c>
      <c r="G64" s="27">
        <v>0.17785100000000001</v>
      </c>
      <c r="H64" s="27">
        <v>0.27241599999999999</v>
      </c>
      <c r="I64" s="27">
        <v>0.99470999999999998</v>
      </c>
      <c r="J64" s="29">
        <f>+AVERAGE(G64:I64)</f>
        <v>0.481659</v>
      </c>
      <c r="K64" s="30">
        <v>29.89</v>
      </c>
      <c r="L64" s="30">
        <v>28.74</v>
      </c>
      <c r="M64" s="30">
        <v>27.23</v>
      </c>
      <c r="N64" s="29">
        <f t="shared" si="0"/>
        <v>28.62</v>
      </c>
      <c r="O64" s="39">
        <v>1.483266</v>
      </c>
      <c r="P64" s="39">
        <v>1.9964489999999999</v>
      </c>
      <c r="Q64" s="39">
        <v>1.125186</v>
      </c>
      <c r="R64" s="29">
        <f t="shared" si="15"/>
        <v>1.534967</v>
      </c>
      <c r="S64" s="30">
        <v>34.630000000000003</v>
      </c>
      <c r="T64" s="30">
        <v>33.81</v>
      </c>
      <c r="U64" s="30">
        <v>34.229999999999997</v>
      </c>
      <c r="V64" s="30"/>
      <c r="W64" s="29">
        <f>+AVERAGE(S64:U64)</f>
        <v>34.223333333333329</v>
      </c>
      <c r="X64" s="36">
        <v>4184.9015317286648</v>
      </c>
    </row>
    <row r="65" spans="1:24" x14ac:dyDescent="0.45">
      <c r="A65" s="9">
        <v>63</v>
      </c>
      <c r="B65" s="9">
        <v>3</v>
      </c>
      <c r="C65" s="9">
        <v>6</v>
      </c>
      <c r="D65" s="56" t="s">
        <v>51</v>
      </c>
      <c r="E65" s="8" t="s">
        <v>1</v>
      </c>
      <c r="F65" s="5" t="s">
        <v>2</v>
      </c>
      <c r="G65" s="31"/>
      <c r="H65" s="31"/>
      <c r="I65" s="31"/>
      <c r="J65" s="31"/>
      <c r="K65" s="31"/>
      <c r="L65" s="31"/>
      <c r="M65" s="31"/>
      <c r="N65" s="33"/>
      <c r="O65" s="31"/>
      <c r="P65" s="31"/>
      <c r="Q65" s="31"/>
      <c r="R65" s="32"/>
      <c r="S65" s="31"/>
      <c r="T65" s="31"/>
      <c r="U65" s="31"/>
      <c r="V65" s="31"/>
      <c r="W65" s="31"/>
      <c r="X65" s="36">
        <v>4450.2188183807439</v>
      </c>
    </row>
    <row r="66" spans="1:24" x14ac:dyDescent="0.45">
      <c r="A66" s="9">
        <v>64</v>
      </c>
      <c r="B66" s="9">
        <v>4</v>
      </c>
      <c r="C66" s="9">
        <v>6</v>
      </c>
      <c r="D66" s="51" t="s">
        <v>27</v>
      </c>
      <c r="E66" s="8" t="s">
        <v>4</v>
      </c>
      <c r="F66" s="5" t="s">
        <v>0</v>
      </c>
      <c r="G66" s="27">
        <v>8.4362999999999994E-2</v>
      </c>
      <c r="H66" s="27">
        <v>8.4760000000000002E-2</v>
      </c>
      <c r="I66" s="27">
        <v>9.9950000000000004E-3</v>
      </c>
      <c r="J66" s="29">
        <f t="shared" ref="J66:J71" si="16">+AVERAGE(G66:I66)</f>
        <v>5.9706000000000002E-2</v>
      </c>
      <c r="K66" s="30">
        <v>31</v>
      </c>
      <c r="L66" s="30">
        <v>30.94</v>
      </c>
      <c r="M66" s="30">
        <v>30.98</v>
      </c>
      <c r="N66" s="29">
        <f t="shared" si="0"/>
        <v>30.973333333333333</v>
      </c>
      <c r="O66" s="30">
        <v>0.62126199999999998</v>
      </c>
      <c r="P66" s="30">
        <v>0.68692900000000001</v>
      </c>
      <c r="Q66" s="30">
        <v>0.62534599999999996</v>
      </c>
      <c r="R66" s="29">
        <f t="shared" ref="R66:R69" si="17">+AVERAGE(O66:Q66)</f>
        <v>0.64451233333333324</v>
      </c>
      <c r="S66" s="30">
        <v>35.65</v>
      </c>
      <c r="T66" s="30">
        <v>35.58</v>
      </c>
      <c r="U66" s="30">
        <v>35.57</v>
      </c>
      <c r="V66" s="30"/>
      <c r="W66" s="29">
        <f>+AVERAGE(S66:U66)</f>
        <v>35.599999999999994</v>
      </c>
      <c r="X66" s="36">
        <v>2958.4245076586435</v>
      </c>
    </row>
    <row r="67" spans="1:24" x14ac:dyDescent="0.45">
      <c r="A67" s="9">
        <v>65</v>
      </c>
      <c r="B67" s="9">
        <v>5</v>
      </c>
      <c r="C67" s="9">
        <v>6</v>
      </c>
      <c r="D67" s="51" t="s">
        <v>30</v>
      </c>
      <c r="E67" s="8" t="s">
        <v>0</v>
      </c>
      <c r="F67" s="5" t="s">
        <v>2</v>
      </c>
      <c r="G67" s="27">
        <v>9.2399999999999999E-3</v>
      </c>
      <c r="H67" s="27">
        <v>0.65814899999999998</v>
      </c>
      <c r="I67" s="27">
        <v>0.16303000000000001</v>
      </c>
      <c r="J67" s="29">
        <f t="shared" si="16"/>
        <v>0.27680633333333332</v>
      </c>
      <c r="K67" s="30">
        <v>30.96</v>
      </c>
      <c r="L67" s="30">
        <v>28.16</v>
      </c>
      <c r="M67" s="30">
        <v>29.86</v>
      </c>
      <c r="N67" s="29">
        <f t="shared" si="0"/>
        <v>29.66</v>
      </c>
      <c r="O67" s="30">
        <v>0.460787</v>
      </c>
      <c r="P67" s="30">
        <v>0.37479499999999999</v>
      </c>
      <c r="Q67" s="30">
        <v>0.24226700000000001</v>
      </c>
      <c r="R67" s="29">
        <f t="shared" si="17"/>
        <v>0.35928300000000002</v>
      </c>
      <c r="S67" s="30">
        <v>35.770000000000003</v>
      </c>
      <c r="T67" s="30">
        <v>36.340000000000003</v>
      </c>
      <c r="U67" s="30">
        <v>37.1</v>
      </c>
      <c r="V67" s="30"/>
      <c r="W67" s="29">
        <f t="shared" ref="W67:W69" si="18">+AVERAGE(S67:U67)</f>
        <v>36.403333333333336</v>
      </c>
      <c r="X67" s="36">
        <v>4041.575492341356</v>
      </c>
    </row>
    <row r="68" spans="1:24" x14ac:dyDescent="0.45">
      <c r="A68" s="9">
        <v>66</v>
      </c>
      <c r="B68" s="9">
        <v>6</v>
      </c>
      <c r="C68" s="9">
        <v>6</v>
      </c>
      <c r="D68" s="9" t="s">
        <v>29</v>
      </c>
      <c r="E68" s="8" t="s">
        <v>1</v>
      </c>
      <c r="F68" s="5" t="s">
        <v>2</v>
      </c>
      <c r="G68" s="27">
        <v>0.42626700000000001</v>
      </c>
      <c r="H68" s="27">
        <v>1.4501999999999999E-2</v>
      </c>
      <c r="I68" s="27">
        <v>0.27911200000000003</v>
      </c>
      <c r="J68" s="29">
        <f t="shared" si="16"/>
        <v>0.23996033333333333</v>
      </c>
      <c r="K68" s="30">
        <v>28.64</v>
      </c>
      <c r="L68" s="30">
        <v>31.2</v>
      </c>
      <c r="M68" s="30">
        <v>30.29</v>
      </c>
      <c r="N68" s="29">
        <f t="shared" ref="N68:N71" si="19">+AVERAGE(K68:M68)</f>
        <v>30.043333333333333</v>
      </c>
      <c r="O68" s="30">
        <v>0.73936199999999996</v>
      </c>
      <c r="P68" s="39">
        <v>1.2396830000000001</v>
      </c>
      <c r="Q68" s="39">
        <v>1.25495</v>
      </c>
      <c r="R68" s="29">
        <f t="shared" si="17"/>
        <v>1.0779983333333334</v>
      </c>
      <c r="S68" s="30">
        <v>36.72</v>
      </c>
      <c r="T68" s="30">
        <v>35.979999999999997</v>
      </c>
      <c r="U68" s="30">
        <v>35.9</v>
      </c>
      <c r="V68" s="30"/>
      <c r="W68" s="29">
        <f t="shared" si="18"/>
        <v>36.199999999999996</v>
      </c>
      <c r="X68" s="36">
        <v>2670.6783369803061</v>
      </c>
    </row>
    <row r="69" spans="1:24" x14ac:dyDescent="0.45">
      <c r="A69" s="9">
        <v>67</v>
      </c>
      <c r="B69" s="9">
        <v>7</v>
      </c>
      <c r="C69" s="9">
        <v>6</v>
      </c>
      <c r="D69" s="51" t="s">
        <v>28</v>
      </c>
      <c r="E69" s="8" t="s">
        <v>3</v>
      </c>
      <c r="F69" s="5" t="s">
        <v>0</v>
      </c>
      <c r="G69" s="27">
        <v>0.12593599999999999</v>
      </c>
      <c r="H69" s="27">
        <v>0.10539900000000001</v>
      </c>
      <c r="I69" s="27">
        <v>0.147755</v>
      </c>
      <c r="J69" s="29">
        <f t="shared" si="16"/>
        <v>0.12636333333333336</v>
      </c>
      <c r="K69" s="30">
        <v>29.3</v>
      </c>
      <c r="L69" s="30">
        <v>29.78</v>
      </c>
      <c r="M69" s="30">
        <v>28.82</v>
      </c>
      <c r="N69" s="29">
        <f t="shared" si="19"/>
        <v>29.3</v>
      </c>
      <c r="O69" s="30">
        <v>0.34873199999999999</v>
      </c>
      <c r="P69" s="39">
        <v>1.1399410000000001</v>
      </c>
      <c r="Q69" s="30">
        <v>4.1244000000000003E-2</v>
      </c>
      <c r="R69" s="29">
        <f t="shared" si="17"/>
        <v>0.50997233333333336</v>
      </c>
      <c r="S69" s="30">
        <v>33.409999999999997</v>
      </c>
      <c r="T69" s="30">
        <v>32</v>
      </c>
      <c r="U69" s="30">
        <v>37.18</v>
      </c>
      <c r="V69" s="30"/>
      <c r="W69" s="29">
        <f t="shared" si="18"/>
        <v>34.196666666666665</v>
      </c>
      <c r="X69" s="36">
        <v>2442.5601750547044</v>
      </c>
    </row>
    <row r="70" spans="1:24" x14ac:dyDescent="0.45">
      <c r="A70" s="9">
        <v>68</v>
      </c>
      <c r="B70" s="9">
        <v>8</v>
      </c>
      <c r="C70" s="9">
        <v>6</v>
      </c>
      <c r="D70" s="9" t="s">
        <v>25</v>
      </c>
      <c r="E70" s="8" t="s">
        <v>3</v>
      </c>
      <c r="F70" s="5" t="s">
        <v>2</v>
      </c>
      <c r="G70" s="27">
        <v>0.158751</v>
      </c>
      <c r="H70" s="27">
        <v>0.29008499999999998</v>
      </c>
      <c r="I70" s="27">
        <v>1.1852E-2</v>
      </c>
      <c r="J70" s="29">
        <f t="shared" si="16"/>
        <v>0.15356266666666665</v>
      </c>
      <c r="K70" s="30">
        <v>29.09</v>
      </c>
      <c r="L70" s="30">
        <v>29.84</v>
      </c>
      <c r="M70" s="30">
        <v>31.28</v>
      </c>
      <c r="N70" s="29">
        <f t="shared" si="19"/>
        <v>30.070000000000004</v>
      </c>
      <c r="O70" s="31"/>
      <c r="P70" s="31"/>
      <c r="Q70" s="31"/>
      <c r="R70" s="32"/>
      <c r="S70" s="31"/>
      <c r="T70" s="31"/>
      <c r="U70" s="31"/>
      <c r="V70" s="31"/>
      <c r="W70" s="31"/>
      <c r="X70" s="36">
        <v>4363.2385120350109</v>
      </c>
    </row>
    <row r="71" spans="1:24" x14ac:dyDescent="0.45">
      <c r="A71" s="9">
        <v>69</v>
      </c>
      <c r="B71" s="9">
        <v>9</v>
      </c>
      <c r="C71" s="9">
        <v>6</v>
      </c>
      <c r="D71" s="51" t="s">
        <v>26</v>
      </c>
      <c r="E71" s="8" t="s">
        <v>3</v>
      </c>
      <c r="F71" s="5" t="s">
        <v>2</v>
      </c>
      <c r="G71" s="27">
        <v>3.074E-2</v>
      </c>
      <c r="H71" s="27">
        <v>2.6082000000000001E-2</v>
      </c>
      <c r="I71" s="27">
        <v>4.3665000000000002E-2</v>
      </c>
      <c r="J71" s="29">
        <f t="shared" si="16"/>
        <v>3.3495666666666667E-2</v>
      </c>
      <c r="K71" s="30">
        <v>31.14</v>
      </c>
      <c r="L71" s="30">
        <v>30.75</v>
      </c>
      <c r="M71" s="30">
        <v>29.81</v>
      </c>
      <c r="N71" s="29">
        <f t="shared" si="19"/>
        <v>30.566666666666666</v>
      </c>
      <c r="O71" s="31"/>
      <c r="P71" s="31"/>
      <c r="Q71" s="31"/>
      <c r="R71" s="31"/>
      <c r="S71" s="31"/>
      <c r="T71" s="31"/>
      <c r="U71" s="31"/>
      <c r="V71" s="31"/>
      <c r="W71" s="31"/>
      <c r="X71" s="36">
        <v>3097.3741794310722</v>
      </c>
    </row>
    <row r="72" spans="1:24" x14ac:dyDescent="0.45">
      <c r="A72" s="9">
        <v>70</v>
      </c>
      <c r="B72" s="9">
        <v>10</v>
      </c>
      <c r="C72" s="9">
        <v>6</v>
      </c>
      <c r="D72" s="56" t="s">
        <v>47</v>
      </c>
      <c r="E72" s="8" t="s">
        <v>1</v>
      </c>
      <c r="F72" s="5" t="s">
        <v>0</v>
      </c>
      <c r="G72" s="31"/>
      <c r="H72" s="31"/>
      <c r="I72" s="31"/>
      <c r="J72" s="31"/>
      <c r="K72" s="31"/>
      <c r="L72" s="31"/>
      <c r="M72" s="31"/>
      <c r="N72" s="35"/>
      <c r="O72" s="31"/>
      <c r="P72" s="31"/>
      <c r="Q72" s="31"/>
      <c r="R72" s="31"/>
      <c r="S72" s="31"/>
      <c r="T72" s="31"/>
      <c r="U72" s="31"/>
      <c r="V72" s="31"/>
      <c r="W72" s="31"/>
      <c r="X72" s="36">
        <v>3602.2975929978115</v>
      </c>
    </row>
    <row r="73" spans="1:24" x14ac:dyDescent="0.45">
      <c r="A73" s="9">
        <v>71</v>
      </c>
      <c r="B73" s="9">
        <v>11</v>
      </c>
      <c r="C73" s="9">
        <v>6</v>
      </c>
      <c r="D73" s="56" t="s">
        <v>45</v>
      </c>
      <c r="E73" s="8" t="s">
        <v>3</v>
      </c>
      <c r="F73" s="5" t="s">
        <v>2</v>
      </c>
      <c r="G73" s="31"/>
      <c r="H73" s="31"/>
      <c r="I73" s="31"/>
      <c r="J73" s="31"/>
      <c r="K73" s="31"/>
      <c r="L73" s="31"/>
      <c r="M73" s="31"/>
      <c r="N73" s="35"/>
      <c r="O73" s="31"/>
      <c r="P73" s="31"/>
      <c r="Q73" s="31"/>
      <c r="R73" s="31"/>
      <c r="S73" s="31"/>
      <c r="T73" s="31"/>
      <c r="U73" s="31"/>
      <c r="V73" s="31"/>
      <c r="W73" s="31"/>
      <c r="X73" s="36">
        <v>4084.7921225382929</v>
      </c>
    </row>
    <row r="74" spans="1:24" x14ac:dyDescent="0.45">
      <c r="A74" s="7">
        <v>72</v>
      </c>
      <c r="B74" s="7">
        <v>12</v>
      </c>
      <c r="C74" s="7">
        <v>6</v>
      </c>
      <c r="D74" s="56" t="s">
        <v>49</v>
      </c>
      <c r="E74" s="6" t="s">
        <v>1</v>
      </c>
      <c r="F74" s="5" t="s">
        <v>0</v>
      </c>
      <c r="G74" s="31"/>
      <c r="H74" s="31"/>
      <c r="I74" s="31"/>
      <c r="J74" s="31"/>
      <c r="K74" s="31"/>
      <c r="L74" s="31"/>
      <c r="M74" s="31"/>
      <c r="N74" s="35"/>
      <c r="O74" s="31"/>
      <c r="P74" s="31"/>
      <c r="Q74" s="31"/>
      <c r="R74" s="31"/>
      <c r="S74" s="31"/>
      <c r="T74" s="31"/>
      <c r="U74" s="31"/>
      <c r="V74" s="31"/>
      <c r="W74" s="31"/>
      <c r="X74" s="36">
        <v>3345.1859956236322</v>
      </c>
    </row>
    <row r="75" spans="1:24" ht="23.5" x14ac:dyDescent="0.55000000000000004">
      <c r="A75" s="4"/>
      <c r="B75" s="4"/>
      <c r="C75" s="4"/>
      <c r="D75" s="4"/>
      <c r="E75" s="3"/>
      <c r="F75" s="37" t="s">
        <v>22</v>
      </c>
      <c r="G75" s="37"/>
      <c r="H75" s="37"/>
      <c r="I75" s="37"/>
      <c r="J75" s="38">
        <f>+AVERAGE(J3:J71)</f>
        <v>0.22461572222222226</v>
      </c>
      <c r="K75" s="37"/>
      <c r="L75" s="37"/>
      <c r="M75" s="37"/>
      <c r="N75" s="38">
        <f>+AVERAGE(N3:N71)</f>
        <v>31.823888888888877</v>
      </c>
      <c r="O75" s="37"/>
      <c r="P75" s="37"/>
      <c r="Q75" s="37"/>
      <c r="R75" s="38">
        <f>+AVERAGE(R3:R71)</f>
        <v>0.56129885185185191</v>
      </c>
      <c r="S75" s="37"/>
      <c r="T75" s="37"/>
      <c r="U75" s="37"/>
      <c r="V75" s="37"/>
      <c r="W75" s="38">
        <f>+AVERAGE(W3:W71)</f>
        <v>31.323518518518526</v>
      </c>
    </row>
    <row r="76" spans="1:24" x14ac:dyDescent="0.45">
      <c r="A76" s="4"/>
      <c r="B76" s="4"/>
      <c r="C76" s="4"/>
      <c r="D76" s="4"/>
      <c r="E76" s="3"/>
    </row>
    <row r="77" spans="1:24" x14ac:dyDescent="0.45">
      <c r="A77" s="4"/>
      <c r="B77" s="4"/>
      <c r="C77" s="4"/>
      <c r="D77" s="4"/>
      <c r="E77" s="3"/>
    </row>
    <row r="78" spans="1:24" x14ac:dyDescent="0.45">
      <c r="A78" s="4"/>
      <c r="B78" s="4"/>
      <c r="C78" s="4"/>
      <c r="D78" s="4"/>
      <c r="E78" s="3"/>
    </row>
    <row r="79" spans="1:24" x14ac:dyDescent="0.45">
      <c r="A79" s="4"/>
      <c r="B79" s="4"/>
      <c r="C79" s="4"/>
      <c r="D79" s="4"/>
      <c r="E79" s="3"/>
    </row>
    <row r="80" spans="1:24" x14ac:dyDescent="0.45">
      <c r="A80" s="4"/>
      <c r="B80" s="4"/>
      <c r="C80" s="4"/>
      <c r="D80" s="4"/>
      <c r="E80" s="3"/>
    </row>
    <row r="81" spans="1:5" x14ac:dyDescent="0.45">
      <c r="A81" s="4"/>
      <c r="B81" s="4"/>
      <c r="C81" s="4"/>
      <c r="D81" s="4"/>
      <c r="E81" s="3"/>
    </row>
    <row r="82" spans="1:5" x14ac:dyDescent="0.45">
      <c r="A82" s="4"/>
      <c r="B82" s="4"/>
      <c r="C82" s="4"/>
      <c r="D82" s="4"/>
      <c r="E82" s="3"/>
    </row>
    <row r="83" spans="1:5" x14ac:dyDescent="0.45">
      <c r="A83" s="4"/>
      <c r="B83" s="4"/>
      <c r="C83" s="4"/>
      <c r="D83" s="4"/>
      <c r="E83" s="3"/>
    </row>
    <row r="84" spans="1:5" x14ac:dyDescent="0.45">
      <c r="A84" s="4"/>
      <c r="B84" s="4"/>
      <c r="C84" s="4"/>
      <c r="D84" s="4"/>
      <c r="E84" s="3"/>
    </row>
    <row r="85" spans="1:5" x14ac:dyDescent="0.45">
      <c r="A85" s="4"/>
      <c r="B85" s="4"/>
      <c r="C85" s="4"/>
      <c r="D85" s="4"/>
      <c r="E85" s="3"/>
    </row>
    <row r="86" spans="1:5" x14ac:dyDescent="0.45">
      <c r="A86" s="4"/>
      <c r="B86" s="4"/>
      <c r="C86" s="4"/>
      <c r="D86" s="4"/>
      <c r="E86" s="3"/>
    </row>
    <row r="87" spans="1:5" x14ac:dyDescent="0.45">
      <c r="A87" s="4"/>
      <c r="B87" s="4"/>
      <c r="C87" s="4"/>
      <c r="D87" s="4"/>
      <c r="E87" s="3"/>
    </row>
    <row r="88" spans="1:5" x14ac:dyDescent="0.45">
      <c r="A88" s="4"/>
      <c r="B88" s="4"/>
      <c r="C88" s="4"/>
      <c r="D88" s="4"/>
      <c r="E88" s="3"/>
    </row>
    <row r="89" spans="1:5" x14ac:dyDescent="0.45">
      <c r="A89" s="4"/>
      <c r="B89" s="4"/>
      <c r="C89" s="4"/>
      <c r="D89" s="4"/>
      <c r="E89" s="3"/>
    </row>
    <row r="90" spans="1:5" x14ac:dyDescent="0.45">
      <c r="A90" s="4"/>
      <c r="B90" s="4"/>
      <c r="C90" s="4"/>
      <c r="D90" s="4"/>
      <c r="E90" s="3"/>
    </row>
    <row r="91" spans="1:5" x14ac:dyDescent="0.45">
      <c r="A91" s="4"/>
      <c r="B91" s="4"/>
      <c r="C91" s="4"/>
      <c r="D91" s="4"/>
      <c r="E91" s="3"/>
    </row>
    <row r="92" spans="1:5" x14ac:dyDescent="0.45">
      <c r="A92" s="4"/>
      <c r="B92" s="4"/>
      <c r="C92" s="4"/>
      <c r="D92" s="4"/>
      <c r="E92" s="3"/>
    </row>
    <row r="93" spans="1:5" x14ac:dyDescent="0.45">
      <c r="A93" s="4"/>
      <c r="B93" s="4"/>
      <c r="C93" s="4"/>
      <c r="D93" s="4"/>
      <c r="E93" s="3"/>
    </row>
    <row r="94" spans="1:5" x14ac:dyDescent="0.45">
      <c r="A94" s="4"/>
      <c r="B94" s="4"/>
      <c r="C94" s="4"/>
      <c r="D94" s="4"/>
      <c r="E94" s="3"/>
    </row>
    <row r="95" spans="1:5" x14ac:dyDescent="0.45">
      <c r="A95" s="4"/>
      <c r="B95" s="4"/>
      <c r="C95" s="4"/>
      <c r="D95" s="4"/>
      <c r="E95" s="3"/>
    </row>
    <row r="96" spans="1:5" x14ac:dyDescent="0.45">
      <c r="A96" s="4"/>
      <c r="B96" s="4"/>
      <c r="C96" s="4"/>
      <c r="D96" s="4"/>
      <c r="E96" s="3"/>
    </row>
    <row r="97" spans="1:5" x14ac:dyDescent="0.45">
      <c r="A97" s="4"/>
      <c r="B97" s="4"/>
      <c r="C97" s="4"/>
      <c r="D97" s="4"/>
      <c r="E97" s="3"/>
    </row>
    <row r="98" spans="1:5" x14ac:dyDescent="0.45">
      <c r="A98" s="4"/>
      <c r="B98" s="4"/>
      <c r="C98" s="4"/>
      <c r="D98" s="4"/>
      <c r="E98" s="3"/>
    </row>
    <row r="99" spans="1:5" x14ac:dyDescent="0.45">
      <c r="A99" s="4"/>
      <c r="B99" s="4"/>
      <c r="C99" s="4"/>
      <c r="D99" s="4"/>
      <c r="E99" s="3"/>
    </row>
    <row r="100" spans="1:5" x14ac:dyDescent="0.45">
      <c r="A100" s="4"/>
      <c r="B100" s="4"/>
      <c r="C100" s="4"/>
      <c r="D100" s="4"/>
      <c r="E100" s="3"/>
    </row>
    <row r="101" spans="1:5" x14ac:dyDescent="0.45">
      <c r="A101" s="4"/>
      <c r="B101" s="4"/>
      <c r="C101" s="4"/>
      <c r="D101" s="4"/>
      <c r="E101" s="3"/>
    </row>
    <row r="102" spans="1:5" x14ac:dyDescent="0.45">
      <c r="A102" s="4"/>
      <c r="B102" s="4"/>
      <c r="C102" s="4"/>
      <c r="D102" s="4"/>
      <c r="E102" s="3"/>
    </row>
    <row r="103" spans="1:5" x14ac:dyDescent="0.45">
      <c r="A103" s="4"/>
      <c r="B103" s="4"/>
      <c r="C103" s="4"/>
      <c r="D103" s="4"/>
      <c r="E103" s="3"/>
    </row>
    <row r="104" spans="1:5" x14ac:dyDescent="0.45">
      <c r="A104" s="4"/>
      <c r="B104" s="4"/>
      <c r="C104" s="4"/>
      <c r="D104" s="4"/>
      <c r="E104" s="3"/>
    </row>
    <row r="105" spans="1:5" x14ac:dyDescent="0.45">
      <c r="A105" s="4"/>
      <c r="B105" s="4"/>
      <c r="C105" s="4"/>
      <c r="D105" s="4"/>
      <c r="E105" s="3"/>
    </row>
    <row r="106" spans="1:5" x14ac:dyDescent="0.45">
      <c r="A106" s="4"/>
      <c r="B106" s="4"/>
      <c r="C106" s="4"/>
      <c r="D106" s="4"/>
      <c r="E106" s="3"/>
    </row>
    <row r="107" spans="1:5" x14ac:dyDescent="0.45">
      <c r="A107" s="4"/>
      <c r="B107" s="4"/>
      <c r="C107" s="4"/>
      <c r="D107" s="4"/>
      <c r="E107" s="3"/>
    </row>
    <row r="108" spans="1:5" x14ac:dyDescent="0.45">
      <c r="A108" s="4"/>
      <c r="B108" s="4"/>
      <c r="C108" s="4"/>
      <c r="D108" s="4"/>
      <c r="E108" s="3"/>
    </row>
    <row r="109" spans="1:5" x14ac:dyDescent="0.45">
      <c r="A109" s="4"/>
      <c r="B109" s="4"/>
      <c r="C109" s="4"/>
      <c r="D109" s="4"/>
      <c r="E109" s="3"/>
    </row>
    <row r="110" spans="1:5" x14ac:dyDescent="0.45">
      <c r="A110" s="4"/>
      <c r="B110" s="4"/>
      <c r="C110" s="4"/>
      <c r="D110" s="4"/>
      <c r="E110" s="3"/>
    </row>
    <row r="111" spans="1:5" x14ac:dyDescent="0.45">
      <c r="A111" s="4"/>
      <c r="B111" s="4"/>
      <c r="C111" s="4"/>
      <c r="D111" s="4"/>
      <c r="E111" s="3"/>
    </row>
    <row r="112" spans="1:5" x14ac:dyDescent="0.45">
      <c r="A112" s="4"/>
      <c r="B112" s="4"/>
      <c r="C112" s="4"/>
      <c r="D112" s="4"/>
      <c r="E112" s="3"/>
    </row>
    <row r="113" spans="1:5" x14ac:dyDescent="0.45">
      <c r="A113" s="4"/>
      <c r="B113" s="4"/>
      <c r="C113" s="4"/>
      <c r="D113" s="4"/>
      <c r="E113" s="3"/>
    </row>
    <row r="114" spans="1:5" x14ac:dyDescent="0.45">
      <c r="A114" s="4"/>
      <c r="B114" s="4"/>
      <c r="C114" s="4"/>
      <c r="D114" s="4"/>
      <c r="E114" s="3"/>
    </row>
    <row r="115" spans="1:5" x14ac:dyDescent="0.45">
      <c r="A115" s="4"/>
      <c r="B115" s="4"/>
      <c r="C115" s="4"/>
      <c r="D115" s="4"/>
      <c r="E115" s="3"/>
    </row>
    <row r="116" spans="1:5" x14ac:dyDescent="0.45">
      <c r="A116" s="4"/>
      <c r="B116" s="4"/>
      <c r="C116" s="4"/>
      <c r="D116" s="4"/>
      <c r="E116" s="3"/>
    </row>
    <row r="117" spans="1:5" x14ac:dyDescent="0.45">
      <c r="A117" s="4"/>
      <c r="B117" s="4"/>
      <c r="C117" s="4"/>
      <c r="D117" s="4"/>
      <c r="E117" s="3"/>
    </row>
    <row r="118" spans="1:5" x14ac:dyDescent="0.45">
      <c r="A118" s="4"/>
      <c r="B118" s="4"/>
      <c r="C118" s="4"/>
      <c r="D118" s="4"/>
      <c r="E118" s="3"/>
    </row>
    <row r="119" spans="1:5" x14ac:dyDescent="0.45">
      <c r="A119" s="4"/>
      <c r="B119" s="4"/>
      <c r="C119" s="4"/>
      <c r="D119" s="4"/>
      <c r="E119" s="3"/>
    </row>
    <row r="120" spans="1:5" x14ac:dyDescent="0.45">
      <c r="A120" s="4"/>
      <c r="B120" s="4"/>
      <c r="C120" s="4"/>
      <c r="D120" s="4"/>
      <c r="E120" s="3"/>
    </row>
    <row r="121" spans="1:5" x14ac:dyDescent="0.45">
      <c r="A121" s="4"/>
      <c r="B121" s="4"/>
      <c r="C121" s="4"/>
      <c r="D121" s="4"/>
      <c r="E121" s="3"/>
    </row>
    <row r="122" spans="1:5" x14ac:dyDescent="0.45">
      <c r="A122" s="4"/>
      <c r="B122" s="4"/>
      <c r="C122" s="4"/>
      <c r="D122" s="4"/>
      <c r="E122" s="3"/>
    </row>
    <row r="123" spans="1:5" x14ac:dyDescent="0.45">
      <c r="A123" s="4"/>
      <c r="B123" s="4"/>
      <c r="C123" s="4"/>
      <c r="D123" s="4"/>
      <c r="E123" s="3"/>
    </row>
    <row r="124" spans="1:5" x14ac:dyDescent="0.45">
      <c r="A124" s="4"/>
      <c r="B124" s="4"/>
      <c r="C124" s="4"/>
      <c r="D124" s="4"/>
      <c r="E124" s="3"/>
    </row>
    <row r="125" spans="1:5" x14ac:dyDescent="0.45">
      <c r="A125" s="4"/>
      <c r="B125" s="4"/>
      <c r="C125" s="4"/>
      <c r="D125" s="4"/>
      <c r="E125" s="3"/>
    </row>
    <row r="126" spans="1:5" x14ac:dyDescent="0.45">
      <c r="A126" s="4"/>
      <c r="B126" s="4"/>
      <c r="C126" s="4"/>
      <c r="D126" s="4"/>
      <c r="E126" s="3"/>
    </row>
    <row r="127" spans="1:5" x14ac:dyDescent="0.45">
      <c r="A127" s="4"/>
      <c r="B127" s="4"/>
      <c r="C127" s="4"/>
      <c r="D127" s="4"/>
      <c r="E127" s="3"/>
    </row>
    <row r="128" spans="1:5" x14ac:dyDescent="0.45">
      <c r="A128" s="4"/>
      <c r="B128" s="4"/>
      <c r="C128" s="4"/>
      <c r="D128" s="4"/>
      <c r="E128" s="3"/>
    </row>
    <row r="129" spans="1:5" x14ac:dyDescent="0.45">
      <c r="A129" s="4"/>
      <c r="B129" s="4"/>
      <c r="C129" s="4"/>
      <c r="D129" s="4"/>
      <c r="E129" s="3"/>
    </row>
    <row r="130" spans="1:5" x14ac:dyDescent="0.45">
      <c r="A130" s="4"/>
      <c r="B130" s="4"/>
      <c r="C130" s="4"/>
      <c r="D130" s="4"/>
      <c r="E130" s="3"/>
    </row>
    <row r="131" spans="1:5" x14ac:dyDescent="0.45">
      <c r="A131" s="4"/>
      <c r="B131" s="4"/>
      <c r="C131" s="4"/>
      <c r="D131" s="4"/>
      <c r="E131" s="3"/>
    </row>
    <row r="132" spans="1:5" x14ac:dyDescent="0.45">
      <c r="A132" s="4"/>
      <c r="B132" s="4"/>
      <c r="C132" s="4"/>
      <c r="D132" s="4"/>
      <c r="E132" s="3"/>
    </row>
    <row r="133" spans="1:5" x14ac:dyDescent="0.45">
      <c r="A133" s="4"/>
      <c r="B133" s="4"/>
      <c r="C133" s="4"/>
      <c r="D133" s="4"/>
      <c r="E133" s="3"/>
    </row>
    <row r="134" spans="1:5" x14ac:dyDescent="0.45">
      <c r="A134" s="4"/>
      <c r="B134" s="4"/>
      <c r="C134" s="4"/>
      <c r="D134" s="4"/>
      <c r="E134" s="3"/>
    </row>
    <row r="135" spans="1:5" x14ac:dyDescent="0.45">
      <c r="A135" s="4"/>
      <c r="B135" s="4"/>
      <c r="C135" s="4"/>
      <c r="D135" s="4"/>
      <c r="E135" s="3"/>
    </row>
    <row r="136" spans="1:5" x14ac:dyDescent="0.45">
      <c r="A136" s="4"/>
      <c r="B136" s="4"/>
      <c r="C136" s="4"/>
      <c r="D136" s="4"/>
      <c r="E136" s="3"/>
    </row>
    <row r="137" spans="1:5" x14ac:dyDescent="0.45">
      <c r="A137" s="4"/>
      <c r="B137" s="4"/>
      <c r="C137" s="4"/>
      <c r="D137" s="4"/>
      <c r="E137" s="3"/>
    </row>
    <row r="138" spans="1:5" x14ac:dyDescent="0.45">
      <c r="A138" s="4"/>
      <c r="B138" s="4"/>
      <c r="C138" s="4"/>
      <c r="D138" s="4"/>
      <c r="E138" s="3"/>
    </row>
    <row r="139" spans="1:5" x14ac:dyDescent="0.45">
      <c r="A139" s="4"/>
      <c r="B139" s="4"/>
      <c r="C139" s="4"/>
      <c r="D139" s="4"/>
      <c r="E139" s="3"/>
    </row>
    <row r="140" spans="1:5" x14ac:dyDescent="0.45">
      <c r="A140" s="4"/>
      <c r="B140" s="4"/>
      <c r="C140" s="4"/>
      <c r="D140" s="4"/>
      <c r="E140" s="3"/>
    </row>
    <row r="141" spans="1:5" x14ac:dyDescent="0.45">
      <c r="A141" s="4"/>
      <c r="B141" s="4"/>
      <c r="C141" s="4"/>
      <c r="D141" s="4"/>
      <c r="E141" s="3"/>
    </row>
    <row r="142" spans="1:5" x14ac:dyDescent="0.45">
      <c r="A142" s="4"/>
      <c r="B142" s="4"/>
      <c r="C142" s="4"/>
      <c r="D142" s="4"/>
      <c r="E142" s="3"/>
    </row>
    <row r="143" spans="1:5" x14ac:dyDescent="0.45">
      <c r="A143" s="4"/>
      <c r="B143" s="4"/>
      <c r="C143" s="4"/>
      <c r="D143" s="4"/>
      <c r="E143" s="3"/>
    </row>
    <row r="144" spans="1:5" x14ac:dyDescent="0.45">
      <c r="A144" s="4"/>
      <c r="B144" s="4"/>
      <c r="C144" s="4"/>
      <c r="D144" s="4"/>
      <c r="E144" s="3"/>
    </row>
    <row r="145" spans="1:5" x14ac:dyDescent="0.45">
      <c r="A145" s="4"/>
      <c r="B145" s="4"/>
      <c r="C145" s="4"/>
      <c r="D145" s="4"/>
      <c r="E145" s="3"/>
    </row>
    <row r="146" spans="1:5" x14ac:dyDescent="0.45">
      <c r="A146" s="4"/>
      <c r="B146" s="4"/>
      <c r="C146" s="4"/>
      <c r="D146" s="4"/>
      <c r="E14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53C02-EA2A-4B9F-A00A-CB8FC98B4C70}">
  <dimension ref="A3:C12"/>
  <sheetViews>
    <sheetView workbookViewId="0">
      <selection activeCell="A3" sqref="A3"/>
    </sheetView>
  </sheetViews>
  <sheetFormatPr defaultRowHeight="16" x14ac:dyDescent="0.4"/>
  <cols>
    <col min="1" max="1" width="12.1640625" bestFit="1" customWidth="1"/>
    <col min="2" max="2" width="16.08203125" bestFit="1" customWidth="1"/>
    <col min="3" max="3" width="25.9140625" bestFit="1" customWidth="1"/>
  </cols>
  <sheetData>
    <row r="3" spans="1:3" x14ac:dyDescent="0.4">
      <c r="A3" s="73" t="s">
        <v>72</v>
      </c>
      <c r="B3" t="s">
        <v>75</v>
      </c>
      <c r="C3" t="s">
        <v>76</v>
      </c>
    </row>
    <row r="4" spans="1:3" x14ac:dyDescent="0.4">
      <c r="A4" s="74">
        <v>45513</v>
      </c>
      <c r="B4" s="77">
        <v>3109.2727432782513</v>
      </c>
      <c r="C4" s="77">
        <v>10.781554666666667</v>
      </c>
    </row>
    <row r="5" spans="1:3" x14ac:dyDescent="0.4">
      <c r="A5" s="76" t="s">
        <v>65</v>
      </c>
      <c r="B5" s="77">
        <v>2194.1701250031438</v>
      </c>
      <c r="C5" s="77">
        <v>6.24892</v>
      </c>
    </row>
    <row r="6" spans="1:3" x14ac:dyDescent="0.4">
      <c r="A6" s="76" t="s">
        <v>64</v>
      </c>
      <c r="B6" s="77">
        <v>915.10261827510772</v>
      </c>
      <c r="C6" s="77">
        <v>4.5326346666666666</v>
      </c>
    </row>
    <row r="7" spans="1:3" x14ac:dyDescent="0.4">
      <c r="A7" s="74">
        <v>45534</v>
      </c>
      <c r="B7" s="77">
        <v>3109.2727432782513</v>
      </c>
      <c r="C7" s="77">
        <v>20.206758666666666</v>
      </c>
    </row>
    <row r="8" spans="1:3" x14ac:dyDescent="0.4">
      <c r="A8" s="76" t="s">
        <v>65</v>
      </c>
      <c r="B8" s="77">
        <v>2194.1701250031438</v>
      </c>
      <c r="C8" s="77">
        <v>12.698820666666666</v>
      </c>
    </row>
    <row r="9" spans="1:3" x14ac:dyDescent="0.4">
      <c r="A9" s="76" t="s">
        <v>64</v>
      </c>
      <c r="B9" s="77">
        <v>915.10261827510772</v>
      </c>
      <c r="C9" s="77">
        <v>7.5079380000000002</v>
      </c>
    </row>
    <row r="10" spans="1:3" x14ac:dyDescent="0.4">
      <c r="A10" s="75" t="s">
        <v>73</v>
      </c>
      <c r="B10" s="77"/>
      <c r="C10" s="77"/>
    </row>
    <row r="11" spans="1:3" x14ac:dyDescent="0.4">
      <c r="A11" s="76" t="s">
        <v>73</v>
      </c>
      <c r="B11" s="77"/>
      <c r="C11" s="77"/>
    </row>
    <row r="12" spans="1:3" x14ac:dyDescent="0.4">
      <c r="A12" s="75" t="s">
        <v>74</v>
      </c>
      <c r="B12" s="77">
        <v>6218.5454865565025</v>
      </c>
      <c r="C12" s="77">
        <v>30.988313333333334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93D17-AD36-4CF1-8C8B-D5C4539927B7}">
  <dimension ref="A1:S145"/>
  <sheetViews>
    <sheetView tabSelected="1" workbookViewId="0">
      <pane xSplit="3" topLeftCell="D1" activePane="topRight" state="frozen"/>
      <selection pane="topRight" activeCell="J8" sqref="J8"/>
    </sheetView>
  </sheetViews>
  <sheetFormatPr defaultColWidth="10.83203125" defaultRowHeight="14.5" x14ac:dyDescent="0.35"/>
  <cols>
    <col min="1" max="1" width="6.83203125" style="58" bestFit="1" customWidth="1"/>
    <col min="2" max="2" width="17.6640625" style="58" customWidth="1"/>
    <col min="3" max="3" width="11.33203125" style="58" customWidth="1"/>
    <col min="4" max="4" width="5.33203125" style="58" bestFit="1" customWidth="1"/>
    <col min="5" max="5" width="6.5" style="58" bestFit="1" customWidth="1"/>
    <col min="6" max="6" width="9.83203125" style="58" bestFit="1" customWidth="1"/>
    <col min="7" max="7" width="15.83203125" style="58" bestFit="1" customWidth="1"/>
    <col min="8" max="8" width="16.6640625" style="58" bestFit="1" customWidth="1"/>
    <col min="9" max="9" width="17.5" style="58" bestFit="1" customWidth="1"/>
    <col min="10" max="10" width="13.5" style="58" bestFit="1" customWidth="1"/>
    <col min="11" max="11" width="7.6640625" style="58" bestFit="1" customWidth="1"/>
    <col min="12" max="12" width="10.83203125" style="1"/>
    <col min="13" max="13" width="12.83203125" style="1" bestFit="1" customWidth="1"/>
    <col min="14" max="14" width="15.83203125" style="1" bestFit="1" customWidth="1"/>
    <col min="15" max="17" width="10.83203125" style="1"/>
    <col min="18" max="18" width="22.1640625" style="1" bestFit="1" customWidth="1"/>
    <col min="19" max="16384" width="10.83203125" style="1"/>
  </cols>
  <sheetData>
    <row r="1" spans="1:13" x14ac:dyDescent="0.35">
      <c r="A1" s="58" t="s">
        <v>68</v>
      </c>
      <c r="B1" s="58" t="s">
        <v>63</v>
      </c>
      <c r="C1" s="59" t="s">
        <v>59</v>
      </c>
      <c r="D1" s="59" t="s">
        <v>13</v>
      </c>
      <c r="E1" s="59" t="s">
        <v>12</v>
      </c>
      <c r="F1" s="59" t="s">
        <v>33</v>
      </c>
      <c r="G1" s="60" t="s">
        <v>66</v>
      </c>
      <c r="H1" s="60" t="s">
        <v>67</v>
      </c>
      <c r="I1" s="59" t="s">
        <v>61</v>
      </c>
      <c r="J1" s="59" t="s">
        <v>62</v>
      </c>
      <c r="K1" s="58" t="s">
        <v>69</v>
      </c>
      <c r="L1" s="58" t="s">
        <v>70</v>
      </c>
      <c r="M1" s="1" t="s">
        <v>71</v>
      </c>
    </row>
    <row r="2" spans="1:13" x14ac:dyDescent="0.35">
      <c r="A2" s="58" t="s">
        <v>64</v>
      </c>
      <c r="B2" s="61">
        <v>45513</v>
      </c>
      <c r="C2" s="58">
        <v>1</v>
      </c>
      <c r="D2" s="58">
        <v>1</v>
      </c>
      <c r="E2" s="58">
        <v>1</v>
      </c>
      <c r="F2" s="62" t="s">
        <v>23</v>
      </c>
      <c r="G2" s="63" t="s">
        <v>4</v>
      </c>
      <c r="H2" s="63" t="s">
        <v>5</v>
      </c>
      <c r="I2" s="64">
        <v>0.89290066666666668</v>
      </c>
      <c r="J2" s="64">
        <v>29.24</v>
      </c>
      <c r="K2" s="65">
        <v>1516.9584245076585</v>
      </c>
      <c r="L2" s="72">
        <f>K2*0.0149/0.87</f>
        <v>25.980092557659898</v>
      </c>
      <c r="M2" s="1">
        <v>5</v>
      </c>
    </row>
    <row r="3" spans="1:13" x14ac:dyDescent="0.35">
      <c r="A3" s="58" t="s">
        <v>64</v>
      </c>
      <c r="B3" s="61">
        <v>45513</v>
      </c>
      <c r="C3" s="58">
        <v>2</v>
      </c>
      <c r="D3" s="58">
        <v>2</v>
      </c>
      <c r="E3" s="58">
        <v>1</v>
      </c>
      <c r="F3" s="62" t="s">
        <v>24</v>
      </c>
      <c r="G3" s="63" t="s">
        <v>4</v>
      </c>
      <c r="H3" s="63" t="s">
        <v>2</v>
      </c>
      <c r="I3" s="64">
        <v>0.67524366666666669</v>
      </c>
      <c r="J3" s="64">
        <v>30.189999999999998</v>
      </c>
      <c r="K3" s="65">
        <v>1449.671772428884</v>
      </c>
      <c r="L3" s="72">
        <f t="shared" ref="L3:L66" si="0">K3*0.0149/0.87</f>
        <v>24.827711964586634</v>
      </c>
      <c r="M3" s="1">
        <v>0</v>
      </c>
    </row>
    <row r="4" spans="1:13" x14ac:dyDescent="0.35">
      <c r="A4" s="58" t="s">
        <v>64</v>
      </c>
      <c r="B4" s="61">
        <v>45513</v>
      </c>
      <c r="C4" s="58">
        <v>3</v>
      </c>
      <c r="D4" s="58">
        <v>3</v>
      </c>
      <c r="E4" s="58">
        <v>1</v>
      </c>
      <c r="F4" s="62" t="s">
        <v>25</v>
      </c>
      <c r="G4" s="63" t="s">
        <v>3</v>
      </c>
      <c r="H4" s="63" t="s">
        <v>0</v>
      </c>
      <c r="I4" s="64">
        <v>0.63957966666666666</v>
      </c>
      <c r="J4" s="64">
        <v>31.446666666666669</v>
      </c>
      <c r="K4" s="65">
        <v>1321.1159737417943</v>
      </c>
      <c r="L4" s="72">
        <f t="shared" si="0"/>
        <v>22.626009205462914</v>
      </c>
      <c r="M4" s="1">
        <v>5</v>
      </c>
    </row>
    <row r="5" spans="1:13" x14ac:dyDescent="0.35">
      <c r="A5" s="58" t="s">
        <v>64</v>
      </c>
      <c r="B5" s="61">
        <v>45513</v>
      </c>
      <c r="C5" s="58">
        <v>4</v>
      </c>
      <c r="D5" s="58">
        <v>4</v>
      </c>
      <c r="E5" s="58">
        <v>1</v>
      </c>
      <c r="F5" s="62" t="s">
        <v>26</v>
      </c>
      <c r="G5" s="63" t="s">
        <v>3</v>
      </c>
      <c r="H5" s="63" t="s">
        <v>2</v>
      </c>
      <c r="I5" s="64">
        <v>0.5505553333333334</v>
      </c>
      <c r="J5" s="64">
        <v>32.213333333333331</v>
      </c>
      <c r="K5" s="65">
        <v>1450.2188183807439</v>
      </c>
      <c r="L5" s="72">
        <f t="shared" si="0"/>
        <v>24.8370809124978</v>
      </c>
      <c r="M5" s="1">
        <v>0</v>
      </c>
    </row>
    <row r="6" spans="1:13" x14ac:dyDescent="0.35">
      <c r="A6" s="58" t="s">
        <v>64</v>
      </c>
      <c r="B6" s="61">
        <v>45513</v>
      </c>
      <c r="C6" s="58">
        <v>5</v>
      </c>
      <c r="D6" s="58">
        <v>5</v>
      </c>
      <c r="E6" s="58">
        <v>1</v>
      </c>
      <c r="F6" s="62" t="s">
        <v>45</v>
      </c>
      <c r="G6" s="63" t="s">
        <v>3</v>
      </c>
      <c r="H6" s="63" t="s">
        <v>2</v>
      </c>
      <c r="I6" s="64"/>
      <c r="J6" s="65"/>
      <c r="K6" s="65">
        <v>271.3347921225382</v>
      </c>
      <c r="L6" s="72">
        <f t="shared" si="0"/>
        <v>4.6469981639377238</v>
      </c>
      <c r="M6" s="1">
        <v>10</v>
      </c>
    </row>
    <row r="7" spans="1:13" x14ac:dyDescent="0.35">
      <c r="A7" s="58" t="s">
        <v>64</v>
      </c>
      <c r="B7" s="61">
        <v>45513</v>
      </c>
      <c r="C7" s="58">
        <v>6</v>
      </c>
      <c r="D7" s="58">
        <v>6</v>
      </c>
      <c r="E7" s="58">
        <v>1</v>
      </c>
      <c r="F7" s="62" t="s">
        <v>47</v>
      </c>
      <c r="G7" s="63" t="s">
        <v>1</v>
      </c>
      <c r="H7" s="63" t="s">
        <v>0</v>
      </c>
      <c r="I7" s="64"/>
      <c r="J7" s="65"/>
      <c r="K7" s="65">
        <v>2586.980306345733</v>
      </c>
      <c r="L7" s="72">
        <f t="shared" si="0"/>
        <v>44.305754671898185</v>
      </c>
      <c r="M7" s="1">
        <v>0</v>
      </c>
    </row>
    <row r="8" spans="1:13" x14ac:dyDescent="0.35">
      <c r="A8" s="58" t="s">
        <v>64</v>
      </c>
      <c r="B8" s="61">
        <v>45513</v>
      </c>
      <c r="C8" s="58">
        <v>7</v>
      </c>
      <c r="D8" s="58">
        <v>7</v>
      </c>
      <c r="E8" s="58">
        <v>1</v>
      </c>
      <c r="F8" s="62" t="s">
        <v>49</v>
      </c>
      <c r="G8" s="63" t="s">
        <v>1</v>
      </c>
      <c r="H8" s="63" t="s">
        <v>0</v>
      </c>
      <c r="I8" s="64"/>
      <c r="J8" s="65"/>
      <c r="K8" s="65">
        <v>1771.8818380743983</v>
      </c>
      <c r="L8" s="72">
        <f t="shared" si="0"/>
        <v>30.346022284262681</v>
      </c>
      <c r="M8" s="1">
        <v>0</v>
      </c>
    </row>
    <row r="9" spans="1:13" x14ac:dyDescent="0.35">
      <c r="A9" s="58" t="s">
        <v>64</v>
      </c>
      <c r="B9" s="61">
        <v>45513</v>
      </c>
      <c r="C9" s="58">
        <v>8</v>
      </c>
      <c r="D9" s="58">
        <v>8</v>
      </c>
      <c r="E9" s="58">
        <v>1</v>
      </c>
      <c r="F9" s="62" t="s">
        <v>51</v>
      </c>
      <c r="G9" s="63" t="s">
        <v>3</v>
      </c>
      <c r="H9" s="63" t="s">
        <v>2</v>
      </c>
      <c r="I9" s="64"/>
      <c r="J9" s="65"/>
      <c r="K9" s="65">
        <v>1237.9649890590808</v>
      </c>
      <c r="L9" s="72">
        <f t="shared" si="0"/>
        <v>21.201929122965868</v>
      </c>
      <c r="M9" s="1">
        <v>0</v>
      </c>
    </row>
    <row r="10" spans="1:13" x14ac:dyDescent="0.35">
      <c r="A10" s="58" t="s">
        <v>64</v>
      </c>
      <c r="B10" s="61">
        <v>45513</v>
      </c>
      <c r="C10" s="58">
        <v>9</v>
      </c>
      <c r="D10" s="58">
        <v>9</v>
      </c>
      <c r="E10" s="58">
        <v>1</v>
      </c>
      <c r="F10" s="62" t="s">
        <v>27</v>
      </c>
      <c r="G10" s="63" t="s">
        <v>1</v>
      </c>
      <c r="H10" s="63" t="s">
        <v>2</v>
      </c>
      <c r="I10" s="64">
        <v>0.75610333333333335</v>
      </c>
      <c r="J10" s="64">
        <v>31.526666666666667</v>
      </c>
      <c r="K10" s="65">
        <v>952.95404814004382</v>
      </c>
      <c r="L10" s="72">
        <f t="shared" si="0"/>
        <v>16.320707261249026</v>
      </c>
      <c r="M10" s="1">
        <v>20</v>
      </c>
    </row>
    <row r="11" spans="1:13" x14ac:dyDescent="0.35">
      <c r="A11" s="58" t="s">
        <v>64</v>
      </c>
      <c r="B11" s="61">
        <v>45513</v>
      </c>
      <c r="C11" s="58">
        <v>10</v>
      </c>
      <c r="D11" s="58">
        <v>10</v>
      </c>
      <c r="E11" s="58">
        <v>1</v>
      </c>
      <c r="F11" s="62" t="s">
        <v>28</v>
      </c>
      <c r="G11" s="63" t="s">
        <v>1</v>
      </c>
      <c r="H11" s="63" t="s">
        <v>5</v>
      </c>
      <c r="I11" s="64">
        <v>4.0697333333333335E-2</v>
      </c>
      <c r="J11" s="64">
        <v>34.063333333333333</v>
      </c>
      <c r="K11" s="65">
        <v>856.12691466083152</v>
      </c>
      <c r="L11" s="72">
        <f t="shared" si="0"/>
        <v>14.662403480972861</v>
      </c>
      <c r="M11" s="1">
        <v>20</v>
      </c>
    </row>
    <row r="12" spans="1:13" x14ac:dyDescent="0.35">
      <c r="A12" s="58" t="s">
        <v>64</v>
      </c>
      <c r="B12" s="61">
        <v>45513</v>
      </c>
      <c r="C12" s="58">
        <v>11</v>
      </c>
      <c r="D12" s="58">
        <v>11</v>
      </c>
      <c r="E12" s="58">
        <v>1</v>
      </c>
      <c r="F12" s="62" t="s">
        <v>29</v>
      </c>
      <c r="G12" s="63" t="s">
        <v>4</v>
      </c>
      <c r="H12" s="63" t="s">
        <v>0</v>
      </c>
      <c r="I12" s="64">
        <v>3.5785000000000004E-2</v>
      </c>
      <c r="J12" s="64">
        <v>33.016666666666673</v>
      </c>
      <c r="K12" s="65">
        <v>910.83150984682698</v>
      </c>
      <c r="L12" s="72">
        <f t="shared" si="0"/>
        <v>15.599298272089335</v>
      </c>
      <c r="M12" s="1">
        <v>30</v>
      </c>
    </row>
    <row r="13" spans="1:13" x14ac:dyDescent="0.35">
      <c r="A13" s="58" t="s">
        <v>64</v>
      </c>
      <c r="B13" s="61">
        <v>45513</v>
      </c>
      <c r="C13" s="58">
        <v>12</v>
      </c>
      <c r="D13" s="58">
        <v>12</v>
      </c>
      <c r="E13" s="58">
        <v>1</v>
      </c>
      <c r="F13" s="62" t="s">
        <v>30</v>
      </c>
      <c r="G13" s="63" t="s">
        <v>3</v>
      </c>
      <c r="H13" s="63" t="s">
        <v>5</v>
      </c>
      <c r="I13" s="64">
        <v>5.2778666666666668E-2</v>
      </c>
      <c r="J13" s="64">
        <v>31.97</v>
      </c>
      <c r="K13" s="65">
        <v>1498.90590809628</v>
      </c>
      <c r="L13" s="72">
        <f t="shared" si="0"/>
        <v>25.670917276591464</v>
      </c>
      <c r="M13" s="1">
        <v>0</v>
      </c>
    </row>
    <row r="14" spans="1:13" x14ac:dyDescent="0.35">
      <c r="A14" s="58" t="s">
        <v>64</v>
      </c>
      <c r="B14" s="61">
        <v>45513</v>
      </c>
      <c r="C14" s="58">
        <v>13</v>
      </c>
      <c r="D14" s="58">
        <v>1</v>
      </c>
      <c r="E14" s="58">
        <v>2</v>
      </c>
      <c r="F14" s="66" t="s">
        <v>28</v>
      </c>
      <c r="G14" s="63" t="s">
        <v>3</v>
      </c>
      <c r="H14" s="63" t="s">
        <v>0</v>
      </c>
      <c r="I14" s="64">
        <v>4.8692333333333337E-2</v>
      </c>
      <c r="J14" s="64">
        <v>32.556666666666665</v>
      </c>
      <c r="K14" s="65">
        <v>586.43326039387307</v>
      </c>
      <c r="L14" s="72">
        <f t="shared" si="0"/>
        <v>10.043512160768632</v>
      </c>
      <c r="M14" s="1">
        <v>30</v>
      </c>
    </row>
    <row r="15" spans="1:13" x14ac:dyDescent="0.35">
      <c r="A15" s="58" t="s">
        <v>64</v>
      </c>
      <c r="B15" s="61">
        <v>45513</v>
      </c>
      <c r="C15" s="58">
        <v>14</v>
      </c>
      <c r="D15" s="58">
        <v>2</v>
      </c>
      <c r="E15" s="58">
        <v>2</v>
      </c>
      <c r="F15" s="62" t="s">
        <v>51</v>
      </c>
      <c r="G15" s="63" t="s">
        <v>1</v>
      </c>
      <c r="H15" s="63" t="s">
        <v>2</v>
      </c>
      <c r="I15" s="64"/>
      <c r="J15" s="65"/>
      <c r="K15" s="65">
        <v>1647.1553610503283</v>
      </c>
      <c r="L15" s="72">
        <f t="shared" si="0"/>
        <v>28.209902160517117</v>
      </c>
      <c r="M15" s="1">
        <v>0</v>
      </c>
    </row>
    <row r="16" spans="1:13" x14ac:dyDescent="0.35">
      <c r="A16" s="58" t="s">
        <v>64</v>
      </c>
      <c r="B16" s="61">
        <v>45513</v>
      </c>
      <c r="C16" s="58">
        <v>15</v>
      </c>
      <c r="D16" s="58">
        <v>3</v>
      </c>
      <c r="E16" s="58">
        <v>2</v>
      </c>
      <c r="F16" s="66" t="s">
        <v>27</v>
      </c>
      <c r="G16" s="63" t="s">
        <v>1</v>
      </c>
      <c r="H16" s="63" t="s">
        <v>2</v>
      </c>
      <c r="I16" s="64">
        <v>4.8150999999999999E-2</v>
      </c>
      <c r="J16" s="64">
        <v>32.769999999999996</v>
      </c>
      <c r="K16" s="65">
        <v>1360.5032822757114</v>
      </c>
      <c r="L16" s="72">
        <f t="shared" si="0"/>
        <v>23.300573455066782</v>
      </c>
      <c r="M16" s="1">
        <v>5</v>
      </c>
    </row>
    <row r="17" spans="1:13" x14ac:dyDescent="0.35">
      <c r="A17" s="58" t="s">
        <v>64</v>
      </c>
      <c r="B17" s="61">
        <v>45513</v>
      </c>
      <c r="C17" s="58">
        <v>16</v>
      </c>
      <c r="D17" s="58">
        <v>4</v>
      </c>
      <c r="E17" s="58">
        <v>2</v>
      </c>
      <c r="F17" s="66" t="s">
        <v>24</v>
      </c>
      <c r="G17" s="63" t="s">
        <v>0</v>
      </c>
      <c r="H17" s="63" t="s">
        <v>2</v>
      </c>
      <c r="I17" s="64">
        <v>2.5597999999999999E-2</v>
      </c>
      <c r="J17" s="64">
        <v>32.916666666666664</v>
      </c>
      <c r="K17" s="65">
        <v>1636.2144420131292</v>
      </c>
      <c r="L17" s="72">
        <f t="shared" si="0"/>
        <v>28.022523202293822</v>
      </c>
      <c r="M17" s="1">
        <v>0</v>
      </c>
    </row>
    <row r="18" spans="1:13" x14ac:dyDescent="0.35">
      <c r="A18" s="58" t="s">
        <v>64</v>
      </c>
      <c r="B18" s="61">
        <v>45513</v>
      </c>
      <c r="C18" s="58">
        <v>17</v>
      </c>
      <c r="D18" s="58">
        <v>5</v>
      </c>
      <c r="E18" s="58">
        <v>2</v>
      </c>
      <c r="F18" s="62" t="s">
        <v>49</v>
      </c>
      <c r="G18" s="63" t="s">
        <v>1</v>
      </c>
      <c r="H18" s="63" t="s">
        <v>0</v>
      </c>
      <c r="I18" s="64"/>
      <c r="J18" s="65"/>
      <c r="K18" s="65">
        <v>1438.1838074398249</v>
      </c>
      <c r="L18" s="72">
        <f t="shared" si="0"/>
        <v>24.630964058452175</v>
      </c>
      <c r="M18" s="1">
        <v>0</v>
      </c>
    </row>
    <row r="19" spans="1:13" x14ac:dyDescent="0.35">
      <c r="A19" s="58" t="s">
        <v>64</v>
      </c>
      <c r="B19" s="61">
        <v>45513</v>
      </c>
      <c r="C19" s="58">
        <v>18</v>
      </c>
      <c r="D19" s="58">
        <v>6</v>
      </c>
      <c r="E19" s="58">
        <v>2</v>
      </c>
      <c r="F19" s="66" t="s">
        <v>26</v>
      </c>
      <c r="G19" s="63" t="s">
        <v>3</v>
      </c>
      <c r="H19" s="63" t="s">
        <v>2</v>
      </c>
      <c r="I19" s="64">
        <v>4.0080333333333329E-2</v>
      </c>
      <c r="J19" s="64">
        <v>34.116666666666667</v>
      </c>
      <c r="K19" s="65">
        <v>1684.9015317286651</v>
      </c>
      <c r="L19" s="72">
        <f t="shared" si="0"/>
        <v>28.856359566387482</v>
      </c>
      <c r="M19" s="1">
        <v>0</v>
      </c>
    </row>
    <row r="20" spans="1:13" x14ac:dyDescent="0.35">
      <c r="A20" s="58" t="s">
        <v>64</v>
      </c>
      <c r="B20" s="61">
        <v>45513</v>
      </c>
      <c r="C20" s="58">
        <v>19</v>
      </c>
      <c r="D20" s="58">
        <v>7</v>
      </c>
      <c r="E20" s="58">
        <v>2</v>
      </c>
      <c r="F20" s="62" t="s">
        <v>45</v>
      </c>
      <c r="G20" s="63" t="s">
        <v>4</v>
      </c>
      <c r="H20" s="63" t="s">
        <v>2</v>
      </c>
      <c r="I20" s="64"/>
      <c r="J20" s="65"/>
      <c r="K20" s="65">
        <v>1712.253829321663</v>
      </c>
      <c r="L20" s="72">
        <f t="shared" si="0"/>
        <v>29.324806961945722</v>
      </c>
      <c r="M20" s="1">
        <v>10</v>
      </c>
    </row>
    <row r="21" spans="1:13" x14ac:dyDescent="0.35">
      <c r="A21" s="58" t="s">
        <v>64</v>
      </c>
      <c r="B21" s="61">
        <v>45513</v>
      </c>
      <c r="C21" s="58">
        <v>20</v>
      </c>
      <c r="D21" s="58">
        <v>8</v>
      </c>
      <c r="E21" s="58">
        <v>2</v>
      </c>
      <c r="F21" s="66" t="s">
        <v>29</v>
      </c>
      <c r="G21" s="63" t="s">
        <v>0</v>
      </c>
      <c r="H21" s="63" t="s">
        <v>0</v>
      </c>
      <c r="I21" s="64">
        <v>4.8795333333333336E-2</v>
      </c>
      <c r="J21" s="64">
        <v>33.546666666666667</v>
      </c>
      <c r="K21" s="65">
        <v>894.96717724288851</v>
      </c>
      <c r="L21" s="72">
        <f t="shared" si="0"/>
        <v>15.327598782665563</v>
      </c>
      <c r="M21" s="1">
        <v>10</v>
      </c>
    </row>
    <row r="22" spans="1:13" x14ac:dyDescent="0.35">
      <c r="A22" s="58" t="s">
        <v>64</v>
      </c>
      <c r="B22" s="61">
        <v>45513</v>
      </c>
      <c r="C22" s="58">
        <v>21</v>
      </c>
      <c r="D22" s="58">
        <v>9</v>
      </c>
      <c r="E22" s="58">
        <v>2</v>
      </c>
      <c r="F22" s="66" t="s">
        <v>23</v>
      </c>
      <c r="G22" s="63" t="s">
        <v>4</v>
      </c>
      <c r="H22" s="63" t="s">
        <v>2</v>
      </c>
      <c r="I22" s="64">
        <v>3.1484333333333336E-2</v>
      </c>
      <c r="J22" s="64">
        <v>31.793333333333333</v>
      </c>
      <c r="K22" s="65">
        <v>1430.5251641137854</v>
      </c>
      <c r="L22" s="72">
        <f t="shared" si="0"/>
        <v>24.499798787695866</v>
      </c>
      <c r="M22" s="1">
        <v>30</v>
      </c>
    </row>
    <row r="23" spans="1:13" x14ac:dyDescent="0.35">
      <c r="A23" s="58" t="s">
        <v>64</v>
      </c>
      <c r="B23" s="61">
        <v>45513</v>
      </c>
      <c r="C23" s="58">
        <v>22</v>
      </c>
      <c r="D23" s="58">
        <v>10</v>
      </c>
      <c r="E23" s="58">
        <v>2</v>
      </c>
      <c r="F23" s="66" t="s">
        <v>30</v>
      </c>
      <c r="G23" s="63" t="s">
        <v>3</v>
      </c>
      <c r="H23" s="63" t="s">
        <v>2</v>
      </c>
      <c r="I23" s="64">
        <v>4.6344666666666666E-2</v>
      </c>
      <c r="J23" s="64">
        <v>32.11</v>
      </c>
      <c r="K23" s="65">
        <v>1812.3632385120352</v>
      </c>
      <c r="L23" s="72">
        <f t="shared" si="0"/>
        <v>31.039324429688875</v>
      </c>
      <c r="M23" s="1">
        <v>5</v>
      </c>
    </row>
    <row r="24" spans="1:13" x14ac:dyDescent="0.35">
      <c r="A24" s="58" t="s">
        <v>64</v>
      </c>
      <c r="B24" s="61">
        <v>45513</v>
      </c>
      <c r="C24" s="58">
        <v>23</v>
      </c>
      <c r="D24" s="58">
        <v>11</v>
      </c>
      <c r="E24" s="58">
        <v>2</v>
      </c>
      <c r="F24" s="62" t="s">
        <v>47</v>
      </c>
      <c r="G24" s="63" t="s">
        <v>1</v>
      </c>
      <c r="H24" s="63" t="s">
        <v>0</v>
      </c>
      <c r="I24" s="64"/>
      <c r="J24" s="65"/>
      <c r="K24" s="65">
        <v>1802.5164113785556</v>
      </c>
      <c r="L24" s="72">
        <f t="shared" si="0"/>
        <v>30.870683367287906</v>
      </c>
      <c r="M24" s="1">
        <v>0</v>
      </c>
    </row>
    <row r="25" spans="1:13" x14ac:dyDescent="0.35">
      <c r="A25" s="58" t="s">
        <v>64</v>
      </c>
      <c r="B25" s="61">
        <v>45513</v>
      </c>
      <c r="C25" s="58">
        <v>24</v>
      </c>
      <c r="D25" s="58">
        <v>12</v>
      </c>
      <c r="E25" s="58">
        <v>2</v>
      </c>
      <c r="F25" s="58" t="s">
        <v>25</v>
      </c>
      <c r="G25" s="63" t="s">
        <v>3</v>
      </c>
      <c r="H25" s="63" t="s">
        <v>0</v>
      </c>
      <c r="I25" s="64">
        <v>5.2981333333333325E-2</v>
      </c>
      <c r="J25" s="64">
        <v>31.72666666666667</v>
      </c>
      <c r="K25" s="65">
        <v>1613.785557986871</v>
      </c>
      <c r="L25" s="72">
        <f t="shared" si="0"/>
        <v>27.638396337936069</v>
      </c>
      <c r="M25" s="1">
        <v>5</v>
      </c>
    </row>
    <row r="26" spans="1:13" x14ac:dyDescent="0.35">
      <c r="A26" s="58" t="s">
        <v>64</v>
      </c>
      <c r="B26" s="61">
        <v>45513</v>
      </c>
      <c r="C26" s="58">
        <v>25</v>
      </c>
      <c r="D26" s="58">
        <v>1</v>
      </c>
      <c r="E26" s="58">
        <v>3</v>
      </c>
      <c r="F26" s="58" t="s">
        <v>24</v>
      </c>
      <c r="G26" s="63" t="s">
        <v>0</v>
      </c>
      <c r="H26" s="63" t="s">
        <v>0</v>
      </c>
      <c r="I26" s="64">
        <v>6.1534666666666675E-2</v>
      </c>
      <c r="J26" s="64">
        <v>33.163333333333327</v>
      </c>
      <c r="K26" s="65">
        <v>1796.4989059080965</v>
      </c>
      <c r="L26" s="72">
        <f t="shared" si="0"/>
        <v>30.767624940265101</v>
      </c>
      <c r="M26" s="1">
        <v>3</v>
      </c>
    </row>
    <row r="27" spans="1:13" x14ac:dyDescent="0.35">
      <c r="A27" s="58" t="s">
        <v>64</v>
      </c>
      <c r="B27" s="61">
        <v>45513</v>
      </c>
      <c r="C27" s="58">
        <v>26</v>
      </c>
      <c r="D27" s="58">
        <v>2</v>
      </c>
      <c r="E27" s="58">
        <v>3</v>
      </c>
      <c r="F27" s="58" t="s">
        <v>23</v>
      </c>
      <c r="G27" s="63" t="s">
        <v>0</v>
      </c>
      <c r="H27" s="63" t="s">
        <v>2</v>
      </c>
      <c r="I27" s="64">
        <v>6.3075000000000006E-2</v>
      </c>
      <c r="J27" s="64">
        <v>33.663333333333334</v>
      </c>
      <c r="K27" s="65">
        <v>1636.7614879649891</v>
      </c>
      <c r="L27" s="72">
        <f t="shared" si="0"/>
        <v>28.031892150204985</v>
      </c>
      <c r="M27" s="1">
        <v>30</v>
      </c>
    </row>
    <row r="28" spans="1:13" x14ac:dyDescent="0.35">
      <c r="A28" s="58" t="s">
        <v>64</v>
      </c>
      <c r="B28" s="61">
        <v>45513</v>
      </c>
      <c r="C28" s="58">
        <v>27</v>
      </c>
      <c r="D28" s="58">
        <v>3</v>
      </c>
      <c r="E28" s="58">
        <v>3</v>
      </c>
      <c r="F28" s="62" t="s">
        <v>51</v>
      </c>
      <c r="G28" s="63" t="s">
        <v>1</v>
      </c>
      <c r="H28" s="63" t="s">
        <v>2</v>
      </c>
      <c r="I28" s="64"/>
      <c r="J28" s="65"/>
      <c r="K28" s="65">
        <v>1442.5601750547046</v>
      </c>
      <c r="L28" s="72">
        <f t="shared" si="0"/>
        <v>24.705915641741491</v>
      </c>
      <c r="M28" s="1">
        <v>0</v>
      </c>
    </row>
    <row r="29" spans="1:13" x14ac:dyDescent="0.35">
      <c r="A29" s="58" t="s">
        <v>64</v>
      </c>
      <c r="B29" s="61">
        <v>45513</v>
      </c>
      <c r="C29" s="58">
        <v>28</v>
      </c>
      <c r="D29" s="58">
        <v>4</v>
      </c>
      <c r="E29" s="58">
        <v>3</v>
      </c>
      <c r="F29" s="58" t="s">
        <v>27</v>
      </c>
      <c r="G29" s="63" t="s">
        <v>3</v>
      </c>
      <c r="H29" s="63" t="s">
        <v>2</v>
      </c>
      <c r="I29" s="64">
        <v>6.2447000000000003E-2</v>
      </c>
      <c r="J29" s="64">
        <v>33.876666666666665</v>
      </c>
      <c r="K29" s="65">
        <v>1736.870897155361</v>
      </c>
      <c r="L29" s="72">
        <f t="shared" si="0"/>
        <v>29.746409617948135</v>
      </c>
      <c r="M29" s="1">
        <v>10</v>
      </c>
    </row>
    <row r="30" spans="1:13" x14ac:dyDescent="0.35">
      <c r="A30" s="58" t="s">
        <v>64</v>
      </c>
      <c r="B30" s="61">
        <v>45513</v>
      </c>
      <c r="C30" s="58">
        <v>29</v>
      </c>
      <c r="D30" s="58">
        <v>5</v>
      </c>
      <c r="E30" s="58">
        <v>3</v>
      </c>
      <c r="F30" s="66" t="s">
        <v>30</v>
      </c>
      <c r="G30" s="63" t="s">
        <v>4</v>
      </c>
      <c r="H30" s="63" t="s">
        <v>2</v>
      </c>
      <c r="I30" s="64">
        <v>5.0952999999999998E-2</v>
      </c>
      <c r="J30" s="64">
        <v>34.646666666666668</v>
      </c>
      <c r="K30" s="65">
        <v>1681.0722100656455</v>
      </c>
      <c r="L30" s="72">
        <f t="shared" si="0"/>
        <v>28.790776931009333</v>
      </c>
      <c r="M30" s="1">
        <v>0</v>
      </c>
    </row>
    <row r="31" spans="1:13" x14ac:dyDescent="0.35">
      <c r="A31" s="58" t="s">
        <v>64</v>
      </c>
      <c r="B31" s="61">
        <v>45513</v>
      </c>
      <c r="C31" s="58">
        <v>30</v>
      </c>
      <c r="D31" s="58">
        <v>6</v>
      </c>
      <c r="E31" s="58">
        <v>3</v>
      </c>
      <c r="F31" s="66" t="s">
        <v>29</v>
      </c>
      <c r="G31" s="63" t="s">
        <v>0</v>
      </c>
      <c r="H31" s="63" t="s">
        <v>2</v>
      </c>
      <c r="I31" s="64">
        <v>6.1006333333333329E-2</v>
      </c>
      <c r="J31" s="64">
        <v>35.050000000000004</v>
      </c>
      <c r="K31" s="65">
        <v>1155.9080962800874</v>
      </c>
      <c r="L31" s="72">
        <f t="shared" si="0"/>
        <v>19.796586936291153</v>
      </c>
      <c r="M31" s="1">
        <v>30</v>
      </c>
    </row>
    <row r="32" spans="1:13" x14ac:dyDescent="0.35">
      <c r="A32" s="58" t="s">
        <v>64</v>
      </c>
      <c r="B32" s="61">
        <v>45513</v>
      </c>
      <c r="C32" s="58">
        <v>31</v>
      </c>
      <c r="D32" s="58">
        <v>7</v>
      </c>
      <c r="E32" s="58">
        <v>3</v>
      </c>
      <c r="F32" s="66" t="s">
        <v>28</v>
      </c>
      <c r="G32" s="63" t="s">
        <v>3</v>
      </c>
      <c r="H32" s="63" t="s">
        <v>5</v>
      </c>
      <c r="I32" s="64">
        <v>9.088966666666666E-2</v>
      </c>
      <c r="J32" s="64">
        <v>33.766666666666673</v>
      </c>
      <c r="K32" s="65">
        <v>691.46608315098479</v>
      </c>
      <c r="L32" s="72">
        <f t="shared" si="0"/>
        <v>11.84235015971227</v>
      </c>
      <c r="M32" s="1">
        <v>10</v>
      </c>
    </row>
    <row r="33" spans="1:13" x14ac:dyDescent="0.35">
      <c r="A33" s="58" t="s">
        <v>64</v>
      </c>
      <c r="B33" s="61">
        <v>45513</v>
      </c>
      <c r="C33" s="58">
        <v>32</v>
      </c>
      <c r="D33" s="58">
        <v>8</v>
      </c>
      <c r="E33" s="58">
        <v>3</v>
      </c>
      <c r="F33" s="66" t="s">
        <v>25</v>
      </c>
      <c r="G33" s="63" t="s">
        <v>1</v>
      </c>
      <c r="H33" s="63" t="s">
        <v>0</v>
      </c>
      <c r="I33" s="64">
        <v>8.5517999999999997E-2</v>
      </c>
      <c r="J33" s="64">
        <v>33.513333333333335</v>
      </c>
      <c r="K33" s="65">
        <v>1548.1400437636764</v>
      </c>
      <c r="L33" s="72">
        <f t="shared" si="0"/>
        <v>26.514122588596297</v>
      </c>
      <c r="M33" s="1">
        <v>5</v>
      </c>
    </row>
    <row r="34" spans="1:13" x14ac:dyDescent="0.35">
      <c r="A34" s="58" t="s">
        <v>64</v>
      </c>
      <c r="B34" s="61">
        <v>45513</v>
      </c>
      <c r="C34" s="58">
        <v>33</v>
      </c>
      <c r="D34" s="58">
        <v>9</v>
      </c>
      <c r="E34" s="58">
        <v>3</v>
      </c>
      <c r="F34" s="66" t="s">
        <v>26</v>
      </c>
      <c r="G34" s="63" t="s">
        <v>3</v>
      </c>
      <c r="H34" s="63" t="s">
        <v>2</v>
      </c>
      <c r="I34" s="64">
        <v>7.1440000000000003E-2</v>
      </c>
      <c r="J34" s="64">
        <v>34.06</v>
      </c>
      <c r="K34" s="65">
        <v>2449.1247264770241</v>
      </c>
      <c r="L34" s="72">
        <f t="shared" si="0"/>
        <v>41.944779798284664</v>
      </c>
      <c r="M34" s="1">
        <v>0</v>
      </c>
    </row>
    <row r="35" spans="1:13" x14ac:dyDescent="0.35">
      <c r="A35" s="58" t="s">
        <v>64</v>
      </c>
      <c r="B35" s="61">
        <v>45513</v>
      </c>
      <c r="C35" s="58">
        <v>34</v>
      </c>
      <c r="D35" s="58">
        <v>10</v>
      </c>
      <c r="E35" s="58">
        <v>3</v>
      </c>
      <c r="F35" s="62" t="s">
        <v>47</v>
      </c>
      <c r="G35" s="63" t="s">
        <v>3</v>
      </c>
      <c r="H35" s="63" t="s">
        <v>2</v>
      </c>
      <c r="I35" s="64"/>
      <c r="J35" s="65"/>
      <c r="K35" s="65">
        <v>1916.8490153172868</v>
      </c>
      <c r="L35" s="72">
        <f t="shared" si="0"/>
        <v>32.828793480721352</v>
      </c>
      <c r="M35" s="1">
        <v>0</v>
      </c>
    </row>
    <row r="36" spans="1:13" x14ac:dyDescent="0.35">
      <c r="A36" s="58" t="s">
        <v>64</v>
      </c>
      <c r="B36" s="61">
        <v>45513</v>
      </c>
      <c r="C36" s="58">
        <v>35</v>
      </c>
      <c r="D36" s="58">
        <v>11</v>
      </c>
      <c r="E36" s="58">
        <v>3</v>
      </c>
      <c r="F36" s="62" t="s">
        <v>45</v>
      </c>
      <c r="G36" s="63" t="s">
        <v>4</v>
      </c>
      <c r="H36" s="63" t="s">
        <v>0</v>
      </c>
      <c r="I36" s="64"/>
      <c r="J36" s="65"/>
      <c r="K36" s="65">
        <v>2071.1159737417938</v>
      </c>
      <c r="L36" s="72">
        <f t="shared" si="0"/>
        <v>35.470836791669804</v>
      </c>
      <c r="M36" s="1">
        <v>10</v>
      </c>
    </row>
    <row r="37" spans="1:13" x14ac:dyDescent="0.35">
      <c r="A37" s="58" t="s">
        <v>64</v>
      </c>
      <c r="B37" s="61">
        <v>45513</v>
      </c>
      <c r="C37" s="58">
        <v>36</v>
      </c>
      <c r="D37" s="58">
        <v>12</v>
      </c>
      <c r="E37" s="58">
        <v>3</v>
      </c>
      <c r="F37" s="62" t="s">
        <v>49</v>
      </c>
      <c r="G37" s="63" t="s">
        <v>1</v>
      </c>
      <c r="H37" s="63" t="s">
        <v>2</v>
      </c>
      <c r="I37" s="64"/>
      <c r="J37" s="65"/>
      <c r="K37" s="65">
        <v>1861.0503282275711</v>
      </c>
      <c r="L37" s="72">
        <f t="shared" si="0"/>
        <v>31.873160793782542</v>
      </c>
      <c r="M37" s="1">
        <v>3</v>
      </c>
    </row>
    <row r="38" spans="1:13" x14ac:dyDescent="0.35">
      <c r="A38" s="58" t="s">
        <v>65</v>
      </c>
      <c r="B38" s="61">
        <v>45513</v>
      </c>
      <c r="C38" s="58">
        <v>37</v>
      </c>
      <c r="D38" s="58">
        <v>1</v>
      </c>
      <c r="E38" s="58">
        <v>4</v>
      </c>
      <c r="F38" s="62" t="s">
        <v>23</v>
      </c>
      <c r="G38" s="63" t="s">
        <v>4</v>
      </c>
      <c r="H38" s="63" t="s">
        <v>0</v>
      </c>
      <c r="I38" s="64">
        <v>0.17318100000000003</v>
      </c>
      <c r="J38" s="64">
        <v>32.083333333333336</v>
      </c>
      <c r="K38" s="65">
        <v>3729.7592997811817</v>
      </c>
      <c r="L38" s="72">
        <f t="shared" si="0"/>
        <v>63.87748685832139</v>
      </c>
    </row>
    <row r="39" spans="1:13" x14ac:dyDescent="0.35">
      <c r="A39" s="58" t="s">
        <v>65</v>
      </c>
      <c r="B39" s="61">
        <v>45513</v>
      </c>
      <c r="C39" s="58">
        <v>38</v>
      </c>
      <c r="D39" s="58">
        <v>2</v>
      </c>
      <c r="E39" s="58">
        <v>4</v>
      </c>
      <c r="F39" s="58" t="s">
        <v>24</v>
      </c>
      <c r="G39" s="63" t="s">
        <v>3</v>
      </c>
      <c r="H39" s="63" t="s">
        <v>2</v>
      </c>
      <c r="I39" s="64">
        <v>0.17416866666666667</v>
      </c>
      <c r="J39" s="64">
        <v>31.623333333333335</v>
      </c>
      <c r="K39" s="65">
        <v>5551.9693654266957</v>
      </c>
      <c r="L39" s="72">
        <f t="shared" si="0"/>
        <v>95.085452350411217</v>
      </c>
    </row>
    <row r="40" spans="1:13" x14ac:dyDescent="0.35">
      <c r="A40" s="58" t="s">
        <v>65</v>
      </c>
      <c r="B40" s="61">
        <v>45513</v>
      </c>
      <c r="C40" s="58">
        <v>39</v>
      </c>
      <c r="D40" s="58">
        <v>3</v>
      </c>
      <c r="E40" s="58">
        <v>4</v>
      </c>
      <c r="F40" s="58" t="s">
        <v>25</v>
      </c>
      <c r="G40" s="63" t="s">
        <v>3</v>
      </c>
      <c r="H40" s="63" t="s">
        <v>2</v>
      </c>
      <c r="I40" s="64">
        <v>0.58261700000000005</v>
      </c>
      <c r="J40" s="64">
        <v>30.253333333333334</v>
      </c>
      <c r="K40" s="65">
        <v>3612.1444201312902</v>
      </c>
      <c r="L40" s="72">
        <f t="shared" si="0"/>
        <v>61.863163057420948</v>
      </c>
    </row>
    <row r="41" spans="1:13" x14ac:dyDescent="0.35">
      <c r="A41" s="58" t="s">
        <v>65</v>
      </c>
      <c r="B41" s="61">
        <v>45513</v>
      </c>
      <c r="C41" s="58">
        <v>40</v>
      </c>
      <c r="D41" s="58">
        <v>4</v>
      </c>
      <c r="E41" s="58">
        <v>4</v>
      </c>
      <c r="F41" s="58" t="s">
        <v>26</v>
      </c>
      <c r="G41" s="63" t="s">
        <v>3</v>
      </c>
      <c r="H41" s="63" t="s">
        <v>2</v>
      </c>
      <c r="I41" s="64">
        <v>0.52647100000000002</v>
      </c>
      <c r="J41" s="64">
        <v>29.316666666666663</v>
      </c>
      <c r="K41" s="65">
        <v>3928.3369803063447</v>
      </c>
      <c r="L41" s="72">
        <f t="shared" si="0"/>
        <v>67.278414950074179</v>
      </c>
    </row>
    <row r="42" spans="1:13" x14ac:dyDescent="0.35">
      <c r="A42" s="58" t="s">
        <v>65</v>
      </c>
      <c r="B42" s="61">
        <v>45513</v>
      </c>
      <c r="C42" s="58">
        <v>41</v>
      </c>
      <c r="D42" s="58">
        <v>5</v>
      </c>
      <c r="E42" s="58">
        <v>4</v>
      </c>
      <c r="F42" s="62" t="s">
        <v>45</v>
      </c>
      <c r="G42" s="63" t="s">
        <v>3</v>
      </c>
      <c r="H42" s="63" t="s">
        <v>2</v>
      </c>
      <c r="I42" s="64"/>
      <c r="J42" s="65"/>
      <c r="K42" s="65">
        <v>2659.7374179431072</v>
      </c>
      <c r="L42" s="72">
        <f t="shared" si="0"/>
        <v>45.551824744083099</v>
      </c>
    </row>
    <row r="43" spans="1:13" x14ac:dyDescent="0.35">
      <c r="A43" s="58" t="s">
        <v>65</v>
      </c>
      <c r="B43" s="61">
        <v>45513</v>
      </c>
      <c r="C43" s="58">
        <v>42</v>
      </c>
      <c r="D43" s="58">
        <v>6</v>
      </c>
      <c r="E43" s="58">
        <v>4</v>
      </c>
      <c r="F43" s="62" t="s">
        <v>47</v>
      </c>
      <c r="G43" s="63" t="s">
        <v>3</v>
      </c>
      <c r="H43" s="63" t="s">
        <v>0</v>
      </c>
      <c r="I43" s="64"/>
      <c r="J43" s="65"/>
      <c r="K43" s="65">
        <v>4312.3632385120345</v>
      </c>
      <c r="L43" s="72">
        <f t="shared" si="0"/>
        <v>73.855416383711855</v>
      </c>
    </row>
    <row r="44" spans="1:13" x14ac:dyDescent="0.35">
      <c r="A44" s="58" t="s">
        <v>65</v>
      </c>
      <c r="B44" s="61">
        <v>45513</v>
      </c>
      <c r="C44" s="58">
        <v>43</v>
      </c>
      <c r="D44" s="58">
        <v>7</v>
      </c>
      <c r="E44" s="58">
        <v>4</v>
      </c>
      <c r="F44" s="62" t="s">
        <v>49</v>
      </c>
      <c r="G44" s="63" t="s">
        <v>1</v>
      </c>
      <c r="H44" s="63" t="s">
        <v>0</v>
      </c>
      <c r="I44" s="64"/>
      <c r="J44" s="65"/>
      <c r="K44" s="65">
        <v>2979.2122538293206</v>
      </c>
      <c r="L44" s="72">
        <f t="shared" si="0"/>
        <v>51.023290324203309</v>
      </c>
    </row>
    <row r="45" spans="1:13" x14ac:dyDescent="0.35">
      <c r="A45" s="58" t="s">
        <v>65</v>
      </c>
      <c r="B45" s="61">
        <v>45513</v>
      </c>
      <c r="C45" s="58">
        <v>44</v>
      </c>
      <c r="D45" s="58">
        <v>8</v>
      </c>
      <c r="E45" s="58">
        <v>4</v>
      </c>
      <c r="F45" s="62" t="s">
        <v>51</v>
      </c>
      <c r="G45" s="63" t="s">
        <v>1</v>
      </c>
      <c r="H45" s="63" t="s">
        <v>0</v>
      </c>
      <c r="I45" s="64"/>
      <c r="J45" s="65"/>
      <c r="K45" s="65">
        <v>4120.3501094091898</v>
      </c>
      <c r="L45" s="72">
        <f t="shared" si="0"/>
        <v>70.566915666893024</v>
      </c>
    </row>
    <row r="46" spans="1:13" x14ac:dyDescent="0.35">
      <c r="A46" s="58" t="s">
        <v>65</v>
      </c>
      <c r="B46" s="61">
        <v>45513</v>
      </c>
      <c r="C46" s="58">
        <v>45</v>
      </c>
      <c r="D46" s="58">
        <v>9</v>
      </c>
      <c r="E46" s="58">
        <v>4</v>
      </c>
      <c r="F46" s="58" t="s">
        <v>27</v>
      </c>
      <c r="G46" s="63" t="s">
        <v>3</v>
      </c>
      <c r="H46" s="63" t="s">
        <v>2</v>
      </c>
      <c r="I46" s="64">
        <v>0.12428166666666667</v>
      </c>
      <c r="J46" s="64">
        <v>30.916666666666668</v>
      </c>
      <c r="K46" s="65">
        <v>3164.1137855579868</v>
      </c>
      <c r="L46" s="72">
        <f t="shared" si="0"/>
        <v>54.189994718177019</v>
      </c>
    </row>
    <row r="47" spans="1:13" x14ac:dyDescent="0.35">
      <c r="A47" s="58" t="s">
        <v>65</v>
      </c>
      <c r="B47" s="61">
        <v>45513</v>
      </c>
      <c r="C47" s="58">
        <v>46</v>
      </c>
      <c r="D47" s="58">
        <v>10</v>
      </c>
      <c r="E47" s="58">
        <v>4</v>
      </c>
      <c r="F47" s="58" t="s">
        <v>28</v>
      </c>
      <c r="G47" s="63" t="s">
        <v>3</v>
      </c>
      <c r="H47" s="63" t="s">
        <v>0</v>
      </c>
      <c r="I47" s="64">
        <v>0.24288799999999999</v>
      </c>
      <c r="J47" s="64">
        <v>30.656666666666666</v>
      </c>
      <c r="K47" s="65">
        <v>922.86652078774625</v>
      </c>
      <c r="L47" s="72">
        <f t="shared" si="0"/>
        <v>15.805415126134964</v>
      </c>
    </row>
    <row r="48" spans="1:13" x14ac:dyDescent="0.35">
      <c r="A48" s="58" t="s">
        <v>65</v>
      </c>
      <c r="B48" s="61">
        <v>45513</v>
      </c>
      <c r="C48" s="58">
        <v>47</v>
      </c>
      <c r="D48" s="58">
        <v>11</v>
      </c>
      <c r="E48" s="58">
        <v>4</v>
      </c>
      <c r="F48" s="58" t="s">
        <v>29</v>
      </c>
      <c r="G48" s="63" t="s">
        <v>4</v>
      </c>
      <c r="H48" s="63" t="s">
        <v>2</v>
      </c>
      <c r="I48" s="64">
        <v>0.12807266666666664</v>
      </c>
      <c r="J48" s="64">
        <v>32.11</v>
      </c>
      <c r="K48" s="65">
        <v>2830.9628008752738</v>
      </c>
      <c r="L48" s="72">
        <f t="shared" si="0"/>
        <v>48.48430544027768</v>
      </c>
    </row>
    <row r="49" spans="1:12" x14ac:dyDescent="0.35">
      <c r="A49" s="58" t="s">
        <v>65</v>
      </c>
      <c r="B49" s="61">
        <v>45513</v>
      </c>
      <c r="C49" s="58">
        <v>48</v>
      </c>
      <c r="D49" s="58">
        <v>12</v>
      </c>
      <c r="E49" s="58">
        <v>4</v>
      </c>
      <c r="F49" s="62" t="s">
        <v>30</v>
      </c>
      <c r="G49" s="63" t="s">
        <v>3</v>
      </c>
      <c r="H49" s="63" t="s">
        <v>2</v>
      </c>
      <c r="I49" s="64">
        <v>7.3979333333333341E-2</v>
      </c>
      <c r="J49" s="64">
        <v>32.833333333333329</v>
      </c>
      <c r="K49" s="65">
        <v>3277.8993435448579</v>
      </c>
      <c r="L49" s="72">
        <f t="shared" si="0"/>
        <v>56.13873588369929</v>
      </c>
    </row>
    <row r="50" spans="1:12" x14ac:dyDescent="0.35">
      <c r="A50" s="58" t="s">
        <v>65</v>
      </c>
      <c r="B50" s="61">
        <v>45513</v>
      </c>
      <c r="C50" s="58">
        <v>49</v>
      </c>
      <c r="D50" s="58">
        <v>1</v>
      </c>
      <c r="E50" s="58">
        <v>5</v>
      </c>
      <c r="F50" s="66" t="s">
        <v>28</v>
      </c>
      <c r="G50" s="63" t="s">
        <v>4</v>
      </c>
      <c r="H50" s="63" t="s">
        <v>2</v>
      </c>
      <c r="I50" s="64">
        <v>0.52567766666666671</v>
      </c>
      <c r="J50" s="64">
        <v>31.546666666666667</v>
      </c>
      <c r="K50" s="65">
        <v>1377.4617067833699</v>
      </c>
      <c r="L50" s="72">
        <f t="shared" si="0"/>
        <v>23.591010840312887</v>
      </c>
    </row>
    <row r="51" spans="1:12" x14ac:dyDescent="0.35">
      <c r="A51" s="58" t="s">
        <v>65</v>
      </c>
      <c r="B51" s="61">
        <v>45513</v>
      </c>
      <c r="C51" s="58">
        <v>50</v>
      </c>
      <c r="D51" s="58">
        <v>2</v>
      </c>
      <c r="E51" s="58">
        <v>5</v>
      </c>
      <c r="F51" s="62" t="s">
        <v>51</v>
      </c>
      <c r="G51" s="63" t="s">
        <v>1</v>
      </c>
      <c r="H51" s="63" t="s">
        <v>2</v>
      </c>
      <c r="I51" s="64"/>
      <c r="J51" s="65"/>
      <c r="K51" s="65">
        <v>5253.2822757111599</v>
      </c>
      <c r="L51" s="72">
        <f t="shared" si="0"/>
        <v>89.970006790915264</v>
      </c>
    </row>
    <row r="52" spans="1:12" x14ac:dyDescent="0.35">
      <c r="A52" s="58" t="s">
        <v>65</v>
      </c>
      <c r="B52" s="61">
        <v>45513</v>
      </c>
      <c r="C52" s="58">
        <v>51</v>
      </c>
      <c r="D52" s="58">
        <v>3</v>
      </c>
      <c r="E52" s="58">
        <v>5</v>
      </c>
      <c r="F52" s="66" t="s">
        <v>27</v>
      </c>
      <c r="G52" s="63" t="s">
        <v>3</v>
      </c>
      <c r="H52" s="63" t="s">
        <v>2</v>
      </c>
      <c r="I52" s="64">
        <v>0.22336966666666669</v>
      </c>
      <c r="J52" s="64">
        <v>31.820000000000004</v>
      </c>
      <c r="K52" s="65">
        <v>3196.936542669584</v>
      </c>
      <c r="L52" s="72">
        <f t="shared" si="0"/>
        <v>54.752131592846901</v>
      </c>
    </row>
    <row r="53" spans="1:12" x14ac:dyDescent="0.35">
      <c r="A53" s="58" t="s">
        <v>65</v>
      </c>
      <c r="B53" s="61">
        <v>45513</v>
      </c>
      <c r="C53" s="58">
        <v>52</v>
      </c>
      <c r="D53" s="58">
        <v>4</v>
      </c>
      <c r="E53" s="58">
        <v>5</v>
      </c>
      <c r="F53" s="58" t="s">
        <v>27</v>
      </c>
      <c r="G53" s="63" t="s">
        <v>3</v>
      </c>
      <c r="H53" s="63" t="s">
        <v>2</v>
      </c>
      <c r="I53" s="64">
        <v>0.18053733333333333</v>
      </c>
      <c r="J53" s="64">
        <v>32.99</v>
      </c>
      <c r="K53" s="65">
        <v>4379.1028446389491</v>
      </c>
      <c r="L53" s="72">
        <f t="shared" si="0"/>
        <v>74.99842802887396</v>
      </c>
    </row>
    <row r="54" spans="1:12" x14ac:dyDescent="0.35">
      <c r="A54" s="58" t="s">
        <v>65</v>
      </c>
      <c r="B54" s="61">
        <v>45513</v>
      </c>
      <c r="C54" s="58">
        <v>53</v>
      </c>
      <c r="D54" s="58">
        <v>5</v>
      </c>
      <c r="E54" s="58">
        <v>5</v>
      </c>
      <c r="F54" s="62" t="s">
        <v>49</v>
      </c>
      <c r="G54" s="63" t="s">
        <v>1</v>
      </c>
      <c r="H54" s="63" t="s">
        <v>0</v>
      </c>
      <c r="I54" s="64"/>
      <c r="J54" s="65"/>
      <c r="K54" s="65">
        <v>4084.2450765864328</v>
      </c>
      <c r="L54" s="72">
        <f t="shared" si="0"/>
        <v>69.948565104756142</v>
      </c>
    </row>
    <row r="55" spans="1:12" x14ac:dyDescent="0.35">
      <c r="A55" s="58" t="s">
        <v>65</v>
      </c>
      <c r="B55" s="61">
        <v>45513</v>
      </c>
      <c r="C55" s="58">
        <v>54</v>
      </c>
      <c r="D55" s="58">
        <v>6</v>
      </c>
      <c r="E55" s="58">
        <v>5</v>
      </c>
      <c r="F55" s="66" t="s">
        <v>26</v>
      </c>
      <c r="G55" s="63" t="s">
        <v>1</v>
      </c>
      <c r="H55" s="63" t="s">
        <v>2</v>
      </c>
      <c r="I55" s="64">
        <v>0.19360200000000002</v>
      </c>
      <c r="J55" s="64">
        <v>31.613333333333333</v>
      </c>
      <c r="K55" s="65">
        <v>4579.8687089715531</v>
      </c>
      <c r="L55" s="72">
        <f t="shared" si="0"/>
        <v>78.43683191227143</v>
      </c>
    </row>
    <row r="56" spans="1:12" x14ac:dyDescent="0.35">
      <c r="A56" s="58" t="s">
        <v>65</v>
      </c>
      <c r="B56" s="61">
        <v>45513</v>
      </c>
      <c r="C56" s="58">
        <v>55</v>
      </c>
      <c r="D56" s="58">
        <v>7</v>
      </c>
      <c r="E56" s="58">
        <v>5</v>
      </c>
      <c r="F56" s="62" t="s">
        <v>45</v>
      </c>
      <c r="G56" s="63" t="s">
        <v>3</v>
      </c>
      <c r="H56" s="63" t="s">
        <v>5</v>
      </c>
      <c r="I56" s="64"/>
      <c r="J56" s="65"/>
      <c r="K56" s="65">
        <v>3208.4245076586431</v>
      </c>
      <c r="L56" s="72">
        <f t="shared" si="0"/>
        <v>54.948879498981356</v>
      </c>
    </row>
    <row r="57" spans="1:12" x14ac:dyDescent="0.35">
      <c r="A57" s="58" t="s">
        <v>65</v>
      </c>
      <c r="B57" s="61">
        <v>45513</v>
      </c>
      <c r="C57" s="58">
        <v>56</v>
      </c>
      <c r="D57" s="58">
        <v>8</v>
      </c>
      <c r="E57" s="58">
        <v>5</v>
      </c>
      <c r="F57" s="66" t="s">
        <v>29</v>
      </c>
      <c r="G57" s="63" t="s">
        <v>0</v>
      </c>
      <c r="H57" s="63" t="s">
        <v>5</v>
      </c>
      <c r="I57" s="64">
        <v>0.105501</v>
      </c>
      <c r="J57" s="64">
        <v>32.336666666666666</v>
      </c>
      <c r="K57" s="65">
        <v>3094.6389496717725</v>
      </c>
      <c r="L57" s="72">
        <f t="shared" si="0"/>
        <v>53.000138333459091</v>
      </c>
    </row>
    <row r="58" spans="1:12" x14ac:dyDescent="0.35">
      <c r="A58" s="58" t="s">
        <v>65</v>
      </c>
      <c r="B58" s="61">
        <v>45513</v>
      </c>
      <c r="C58" s="58">
        <v>57</v>
      </c>
      <c r="D58" s="58">
        <v>9</v>
      </c>
      <c r="E58" s="58">
        <v>5</v>
      </c>
      <c r="F58" s="66" t="s">
        <v>23</v>
      </c>
      <c r="G58" s="63" t="s">
        <v>0</v>
      </c>
      <c r="H58" s="63" t="s">
        <v>2</v>
      </c>
      <c r="I58" s="64">
        <v>0.74029533333333342</v>
      </c>
      <c r="J58" s="64">
        <v>30.746666666666666</v>
      </c>
      <c r="K58" s="65">
        <v>4454.0481400437629</v>
      </c>
      <c r="L58" s="72">
        <f t="shared" si="0"/>
        <v>76.281973892703533</v>
      </c>
    </row>
    <row r="59" spans="1:12" x14ac:dyDescent="0.35">
      <c r="A59" s="58" t="s">
        <v>65</v>
      </c>
      <c r="B59" s="61">
        <v>45513</v>
      </c>
      <c r="C59" s="58">
        <v>58</v>
      </c>
      <c r="D59" s="58">
        <v>10</v>
      </c>
      <c r="E59" s="58">
        <v>5</v>
      </c>
      <c r="F59" s="66" t="s">
        <v>30</v>
      </c>
      <c r="G59" s="63" t="s">
        <v>4</v>
      </c>
      <c r="H59" s="63" t="s">
        <v>0</v>
      </c>
      <c r="I59" s="64">
        <v>0.28394733333333333</v>
      </c>
      <c r="J59" s="64">
        <v>30.516666666666666</v>
      </c>
      <c r="K59" s="65">
        <v>2572.7571115973742</v>
      </c>
      <c r="L59" s="72">
        <f t="shared" si="0"/>
        <v>44.062162026207901</v>
      </c>
    </row>
    <row r="60" spans="1:12" x14ac:dyDescent="0.35">
      <c r="A60" s="58" t="s">
        <v>65</v>
      </c>
      <c r="B60" s="61">
        <v>45513</v>
      </c>
      <c r="C60" s="58">
        <v>59</v>
      </c>
      <c r="D60" s="58">
        <v>11</v>
      </c>
      <c r="E60" s="58">
        <v>5</v>
      </c>
      <c r="F60" s="62" t="s">
        <v>47</v>
      </c>
      <c r="G60" s="63" t="s">
        <v>3</v>
      </c>
      <c r="H60" s="63" t="s">
        <v>0</v>
      </c>
      <c r="I60" s="64"/>
      <c r="J60" s="65"/>
      <c r="K60" s="65">
        <v>3689.2778993435445</v>
      </c>
      <c r="L60" s="72">
        <f t="shared" si="0"/>
        <v>63.184184712895195</v>
      </c>
    </row>
    <row r="61" spans="1:12" x14ac:dyDescent="0.35">
      <c r="A61" s="58" t="s">
        <v>65</v>
      </c>
      <c r="B61" s="61">
        <v>45513</v>
      </c>
      <c r="C61" s="58">
        <v>60</v>
      </c>
      <c r="D61" s="58">
        <v>12</v>
      </c>
      <c r="E61" s="58">
        <v>5</v>
      </c>
      <c r="F61" s="66" t="s">
        <v>30</v>
      </c>
      <c r="G61" s="63" t="s">
        <v>4</v>
      </c>
      <c r="H61" s="63" t="s">
        <v>2</v>
      </c>
      <c r="I61" s="64">
        <v>8.8678333333333345E-2</v>
      </c>
      <c r="J61" s="64">
        <v>31.13</v>
      </c>
      <c r="K61" s="65">
        <v>3242.34135667396</v>
      </c>
      <c r="L61" s="72">
        <f t="shared" si="0"/>
        <v>55.529754269473571</v>
      </c>
    </row>
    <row r="62" spans="1:12" x14ac:dyDescent="0.35">
      <c r="A62" s="58" t="s">
        <v>65</v>
      </c>
      <c r="B62" s="61">
        <v>45513</v>
      </c>
      <c r="C62" s="58">
        <v>61</v>
      </c>
      <c r="D62" s="58">
        <v>1</v>
      </c>
      <c r="E62" s="58">
        <v>6</v>
      </c>
      <c r="F62" s="66" t="s">
        <v>24</v>
      </c>
      <c r="G62" s="63" t="s">
        <v>4</v>
      </c>
      <c r="H62" s="63" t="s">
        <v>2</v>
      </c>
      <c r="I62" s="64">
        <v>0.5100986666666667</v>
      </c>
      <c r="J62" s="64">
        <v>28.876666666666665</v>
      </c>
      <c r="K62" s="65">
        <v>4652.6258205689273</v>
      </c>
      <c r="L62" s="72">
        <f t="shared" si="0"/>
        <v>79.68290198445635</v>
      </c>
    </row>
    <row r="63" spans="1:12" x14ac:dyDescent="0.35">
      <c r="A63" s="58" t="s">
        <v>65</v>
      </c>
      <c r="B63" s="61">
        <v>45513</v>
      </c>
      <c r="C63" s="58">
        <v>62</v>
      </c>
      <c r="D63" s="58">
        <v>2</v>
      </c>
      <c r="E63" s="58">
        <v>6</v>
      </c>
      <c r="F63" s="66" t="s">
        <v>23</v>
      </c>
      <c r="G63" s="63" t="s">
        <v>4</v>
      </c>
      <c r="H63" s="63" t="s">
        <v>2</v>
      </c>
      <c r="I63" s="64">
        <v>0.481659</v>
      </c>
      <c r="J63" s="64">
        <v>28.62</v>
      </c>
      <c r="K63" s="65">
        <v>4184.9015317286648</v>
      </c>
      <c r="L63" s="72">
        <f t="shared" si="0"/>
        <v>71.672451520410476</v>
      </c>
    </row>
    <row r="64" spans="1:12" x14ac:dyDescent="0.35">
      <c r="A64" s="58" t="s">
        <v>65</v>
      </c>
      <c r="B64" s="61">
        <v>45513</v>
      </c>
      <c r="C64" s="58">
        <v>63</v>
      </c>
      <c r="D64" s="58">
        <v>3</v>
      </c>
      <c r="E64" s="58">
        <v>6</v>
      </c>
      <c r="F64" s="62" t="s">
        <v>51</v>
      </c>
      <c r="G64" s="63" t="s">
        <v>1</v>
      </c>
      <c r="H64" s="63" t="s">
        <v>2</v>
      </c>
      <c r="J64" s="65"/>
      <c r="K64" s="65">
        <v>4450.2188183807439</v>
      </c>
      <c r="L64" s="72">
        <f t="shared" si="0"/>
        <v>76.216391257325384</v>
      </c>
    </row>
    <row r="65" spans="1:19" x14ac:dyDescent="0.35">
      <c r="A65" s="58" t="s">
        <v>65</v>
      </c>
      <c r="B65" s="61">
        <v>45513</v>
      </c>
      <c r="C65" s="58">
        <v>64</v>
      </c>
      <c r="D65" s="58">
        <v>4</v>
      </c>
      <c r="E65" s="58">
        <v>6</v>
      </c>
      <c r="F65" s="66" t="s">
        <v>27</v>
      </c>
      <c r="G65" s="63" t="s">
        <v>4</v>
      </c>
      <c r="H65" s="63" t="s">
        <v>0</v>
      </c>
      <c r="I65" s="64">
        <v>5.9706000000000002E-2</v>
      </c>
      <c r="J65" s="64">
        <v>30.973333333333333</v>
      </c>
      <c r="K65" s="65">
        <v>2958.4245076586435</v>
      </c>
      <c r="L65" s="72">
        <f t="shared" si="0"/>
        <v>50.667270303579066</v>
      </c>
    </row>
    <row r="66" spans="1:19" x14ac:dyDescent="0.35">
      <c r="A66" s="58" t="s">
        <v>65</v>
      </c>
      <c r="B66" s="61">
        <v>45513</v>
      </c>
      <c r="C66" s="58">
        <v>65</v>
      </c>
      <c r="D66" s="58">
        <v>5</v>
      </c>
      <c r="E66" s="58">
        <v>6</v>
      </c>
      <c r="F66" s="66" t="s">
        <v>30</v>
      </c>
      <c r="G66" s="63" t="s">
        <v>0</v>
      </c>
      <c r="H66" s="63" t="s">
        <v>2</v>
      </c>
      <c r="I66" s="64">
        <v>0.27680633333333332</v>
      </c>
      <c r="J66" s="64">
        <v>29.66</v>
      </c>
      <c r="K66" s="65">
        <v>4041.575492341356</v>
      </c>
      <c r="L66" s="72">
        <f t="shared" si="0"/>
        <v>69.217787167685287</v>
      </c>
    </row>
    <row r="67" spans="1:19" x14ac:dyDescent="0.35">
      <c r="A67" s="58" t="s">
        <v>65</v>
      </c>
      <c r="B67" s="61">
        <v>45513</v>
      </c>
      <c r="C67" s="58">
        <v>66</v>
      </c>
      <c r="D67" s="58">
        <v>6</v>
      </c>
      <c r="E67" s="58">
        <v>6</v>
      </c>
      <c r="F67" s="58" t="s">
        <v>29</v>
      </c>
      <c r="G67" s="63" t="s">
        <v>1</v>
      </c>
      <c r="H67" s="63" t="s">
        <v>2</v>
      </c>
      <c r="I67" s="64">
        <v>0.23996033333333333</v>
      </c>
      <c r="J67" s="64">
        <v>30.043333333333333</v>
      </c>
      <c r="K67" s="65">
        <v>2670.6783369803061</v>
      </c>
      <c r="L67" s="72">
        <f t="shared" ref="L67:L130" si="1">K67*0.0149/0.87</f>
        <v>45.739203702306391</v>
      </c>
    </row>
    <row r="68" spans="1:19" x14ac:dyDescent="0.35">
      <c r="A68" s="58" t="s">
        <v>65</v>
      </c>
      <c r="B68" s="61">
        <v>45513</v>
      </c>
      <c r="C68" s="58">
        <v>67</v>
      </c>
      <c r="D68" s="58">
        <v>7</v>
      </c>
      <c r="E68" s="58">
        <v>6</v>
      </c>
      <c r="F68" s="66" t="s">
        <v>28</v>
      </c>
      <c r="G68" s="63" t="s">
        <v>3</v>
      </c>
      <c r="H68" s="63" t="s">
        <v>0</v>
      </c>
      <c r="I68" s="64">
        <v>0.12636333333333336</v>
      </c>
      <c r="J68" s="64">
        <v>29.3</v>
      </c>
      <c r="K68" s="65">
        <v>2442.5601750547044</v>
      </c>
      <c r="L68" s="72">
        <f t="shared" si="1"/>
        <v>41.832352423350684</v>
      </c>
    </row>
    <row r="69" spans="1:19" x14ac:dyDescent="0.35">
      <c r="A69" s="58" t="s">
        <v>65</v>
      </c>
      <c r="B69" s="61">
        <v>45513</v>
      </c>
      <c r="C69" s="58">
        <v>68</v>
      </c>
      <c r="D69" s="58">
        <v>8</v>
      </c>
      <c r="E69" s="58">
        <v>6</v>
      </c>
      <c r="F69" s="58" t="s">
        <v>25</v>
      </c>
      <c r="G69" s="63" t="s">
        <v>3</v>
      </c>
      <c r="H69" s="63" t="s">
        <v>2</v>
      </c>
      <c r="I69" s="64">
        <v>0.15356266666666665</v>
      </c>
      <c r="J69" s="64">
        <v>30.070000000000004</v>
      </c>
      <c r="K69" s="65">
        <v>4363.2385120350109</v>
      </c>
      <c r="L69" s="72">
        <f t="shared" si="1"/>
        <v>74.726728539450193</v>
      </c>
    </row>
    <row r="70" spans="1:19" x14ac:dyDescent="0.35">
      <c r="A70" s="58" t="s">
        <v>65</v>
      </c>
      <c r="B70" s="61">
        <v>45513</v>
      </c>
      <c r="C70" s="58">
        <v>69</v>
      </c>
      <c r="D70" s="58">
        <v>9</v>
      </c>
      <c r="E70" s="58">
        <v>6</v>
      </c>
      <c r="F70" s="66" t="s">
        <v>26</v>
      </c>
      <c r="G70" s="63" t="s">
        <v>3</v>
      </c>
      <c r="H70" s="63" t="s">
        <v>2</v>
      </c>
      <c r="I70" s="64">
        <v>3.3495666666666667E-2</v>
      </c>
      <c r="J70" s="64">
        <v>30.566666666666666</v>
      </c>
      <c r="K70" s="65">
        <v>3097.3741794310722</v>
      </c>
      <c r="L70" s="72">
        <f t="shared" si="1"/>
        <v>53.046983073014914</v>
      </c>
    </row>
    <row r="71" spans="1:19" x14ac:dyDescent="0.35">
      <c r="A71" s="58" t="s">
        <v>65</v>
      </c>
      <c r="B71" s="61">
        <v>45513</v>
      </c>
      <c r="C71" s="58">
        <v>70</v>
      </c>
      <c r="D71" s="58">
        <v>10</v>
      </c>
      <c r="E71" s="58">
        <v>6</v>
      </c>
      <c r="F71" s="62" t="s">
        <v>47</v>
      </c>
      <c r="G71" s="63" t="s">
        <v>1</v>
      </c>
      <c r="H71" s="63" t="s">
        <v>0</v>
      </c>
      <c r="K71" s="65">
        <v>3602.2975929978115</v>
      </c>
      <c r="L71" s="72">
        <f t="shared" si="1"/>
        <v>61.69452199501999</v>
      </c>
    </row>
    <row r="72" spans="1:19" x14ac:dyDescent="0.35">
      <c r="A72" s="58" t="s">
        <v>65</v>
      </c>
      <c r="B72" s="61">
        <v>45513</v>
      </c>
      <c r="C72" s="58">
        <v>71</v>
      </c>
      <c r="D72" s="58">
        <v>11</v>
      </c>
      <c r="E72" s="58">
        <v>6</v>
      </c>
      <c r="F72" s="62" t="s">
        <v>45</v>
      </c>
      <c r="G72" s="63" t="s">
        <v>3</v>
      </c>
      <c r="H72" s="63" t="s">
        <v>2</v>
      </c>
      <c r="K72" s="65">
        <v>4084.7921225382929</v>
      </c>
      <c r="L72" s="72">
        <f t="shared" si="1"/>
        <v>69.957934052667312</v>
      </c>
    </row>
    <row r="73" spans="1:19" x14ac:dyDescent="0.35">
      <c r="A73" s="58" t="s">
        <v>65</v>
      </c>
      <c r="B73" s="61">
        <v>45513</v>
      </c>
      <c r="C73" s="58">
        <v>72</v>
      </c>
      <c r="D73" s="58">
        <v>12</v>
      </c>
      <c r="E73" s="58">
        <v>6</v>
      </c>
      <c r="F73" s="62" t="s">
        <v>49</v>
      </c>
      <c r="G73" s="63" t="s">
        <v>1</v>
      </c>
      <c r="H73" s="63" t="s">
        <v>0</v>
      </c>
      <c r="K73" s="65">
        <v>3345.1859956236322</v>
      </c>
      <c r="L73" s="72">
        <f t="shared" si="1"/>
        <v>57.291116476772551</v>
      </c>
    </row>
    <row r="74" spans="1:19" x14ac:dyDescent="0.35">
      <c r="A74" s="58" t="s">
        <v>64</v>
      </c>
      <c r="B74" s="61">
        <v>45534</v>
      </c>
      <c r="C74" s="58">
        <v>1</v>
      </c>
      <c r="D74" s="58">
        <v>1</v>
      </c>
      <c r="E74" s="58">
        <v>1</v>
      </c>
      <c r="F74" s="62" t="s">
        <v>23</v>
      </c>
      <c r="G74" s="63" t="s">
        <v>4</v>
      </c>
      <c r="H74" s="63" t="s">
        <v>5</v>
      </c>
      <c r="I74" s="64">
        <v>0.23831533333333332</v>
      </c>
      <c r="J74" s="64">
        <v>25.756666666666664</v>
      </c>
      <c r="K74" s="65">
        <v>1516.9584245076585</v>
      </c>
      <c r="L74" s="72">
        <f t="shared" si="1"/>
        <v>25.980092557659898</v>
      </c>
      <c r="M74" s="1">
        <v>20</v>
      </c>
    </row>
    <row r="75" spans="1:19" x14ac:dyDescent="0.35">
      <c r="A75" s="58" t="s">
        <v>64</v>
      </c>
      <c r="B75" s="61">
        <v>45534</v>
      </c>
      <c r="C75" s="58">
        <v>2</v>
      </c>
      <c r="D75" s="58">
        <v>2</v>
      </c>
      <c r="E75" s="58">
        <v>1</v>
      </c>
      <c r="F75" s="62" t="s">
        <v>24</v>
      </c>
      <c r="G75" s="63" t="s">
        <v>4</v>
      </c>
      <c r="H75" s="63" t="s">
        <v>2</v>
      </c>
      <c r="I75" s="64">
        <v>0.27213733333333329</v>
      </c>
      <c r="J75" s="64">
        <v>26.13</v>
      </c>
      <c r="K75" s="65">
        <v>1449.671772428884</v>
      </c>
      <c r="L75" s="72">
        <f t="shared" si="1"/>
        <v>24.827711964586634</v>
      </c>
      <c r="M75" s="1">
        <v>25</v>
      </c>
    </row>
    <row r="76" spans="1:19" x14ac:dyDescent="0.35">
      <c r="A76" s="58" t="s">
        <v>64</v>
      </c>
      <c r="B76" s="61">
        <v>45534</v>
      </c>
      <c r="C76" s="58">
        <v>3</v>
      </c>
      <c r="D76" s="58">
        <v>3</v>
      </c>
      <c r="E76" s="58">
        <v>1</v>
      </c>
      <c r="F76" s="62" t="s">
        <v>25</v>
      </c>
      <c r="G76" s="63" t="s">
        <v>3</v>
      </c>
      <c r="H76" s="63" t="s">
        <v>0</v>
      </c>
      <c r="K76" s="65">
        <v>1321.1159737417943</v>
      </c>
      <c r="L76" s="72">
        <f t="shared" si="1"/>
        <v>22.626009205462914</v>
      </c>
      <c r="M76" s="1">
        <v>35</v>
      </c>
    </row>
    <row r="77" spans="1:19" x14ac:dyDescent="0.35">
      <c r="A77" s="58" t="s">
        <v>64</v>
      </c>
      <c r="B77" s="61">
        <v>45534</v>
      </c>
      <c r="C77" s="58">
        <v>4</v>
      </c>
      <c r="D77" s="58">
        <v>4</v>
      </c>
      <c r="E77" s="58">
        <v>1</v>
      </c>
      <c r="F77" s="62" t="s">
        <v>26</v>
      </c>
      <c r="G77" s="63" t="s">
        <v>3</v>
      </c>
      <c r="H77" s="63" t="s">
        <v>2</v>
      </c>
      <c r="K77" s="65">
        <v>1450.2188183807439</v>
      </c>
      <c r="L77" s="72">
        <f t="shared" si="1"/>
        <v>24.8370809124978</v>
      </c>
      <c r="M77" s="1">
        <v>10</v>
      </c>
    </row>
    <row r="78" spans="1:19" s="2" customFormat="1" ht="18.5" x14ac:dyDescent="0.45">
      <c r="A78" s="67" t="s">
        <v>64</v>
      </c>
      <c r="B78" s="68">
        <v>45534</v>
      </c>
      <c r="C78" s="67">
        <v>5</v>
      </c>
      <c r="D78" s="67">
        <v>5</v>
      </c>
      <c r="E78" s="67">
        <v>1</v>
      </c>
      <c r="F78" s="69" t="s">
        <v>45</v>
      </c>
      <c r="G78" s="70" t="s">
        <v>3</v>
      </c>
      <c r="H78" s="70" t="s">
        <v>2</v>
      </c>
      <c r="I78" s="67"/>
      <c r="J78" s="67"/>
      <c r="K78" s="71">
        <v>271.3347921225382</v>
      </c>
      <c r="L78" s="72">
        <f t="shared" si="1"/>
        <v>4.6469981639377238</v>
      </c>
      <c r="M78" s="1">
        <v>40</v>
      </c>
      <c r="N78" s="1"/>
      <c r="O78" s="1"/>
      <c r="P78" s="1"/>
      <c r="Q78" s="1"/>
      <c r="R78" s="1"/>
      <c r="S78" s="1"/>
    </row>
    <row r="79" spans="1:19" s="2" customFormat="1" ht="18.5" x14ac:dyDescent="0.45">
      <c r="A79" s="58" t="s">
        <v>64</v>
      </c>
      <c r="B79" s="61">
        <v>45534</v>
      </c>
      <c r="C79" s="58">
        <v>6</v>
      </c>
      <c r="D79" s="58">
        <v>6</v>
      </c>
      <c r="E79" s="58">
        <v>1</v>
      </c>
      <c r="F79" s="62" t="s">
        <v>47</v>
      </c>
      <c r="G79" s="63" t="s">
        <v>1</v>
      </c>
      <c r="H79" s="63" t="s">
        <v>0</v>
      </c>
      <c r="I79" s="58"/>
      <c r="J79" s="58"/>
      <c r="K79" s="65">
        <v>2586.980306345733</v>
      </c>
      <c r="L79" s="72">
        <f t="shared" si="1"/>
        <v>44.305754671898185</v>
      </c>
      <c r="M79" s="1">
        <v>15</v>
      </c>
      <c r="N79" s="1"/>
      <c r="O79" s="1"/>
      <c r="P79" s="1"/>
      <c r="Q79" s="1"/>
      <c r="R79" s="1"/>
      <c r="S79" s="1"/>
    </row>
    <row r="80" spans="1:19" s="2" customFormat="1" ht="18.5" x14ac:dyDescent="0.45">
      <c r="A80" s="58" t="s">
        <v>64</v>
      </c>
      <c r="B80" s="61">
        <v>45534</v>
      </c>
      <c r="C80" s="58">
        <v>7</v>
      </c>
      <c r="D80" s="58">
        <v>7</v>
      </c>
      <c r="E80" s="58">
        <v>1</v>
      </c>
      <c r="F80" s="62" t="s">
        <v>49</v>
      </c>
      <c r="G80" s="63" t="s">
        <v>1</v>
      </c>
      <c r="H80" s="63" t="s">
        <v>0</v>
      </c>
      <c r="I80" s="58"/>
      <c r="J80" s="58"/>
      <c r="K80" s="65">
        <v>1771.8818380743983</v>
      </c>
      <c r="L80" s="72">
        <f t="shared" si="1"/>
        <v>30.346022284262681</v>
      </c>
      <c r="M80" s="1">
        <v>15</v>
      </c>
      <c r="N80" s="1"/>
      <c r="O80" s="1"/>
      <c r="P80" s="1"/>
      <c r="Q80" s="1"/>
      <c r="R80" s="1"/>
      <c r="S80" s="1"/>
    </row>
    <row r="81" spans="1:19" s="2" customFormat="1" ht="18.5" x14ac:dyDescent="0.45">
      <c r="A81" s="58" t="s">
        <v>64</v>
      </c>
      <c r="B81" s="61">
        <v>45534</v>
      </c>
      <c r="C81" s="58">
        <v>8</v>
      </c>
      <c r="D81" s="58">
        <v>8</v>
      </c>
      <c r="E81" s="58">
        <v>1</v>
      </c>
      <c r="F81" s="62" t="s">
        <v>51</v>
      </c>
      <c r="G81" s="63" t="s">
        <v>3</v>
      </c>
      <c r="H81" s="63" t="s">
        <v>2</v>
      </c>
      <c r="I81" s="58"/>
      <c r="J81" s="58"/>
      <c r="K81" s="65">
        <v>1237.9649890590808</v>
      </c>
      <c r="L81" s="72">
        <f t="shared" si="1"/>
        <v>21.201929122965868</v>
      </c>
      <c r="M81" s="1">
        <v>20</v>
      </c>
      <c r="N81" s="1"/>
      <c r="O81" s="1"/>
      <c r="P81" s="1"/>
      <c r="Q81" s="1"/>
      <c r="R81" s="1"/>
      <c r="S81" s="1"/>
    </row>
    <row r="82" spans="1:19" s="2" customFormat="1" ht="18.5" x14ac:dyDescent="0.45">
      <c r="A82" s="58" t="s">
        <v>64</v>
      </c>
      <c r="B82" s="61">
        <v>45534</v>
      </c>
      <c r="C82" s="58">
        <v>9</v>
      </c>
      <c r="D82" s="58">
        <v>9</v>
      </c>
      <c r="E82" s="58">
        <v>1</v>
      </c>
      <c r="F82" s="62" t="s">
        <v>27</v>
      </c>
      <c r="G82" s="63" t="s">
        <v>1</v>
      </c>
      <c r="H82" s="63" t="s">
        <v>2</v>
      </c>
      <c r="I82" s="64">
        <v>0.59535800000000005</v>
      </c>
      <c r="J82" s="64">
        <v>26.790000000000003</v>
      </c>
      <c r="K82" s="65">
        <v>952.95404814004382</v>
      </c>
      <c r="L82" s="72">
        <f t="shared" si="1"/>
        <v>16.320707261249026</v>
      </c>
      <c r="M82" s="1">
        <v>20</v>
      </c>
      <c r="N82" s="1"/>
      <c r="O82" s="1"/>
      <c r="P82" s="1"/>
      <c r="Q82" s="1"/>
      <c r="R82" s="1"/>
      <c r="S82" s="1"/>
    </row>
    <row r="83" spans="1:19" s="2" customFormat="1" ht="18.5" x14ac:dyDescent="0.45">
      <c r="A83" s="58" t="s">
        <v>64</v>
      </c>
      <c r="B83" s="61">
        <v>45534</v>
      </c>
      <c r="C83" s="58">
        <v>10</v>
      </c>
      <c r="D83" s="58">
        <v>10</v>
      </c>
      <c r="E83" s="58">
        <v>1</v>
      </c>
      <c r="F83" s="62" t="s">
        <v>28</v>
      </c>
      <c r="G83" s="63" t="s">
        <v>1</v>
      </c>
      <c r="H83" s="63" t="s">
        <v>5</v>
      </c>
      <c r="I83" s="64">
        <v>0.43315700000000001</v>
      </c>
      <c r="J83" s="64">
        <v>27.38</v>
      </c>
      <c r="K83" s="65">
        <v>856.12691466083152</v>
      </c>
      <c r="L83" s="72">
        <f t="shared" si="1"/>
        <v>14.662403480972861</v>
      </c>
      <c r="M83" s="1">
        <v>30</v>
      </c>
      <c r="N83" s="1"/>
      <c r="O83" s="1"/>
      <c r="P83" s="1"/>
      <c r="Q83" s="1"/>
      <c r="R83" s="1"/>
      <c r="S83" s="1"/>
    </row>
    <row r="84" spans="1:19" s="2" customFormat="1" ht="18.5" x14ac:dyDescent="0.45">
      <c r="A84" s="58" t="s">
        <v>64</v>
      </c>
      <c r="B84" s="61">
        <v>45534</v>
      </c>
      <c r="C84" s="58">
        <v>11</v>
      </c>
      <c r="D84" s="58">
        <v>11</v>
      </c>
      <c r="E84" s="58">
        <v>1</v>
      </c>
      <c r="F84" s="62" t="s">
        <v>29</v>
      </c>
      <c r="G84" s="63" t="s">
        <v>4</v>
      </c>
      <c r="H84" s="63" t="s">
        <v>0</v>
      </c>
      <c r="I84" s="64">
        <v>0.65567333333333344</v>
      </c>
      <c r="J84" s="64">
        <v>27.52</v>
      </c>
      <c r="K84" s="65">
        <v>910.83150984682698</v>
      </c>
      <c r="L84" s="72">
        <f t="shared" si="1"/>
        <v>15.599298272089335</v>
      </c>
      <c r="M84" s="1">
        <v>40</v>
      </c>
      <c r="N84" s="1"/>
      <c r="O84" s="1"/>
      <c r="P84" s="1"/>
      <c r="Q84" s="1"/>
      <c r="R84" s="1"/>
      <c r="S84" s="1"/>
    </row>
    <row r="85" spans="1:19" s="2" customFormat="1" ht="18.5" x14ac:dyDescent="0.45">
      <c r="A85" s="58" t="s">
        <v>64</v>
      </c>
      <c r="B85" s="61">
        <v>45534</v>
      </c>
      <c r="C85" s="58">
        <v>12</v>
      </c>
      <c r="D85" s="58">
        <v>12</v>
      </c>
      <c r="E85" s="58">
        <v>1</v>
      </c>
      <c r="F85" s="62" t="s">
        <v>30</v>
      </c>
      <c r="G85" s="63" t="s">
        <v>3</v>
      </c>
      <c r="H85" s="63" t="s">
        <v>5</v>
      </c>
      <c r="I85" s="64">
        <v>0.73217366666666672</v>
      </c>
      <c r="J85" s="64">
        <v>27.366666666666664</v>
      </c>
      <c r="K85" s="65">
        <v>1498.90590809628</v>
      </c>
      <c r="L85" s="72">
        <f t="shared" si="1"/>
        <v>25.670917276591464</v>
      </c>
      <c r="M85" s="1">
        <v>45</v>
      </c>
      <c r="N85" s="1"/>
      <c r="O85" s="1"/>
      <c r="P85" s="1"/>
      <c r="Q85" s="1"/>
      <c r="R85" s="1"/>
      <c r="S85" s="1"/>
    </row>
    <row r="86" spans="1:19" s="2" customFormat="1" ht="18.5" x14ac:dyDescent="0.45">
      <c r="A86" s="58" t="s">
        <v>64</v>
      </c>
      <c r="B86" s="61">
        <v>45534</v>
      </c>
      <c r="C86" s="58">
        <v>13</v>
      </c>
      <c r="D86" s="58">
        <v>1</v>
      </c>
      <c r="E86" s="58">
        <v>2</v>
      </c>
      <c r="F86" s="66" t="s">
        <v>28</v>
      </c>
      <c r="G86" s="63" t="s">
        <v>3</v>
      </c>
      <c r="H86" s="63" t="s">
        <v>0</v>
      </c>
      <c r="I86" s="64">
        <v>0.12997933333333334</v>
      </c>
      <c r="J86" s="64">
        <v>29.24</v>
      </c>
      <c r="K86" s="65">
        <v>586.43326039387307</v>
      </c>
      <c r="L86" s="72">
        <f t="shared" si="1"/>
        <v>10.043512160768632</v>
      </c>
      <c r="M86" s="1">
        <v>35</v>
      </c>
      <c r="N86" s="1"/>
      <c r="O86" s="1"/>
      <c r="P86" s="1"/>
      <c r="Q86" s="1"/>
      <c r="R86" s="1"/>
      <c r="S86" s="1"/>
    </row>
    <row r="87" spans="1:19" s="2" customFormat="1" ht="18.5" x14ac:dyDescent="0.45">
      <c r="A87" s="58" t="s">
        <v>64</v>
      </c>
      <c r="B87" s="61">
        <v>45534</v>
      </c>
      <c r="C87" s="58">
        <v>14</v>
      </c>
      <c r="D87" s="58">
        <v>2</v>
      </c>
      <c r="E87" s="58">
        <v>2</v>
      </c>
      <c r="F87" s="62" t="s">
        <v>51</v>
      </c>
      <c r="G87" s="63" t="s">
        <v>1</v>
      </c>
      <c r="H87" s="63" t="s">
        <v>2</v>
      </c>
      <c r="I87" s="58"/>
      <c r="J87" s="58"/>
      <c r="K87" s="65">
        <v>1647.1553610503283</v>
      </c>
      <c r="L87" s="72">
        <f t="shared" si="1"/>
        <v>28.209902160517117</v>
      </c>
      <c r="M87" s="1">
        <v>30</v>
      </c>
      <c r="N87" s="1"/>
      <c r="O87" s="1"/>
      <c r="P87" s="1"/>
      <c r="Q87" s="1"/>
      <c r="R87" s="1"/>
      <c r="S87" s="1"/>
    </row>
    <row r="88" spans="1:19" s="2" customFormat="1" ht="18.5" x14ac:dyDescent="0.45">
      <c r="A88" s="58" t="s">
        <v>64</v>
      </c>
      <c r="B88" s="61">
        <v>45534</v>
      </c>
      <c r="C88" s="58">
        <v>15</v>
      </c>
      <c r="D88" s="58">
        <v>3</v>
      </c>
      <c r="E88" s="58">
        <v>2</v>
      </c>
      <c r="F88" s="66" t="s">
        <v>27</v>
      </c>
      <c r="G88" s="63" t="s">
        <v>1</v>
      </c>
      <c r="H88" s="63" t="s">
        <v>2</v>
      </c>
      <c r="I88" s="64">
        <v>0.17206466666666667</v>
      </c>
      <c r="J88" s="64">
        <v>29.78</v>
      </c>
      <c r="K88" s="65">
        <v>1360.5032822757114</v>
      </c>
      <c r="L88" s="72">
        <f t="shared" si="1"/>
        <v>23.300573455066782</v>
      </c>
      <c r="M88" s="1">
        <v>25</v>
      </c>
      <c r="N88" s="1"/>
      <c r="O88" s="1"/>
      <c r="P88" s="1"/>
      <c r="Q88" s="1"/>
      <c r="R88" s="1"/>
      <c r="S88" s="1"/>
    </row>
    <row r="89" spans="1:19" s="2" customFormat="1" ht="18.5" x14ac:dyDescent="0.45">
      <c r="A89" s="58" t="s">
        <v>64</v>
      </c>
      <c r="B89" s="61">
        <v>45534</v>
      </c>
      <c r="C89" s="58">
        <v>16</v>
      </c>
      <c r="D89" s="58">
        <v>4</v>
      </c>
      <c r="E89" s="58">
        <v>2</v>
      </c>
      <c r="F89" s="66" t="s">
        <v>24</v>
      </c>
      <c r="G89" s="63" t="s">
        <v>0</v>
      </c>
      <c r="H89" s="63" t="s">
        <v>2</v>
      </c>
      <c r="I89" s="64">
        <v>0.2999486666666667</v>
      </c>
      <c r="J89" s="64">
        <v>29.576666666666668</v>
      </c>
      <c r="K89" s="65">
        <v>1636.2144420131292</v>
      </c>
      <c r="L89" s="72">
        <f t="shared" si="1"/>
        <v>28.022523202293822</v>
      </c>
      <c r="M89" s="1">
        <v>45</v>
      </c>
      <c r="N89" s="1"/>
      <c r="O89" s="1"/>
      <c r="P89" s="1"/>
      <c r="Q89" s="1"/>
      <c r="R89" s="1"/>
      <c r="S89" s="1"/>
    </row>
    <row r="90" spans="1:19" s="2" customFormat="1" ht="18.5" x14ac:dyDescent="0.45">
      <c r="A90" s="58" t="s">
        <v>64</v>
      </c>
      <c r="B90" s="61">
        <v>45534</v>
      </c>
      <c r="C90" s="58">
        <v>17</v>
      </c>
      <c r="D90" s="58">
        <v>5</v>
      </c>
      <c r="E90" s="58">
        <v>2</v>
      </c>
      <c r="F90" s="62" t="s">
        <v>49</v>
      </c>
      <c r="G90" s="63" t="s">
        <v>1</v>
      </c>
      <c r="H90" s="63" t="s">
        <v>0</v>
      </c>
      <c r="I90" s="64"/>
      <c r="J90" s="58"/>
      <c r="K90" s="65">
        <v>1438.1838074398249</v>
      </c>
      <c r="L90" s="72">
        <f t="shared" si="1"/>
        <v>24.630964058452175</v>
      </c>
      <c r="M90" s="1">
        <v>45</v>
      </c>
      <c r="N90" s="1"/>
      <c r="O90" s="1"/>
      <c r="P90" s="1"/>
      <c r="Q90" s="1"/>
      <c r="R90" s="1"/>
      <c r="S90" s="1"/>
    </row>
    <row r="91" spans="1:19" s="2" customFormat="1" ht="18.5" x14ac:dyDescent="0.45">
      <c r="A91" s="58" t="s">
        <v>64</v>
      </c>
      <c r="B91" s="61">
        <v>45534</v>
      </c>
      <c r="C91" s="58">
        <v>18</v>
      </c>
      <c r="D91" s="58">
        <v>6</v>
      </c>
      <c r="E91" s="58">
        <v>2</v>
      </c>
      <c r="F91" s="66" t="s">
        <v>26</v>
      </c>
      <c r="G91" s="63" t="s">
        <v>3</v>
      </c>
      <c r="H91" s="63" t="s">
        <v>2</v>
      </c>
      <c r="I91" s="64"/>
      <c r="J91" s="58"/>
      <c r="K91" s="65">
        <v>1684.9015317286651</v>
      </c>
      <c r="L91" s="72">
        <f t="shared" si="1"/>
        <v>28.856359566387482</v>
      </c>
      <c r="M91" s="1">
        <v>30</v>
      </c>
      <c r="N91" s="1"/>
      <c r="O91" s="1"/>
      <c r="P91" s="1"/>
      <c r="Q91" s="1"/>
      <c r="R91" s="1"/>
      <c r="S91" s="1"/>
    </row>
    <row r="92" spans="1:19" s="2" customFormat="1" ht="18.5" x14ac:dyDescent="0.45">
      <c r="A92" s="58" t="s">
        <v>64</v>
      </c>
      <c r="B92" s="61">
        <v>45534</v>
      </c>
      <c r="C92" s="58">
        <v>19</v>
      </c>
      <c r="D92" s="58">
        <v>7</v>
      </c>
      <c r="E92" s="58">
        <v>2</v>
      </c>
      <c r="F92" s="62" t="s">
        <v>45</v>
      </c>
      <c r="G92" s="63" t="s">
        <v>4</v>
      </c>
      <c r="H92" s="63" t="s">
        <v>2</v>
      </c>
      <c r="I92" s="64"/>
      <c r="J92" s="58"/>
      <c r="K92" s="65">
        <v>1712.253829321663</v>
      </c>
      <c r="L92" s="72">
        <f t="shared" si="1"/>
        <v>29.324806961945722</v>
      </c>
      <c r="M92" s="1">
        <v>30</v>
      </c>
      <c r="N92" s="1"/>
      <c r="O92" s="1"/>
      <c r="P92" s="1"/>
      <c r="Q92" s="1"/>
      <c r="R92" s="1"/>
      <c r="S92" s="1"/>
    </row>
    <row r="93" spans="1:19" s="2" customFormat="1" ht="18.5" x14ac:dyDescent="0.45">
      <c r="A93" s="58" t="s">
        <v>64</v>
      </c>
      <c r="B93" s="61">
        <v>45534</v>
      </c>
      <c r="C93" s="58">
        <v>20</v>
      </c>
      <c r="D93" s="58">
        <v>8</v>
      </c>
      <c r="E93" s="58">
        <v>2</v>
      </c>
      <c r="F93" s="66" t="s">
        <v>29</v>
      </c>
      <c r="G93" s="63" t="s">
        <v>0</v>
      </c>
      <c r="H93" s="63" t="s">
        <v>0</v>
      </c>
      <c r="I93" s="64">
        <v>0.32335766666666665</v>
      </c>
      <c r="J93" s="64">
        <v>29.626666666666665</v>
      </c>
      <c r="K93" s="65">
        <v>894.96717724288851</v>
      </c>
      <c r="L93" s="72">
        <f t="shared" si="1"/>
        <v>15.327598782665563</v>
      </c>
      <c r="M93" s="1">
        <v>25</v>
      </c>
      <c r="N93" s="1"/>
      <c r="O93" s="1"/>
      <c r="P93" s="1"/>
      <c r="Q93" s="1"/>
      <c r="R93" s="1"/>
      <c r="S93" s="1"/>
    </row>
    <row r="94" spans="1:19" s="2" customFormat="1" ht="18.5" x14ac:dyDescent="0.45">
      <c r="A94" s="58" t="s">
        <v>64</v>
      </c>
      <c r="B94" s="61">
        <v>45534</v>
      </c>
      <c r="C94" s="58">
        <v>21</v>
      </c>
      <c r="D94" s="58">
        <v>9</v>
      </c>
      <c r="E94" s="58">
        <v>2</v>
      </c>
      <c r="F94" s="66" t="s">
        <v>23</v>
      </c>
      <c r="G94" s="63" t="s">
        <v>4</v>
      </c>
      <c r="H94" s="63" t="s">
        <v>2</v>
      </c>
      <c r="I94" s="64">
        <v>0.3960253333333334</v>
      </c>
      <c r="J94" s="64">
        <v>29.236666666666668</v>
      </c>
      <c r="K94" s="65">
        <v>1430.5251641137854</v>
      </c>
      <c r="L94" s="72">
        <f t="shared" si="1"/>
        <v>24.499798787695866</v>
      </c>
      <c r="M94" s="1">
        <v>20</v>
      </c>
      <c r="N94" s="1"/>
      <c r="O94" s="1"/>
      <c r="P94" s="1"/>
      <c r="Q94" s="1"/>
      <c r="R94" s="1"/>
      <c r="S94" s="1"/>
    </row>
    <row r="95" spans="1:19" s="2" customFormat="1" ht="18.5" x14ac:dyDescent="0.45">
      <c r="A95" s="58" t="s">
        <v>64</v>
      </c>
      <c r="B95" s="61">
        <v>45534</v>
      </c>
      <c r="C95" s="58">
        <v>22</v>
      </c>
      <c r="D95" s="58">
        <v>10</v>
      </c>
      <c r="E95" s="58">
        <v>2</v>
      </c>
      <c r="F95" s="66" t="s">
        <v>30</v>
      </c>
      <c r="G95" s="63" t="s">
        <v>3</v>
      </c>
      <c r="H95" s="63" t="s">
        <v>2</v>
      </c>
      <c r="I95" s="64">
        <v>0.22531866666666667</v>
      </c>
      <c r="J95" s="64">
        <v>30.66</v>
      </c>
      <c r="K95" s="65">
        <v>1812.3632385120352</v>
      </c>
      <c r="L95" s="72">
        <f t="shared" si="1"/>
        <v>31.039324429688875</v>
      </c>
      <c r="M95" s="1">
        <v>35</v>
      </c>
      <c r="N95" s="1"/>
      <c r="O95" s="1"/>
      <c r="P95" s="1"/>
      <c r="Q95" s="1"/>
      <c r="R95" s="1"/>
      <c r="S95" s="1"/>
    </row>
    <row r="96" spans="1:19" s="2" customFormat="1" ht="18.5" x14ac:dyDescent="0.45">
      <c r="A96" s="58" t="s">
        <v>64</v>
      </c>
      <c r="B96" s="61">
        <v>45534</v>
      </c>
      <c r="C96" s="58">
        <v>23</v>
      </c>
      <c r="D96" s="58">
        <v>11</v>
      </c>
      <c r="E96" s="58">
        <v>2</v>
      </c>
      <c r="F96" s="62" t="s">
        <v>47</v>
      </c>
      <c r="G96" s="63" t="s">
        <v>1</v>
      </c>
      <c r="H96" s="63" t="s">
        <v>0</v>
      </c>
      <c r="I96" s="64"/>
      <c r="J96" s="58"/>
      <c r="K96" s="65">
        <v>1802.5164113785556</v>
      </c>
      <c r="L96" s="72">
        <f t="shared" si="1"/>
        <v>30.870683367287906</v>
      </c>
      <c r="M96" s="1">
        <v>40</v>
      </c>
      <c r="N96" s="1"/>
      <c r="O96" s="1"/>
      <c r="P96" s="1"/>
      <c r="Q96" s="1"/>
      <c r="R96" s="1"/>
      <c r="S96" s="1"/>
    </row>
    <row r="97" spans="1:19" s="2" customFormat="1" ht="18.5" x14ac:dyDescent="0.45">
      <c r="A97" s="58" t="s">
        <v>64</v>
      </c>
      <c r="B97" s="61">
        <v>45534</v>
      </c>
      <c r="C97" s="58">
        <v>24</v>
      </c>
      <c r="D97" s="58">
        <v>12</v>
      </c>
      <c r="E97" s="58">
        <v>2</v>
      </c>
      <c r="F97" s="58" t="s">
        <v>25</v>
      </c>
      <c r="G97" s="63" t="s">
        <v>3</v>
      </c>
      <c r="H97" s="63" t="s">
        <v>0</v>
      </c>
      <c r="I97" s="64"/>
      <c r="J97" s="58"/>
      <c r="K97" s="65">
        <v>1613.785557986871</v>
      </c>
      <c r="L97" s="72">
        <f t="shared" si="1"/>
        <v>27.638396337936069</v>
      </c>
      <c r="M97" s="1">
        <v>45</v>
      </c>
      <c r="N97" s="1"/>
      <c r="O97" s="1"/>
      <c r="P97" s="1"/>
      <c r="Q97" s="1"/>
      <c r="R97" s="1"/>
      <c r="S97" s="1"/>
    </row>
    <row r="98" spans="1:19" s="2" customFormat="1" ht="18.5" x14ac:dyDescent="0.45">
      <c r="A98" s="58" t="s">
        <v>64</v>
      </c>
      <c r="B98" s="61">
        <v>45534</v>
      </c>
      <c r="C98" s="58">
        <v>25</v>
      </c>
      <c r="D98" s="58">
        <v>1</v>
      </c>
      <c r="E98" s="58">
        <v>3</v>
      </c>
      <c r="F98" s="58" t="s">
        <v>24</v>
      </c>
      <c r="G98" s="63" t="s">
        <v>0</v>
      </c>
      <c r="H98" s="63" t="s">
        <v>0</v>
      </c>
      <c r="I98" s="64">
        <v>1.0383046666666667</v>
      </c>
      <c r="J98" s="64">
        <v>30.956666666666667</v>
      </c>
      <c r="K98" s="65">
        <v>1796.4989059080965</v>
      </c>
      <c r="L98" s="72">
        <f t="shared" si="1"/>
        <v>30.767624940265101</v>
      </c>
      <c r="M98" s="1">
        <v>45</v>
      </c>
      <c r="N98" s="1"/>
      <c r="O98" s="1"/>
      <c r="P98" s="1"/>
      <c r="Q98" s="1"/>
      <c r="R98" s="1"/>
      <c r="S98" s="1"/>
    </row>
    <row r="99" spans="1:19" s="2" customFormat="1" ht="18.5" x14ac:dyDescent="0.45">
      <c r="A99" s="58" t="s">
        <v>64</v>
      </c>
      <c r="B99" s="61">
        <v>45534</v>
      </c>
      <c r="C99" s="58">
        <v>26</v>
      </c>
      <c r="D99" s="58">
        <v>2</v>
      </c>
      <c r="E99" s="58">
        <v>3</v>
      </c>
      <c r="F99" s="58" t="s">
        <v>23</v>
      </c>
      <c r="G99" s="63" t="s">
        <v>0</v>
      </c>
      <c r="H99" s="63" t="s">
        <v>2</v>
      </c>
      <c r="I99" s="64">
        <v>0.95992533333333341</v>
      </c>
      <c r="J99" s="64">
        <v>30.646666666666665</v>
      </c>
      <c r="K99" s="65">
        <v>1636.7614879649891</v>
      </c>
      <c r="L99" s="72">
        <f t="shared" si="1"/>
        <v>28.031892150204985</v>
      </c>
      <c r="M99" s="1">
        <v>25</v>
      </c>
      <c r="N99" s="1"/>
      <c r="O99" s="1"/>
      <c r="P99" s="1"/>
      <c r="Q99" s="1"/>
      <c r="R99" s="1"/>
      <c r="S99" s="1"/>
    </row>
    <row r="100" spans="1:19" s="2" customFormat="1" ht="18.5" x14ac:dyDescent="0.45">
      <c r="A100" s="58" t="s">
        <v>64</v>
      </c>
      <c r="B100" s="61">
        <v>45534</v>
      </c>
      <c r="C100" s="58">
        <v>27</v>
      </c>
      <c r="D100" s="58">
        <v>3</v>
      </c>
      <c r="E100" s="58">
        <v>3</v>
      </c>
      <c r="F100" s="62" t="s">
        <v>51</v>
      </c>
      <c r="G100" s="63" t="s">
        <v>1</v>
      </c>
      <c r="H100" s="63" t="s">
        <v>2</v>
      </c>
      <c r="I100" s="64"/>
      <c r="J100" s="58"/>
      <c r="K100" s="65">
        <v>1442.5601750547046</v>
      </c>
      <c r="L100" s="72">
        <f t="shared" si="1"/>
        <v>24.705915641741491</v>
      </c>
      <c r="M100" s="1">
        <v>20</v>
      </c>
      <c r="N100" s="1"/>
      <c r="O100" s="1"/>
      <c r="P100" s="1"/>
      <c r="Q100" s="1"/>
      <c r="R100" s="1"/>
      <c r="S100" s="1"/>
    </row>
    <row r="101" spans="1:19" s="2" customFormat="1" ht="18.5" x14ac:dyDescent="0.45">
      <c r="A101" s="58" t="s">
        <v>64</v>
      </c>
      <c r="B101" s="61">
        <v>45534</v>
      </c>
      <c r="C101" s="58">
        <v>28</v>
      </c>
      <c r="D101" s="58">
        <v>4</v>
      </c>
      <c r="E101" s="58">
        <v>3</v>
      </c>
      <c r="F101" s="58" t="s">
        <v>27</v>
      </c>
      <c r="G101" s="63" t="s">
        <v>3</v>
      </c>
      <c r="H101" s="63" t="s">
        <v>2</v>
      </c>
      <c r="I101" s="64">
        <v>0.36885033333333334</v>
      </c>
      <c r="J101" s="64">
        <v>31.459999999999997</v>
      </c>
      <c r="K101" s="65">
        <v>1736.870897155361</v>
      </c>
      <c r="L101" s="72">
        <f t="shared" si="1"/>
        <v>29.746409617948135</v>
      </c>
      <c r="M101" s="1">
        <v>25</v>
      </c>
      <c r="N101" s="1"/>
      <c r="O101" s="1"/>
      <c r="P101" s="1"/>
      <c r="Q101" s="1"/>
      <c r="R101" s="1"/>
      <c r="S101" s="1"/>
    </row>
    <row r="102" spans="1:19" s="2" customFormat="1" ht="18.5" x14ac:dyDescent="0.45">
      <c r="A102" s="58" t="s">
        <v>64</v>
      </c>
      <c r="B102" s="61">
        <v>45534</v>
      </c>
      <c r="C102" s="58">
        <v>29</v>
      </c>
      <c r="D102" s="58">
        <v>5</v>
      </c>
      <c r="E102" s="58">
        <v>3</v>
      </c>
      <c r="F102" s="66" t="s">
        <v>30</v>
      </c>
      <c r="G102" s="63" t="s">
        <v>4</v>
      </c>
      <c r="H102" s="63" t="s">
        <v>2</v>
      </c>
      <c r="I102" s="64">
        <v>0.32994833333333334</v>
      </c>
      <c r="J102" s="64">
        <v>31.556666666666668</v>
      </c>
      <c r="K102" s="65">
        <v>1681.0722100656455</v>
      </c>
      <c r="L102" s="72">
        <f t="shared" si="1"/>
        <v>28.790776931009333</v>
      </c>
      <c r="M102" s="1">
        <v>15</v>
      </c>
      <c r="N102" s="1"/>
      <c r="O102" s="1"/>
      <c r="P102" s="1"/>
      <c r="Q102" s="1"/>
      <c r="R102" s="1"/>
      <c r="S102" s="1"/>
    </row>
    <row r="103" spans="1:19" s="2" customFormat="1" ht="18.5" x14ac:dyDescent="0.45">
      <c r="A103" s="58" t="s">
        <v>64</v>
      </c>
      <c r="B103" s="61">
        <v>45534</v>
      </c>
      <c r="C103" s="58">
        <v>30</v>
      </c>
      <c r="D103" s="58">
        <v>6</v>
      </c>
      <c r="E103" s="58">
        <v>3</v>
      </c>
      <c r="F103" s="66" t="s">
        <v>29</v>
      </c>
      <c r="G103" s="63" t="s">
        <v>0</v>
      </c>
      <c r="H103" s="63" t="s">
        <v>2</v>
      </c>
      <c r="I103" s="64">
        <v>0.27892500000000003</v>
      </c>
      <c r="J103" s="64">
        <v>31.103333333333335</v>
      </c>
      <c r="K103" s="65">
        <v>1155.9080962800874</v>
      </c>
      <c r="L103" s="72">
        <f t="shared" si="1"/>
        <v>19.796586936291153</v>
      </c>
      <c r="M103" s="1">
        <v>20</v>
      </c>
      <c r="N103" s="1"/>
      <c r="O103" s="1"/>
      <c r="P103" s="1"/>
      <c r="Q103" s="1"/>
      <c r="R103" s="1"/>
      <c r="S103" s="1"/>
    </row>
    <row r="104" spans="1:19" s="2" customFormat="1" ht="18.5" x14ac:dyDescent="0.45">
      <c r="A104" s="58" t="s">
        <v>64</v>
      </c>
      <c r="B104" s="61">
        <v>45534</v>
      </c>
      <c r="C104" s="58">
        <v>31</v>
      </c>
      <c r="D104" s="58">
        <v>7</v>
      </c>
      <c r="E104" s="58">
        <v>3</v>
      </c>
      <c r="F104" s="66" t="s">
        <v>28</v>
      </c>
      <c r="G104" s="63" t="s">
        <v>3</v>
      </c>
      <c r="H104" s="63" t="s">
        <v>5</v>
      </c>
      <c r="I104" s="64">
        <v>5.8475333333333331E-2</v>
      </c>
      <c r="J104" s="64">
        <v>31.823333333333334</v>
      </c>
      <c r="K104" s="65">
        <v>691.46608315098479</v>
      </c>
      <c r="L104" s="72">
        <f t="shared" si="1"/>
        <v>11.84235015971227</v>
      </c>
      <c r="M104" s="1">
        <v>10</v>
      </c>
      <c r="N104" s="1"/>
      <c r="O104" s="1"/>
      <c r="P104" s="1"/>
      <c r="Q104" s="1"/>
      <c r="R104" s="1"/>
      <c r="S104" s="1"/>
    </row>
    <row r="105" spans="1:19" s="2" customFormat="1" ht="18.5" x14ac:dyDescent="0.45">
      <c r="A105" s="58" t="s">
        <v>64</v>
      </c>
      <c r="B105" s="61">
        <v>45534</v>
      </c>
      <c r="C105" s="58">
        <v>32</v>
      </c>
      <c r="D105" s="58">
        <v>8</v>
      </c>
      <c r="E105" s="58">
        <v>3</v>
      </c>
      <c r="F105" s="66" t="s">
        <v>25</v>
      </c>
      <c r="G105" s="63" t="s">
        <v>1</v>
      </c>
      <c r="H105" s="63" t="s">
        <v>0</v>
      </c>
      <c r="I105" s="64"/>
      <c r="J105" s="58"/>
      <c r="K105" s="65">
        <v>1548.1400437636764</v>
      </c>
      <c r="L105" s="72">
        <f t="shared" si="1"/>
        <v>26.514122588596297</v>
      </c>
      <c r="M105" s="1">
        <v>30</v>
      </c>
      <c r="N105" s="1"/>
      <c r="O105" s="1"/>
      <c r="P105" s="1"/>
      <c r="Q105" s="1"/>
      <c r="R105" s="1"/>
      <c r="S105" s="1"/>
    </row>
    <row r="106" spans="1:19" s="2" customFormat="1" ht="18.5" x14ac:dyDescent="0.45">
      <c r="A106" s="58" t="s">
        <v>64</v>
      </c>
      <c r="B106" s="61">
        <v>45534</v>
      </c>
      <c r="C106" s="58">
        <v>33</v>
      </c>
      <c r="D106" s="58">
        <v>9</v>
      </c>
      <c r="E106" s="58">
        <v>3</v>
      </c>
      <c r="F106" s="66" t="s">
        <v>26</v>
      </c>
      <c r="G106" s="63" t="s">
        <v>3</v>
      </c>
      <c r="H106" s="63" t="s">
        <v>2</v>
      </c>
      <c r="I106" s="64"/>
      <c r="J106" s="58"/>
      <c r="K106" s="65">
        <v>2449.1247264770241</v>
      </c>
      <c r="L106" s="72">
        <f t="shared" si="1"/>
        <v>41.944779798284664</v>
      </c>
      <c r="M106" s="1">
        <v>10</v>
      </c>
      <c r="N106" s="1"/>
      <c r="O106" s="1"/>
      <c r="P106" s="1"/>
      <c r="Q106" s="1"/>
      <c r="R106" s="1"/>
      <c r="S106" s="1"/>
    </row>
    <row r="107" spans="1:19" s="2" customFormat="1" ht="18.5" x14ac:dyDescent="0.45">
      <c r="A107" s="58" t="s">
        <v>64</v>
      </c>
      <c r="B107" s="61">
        <v>45534</v>
      </c>
      <c r="C107" s="58">
        <v>34</v>
      </c>
      <c r="D107" s="58">
        <v>10</v>
      </c>
      <c r="E107" s="58">
        <v>3</v>
      </c>
      <c r="F107" s="62" t="s">
        <v>47</v>
      </c>
      <c r="G107" s="63" t="s">
        <v>3</v>
      </c>
      <c r="H107" s="63" t="s">
        <v>2</v>
      </c>
      <c r="I107" s="64"/>
      <c r="J107" s="58"/>
      <c r="K107" s="65">
        <v>1916.8490153172868</v>
      </c>
      <c r="L107" s="72">
        <f t="shared" si="1"/>
        <v>32.828793480721352</v>
      </c>
      <c r="M107" s="1">
        <v>15</v>
      </c>
      <c r="N107" s="1"/>
      <c r="O107" s="1"/>
      <c r="P107" s="1"/>
      <c r="Q107" s="1"/>
      <c r="R107" s="1"/>
      <c r="S107" s="1"/>
    </row>
    <row r="108" spans="1:19" s="2" customFormat="1" ht="18.5" x14ac:dyDescent="0.45">
      <c r="A108" s="58" t="s">
        <v>64</v>
      </c>
      <c r="B108" s="61">
        <v>45534</v>
      </c>
      <c r="C108" s="58">
        <v>35</v>
      </c>
      <c r="D108" s="58">
        <v>11</v>
      </c>
      <c r="E108" s="58">
        <v>3</v>
      </c>
      <c r="F108" s="62" t="s">
        <v>45</v>
      </c>
      <c r="G108" s="63" t="s">
        <v>4</v>
      </c>
      <c r="H108" s="63" t="s">
        <v>0</v>
      </c>
      <c r="I108" s="64"/>
      <c r="J108" s="58"/>
      <c r="K108" s="65">
        <v>2071.1159737417938</v>
      </c>
      <c r="L108" s="72">
        <f t="shared" si="1"/>
        <v>35.470836791669804</v>
      </c>
      <c r="M108" s="1">
        <v>25</v>
      </c>
      <c r="N108" s="1"/>
      <c r="O108" s="1"/>
      <c r="P108" s="1"/>
      <c r="Q108" s="1"/>
      <c r="R108" s="1"/>
      <c r="S108" s="1"/>
    </row>
    <row r="109" spans="1:19" s="2" customFormat="1" ht="18.5" x14ac:dyDescent="0.45">
      <c r="A109" s="58" t="s">
        <v>64</v>
      </c>
      <c r="B109" s="61">
        <v>45534</v>
      </c>
      <c r="C109" s="58">
        <v>36</v>
      </c>
      <c r="D109" s="58">
        <v>12</v>
      </c>
      <c r="E109" s="58">
        <v>3</v>
      </c>
      <c r="F109" s="62" t="s">
        <v>49</v>
      </c>
      <c r="G109" s="63" t="s">
        <v>1</v>
      </c>
      <c r="H109" s="63" t="s">
        <v>2</v>
      </c>
      <c r="I109" s="64"/>
      <c r="J109" s="58"/>
      <c r="K109" s="65">
        <v>1861.0503282275711</v>
      </c>
      <c r="L109" s="72">
        <f t="shared" si="1"/>
        <v>31.873160793782542</v>
      </c>
      <c r="M109" s="1">
        <v>20</v>
      </c>
      <c r="N109" s="1"/>
      <c r="O109" s="1"/>
      <c r="P109" s="1"/>
      <c r="Q109" s="1"/>
      <c r="R109" s="1"/>
      <c r="S109" s="1"/>
    </row>
    <row r="110" spans="1:19" s="2" customFormat="1" ht="18.5" x14ac:dyDescent="0.45">
      <c r="A110" s="58" t="s">
        <v>65</v>
      </c>
      <c r="B110" s="61">
        <v>45534</v>
      </c>
      <c r="C110" s="58">
        <v>37</v>
      </c>
      <c r="D110" s="58">
        <v>1</v>
      </c>
      <c r="E110" s="58">
        <v>4</v>
      </c>
      <c r="F110" s="62" t="s">
        <v>23</v>
      </c>
      <c r="G110" s="63" t="s">
        <v>4</v>
      </c>
      <c r="H110" s="63" t="s">
        <v>0</v>
      </c>
      <c r="I110" s="64">
        <v>0.36331466666666662</v>
      </c>
      <c r="J110" s="64">
        <v>33.203333333333333</v>
      </c>
      <c r="K110" s="65">
        <v>3729.7592997811817</v>
      </c>
      <c r="L110" s="72">
        <f t="shared" si="1"/>
        <v>63.87748685832139</v>
      </c>
      <c r="M110" s="1"/>
      <c r="N110" s="1"/>
      <c r="O110" s="1"/>
      <c r="P110" s="1"/>
      <c r="Q110" s="1"/>
      <c r="R110" s="1"/>
      <c r="S110" s="1"/>
    </row>
    <row r="111" spans="1:19" s="2" customFormat="1" ht="18.5" x14ac:dyDescent="0.45">
      <c r="A111" s="58" t="s">
        <v>65</v>
      </c>
      <c r="B111" s="61">
        <v>45534</v>
      </c>
      <c r="C111" s="58">
        <v>38</v>
      </c>
      <c r="D111" s="58">
        <v>2</v>
      </c>
      <c r="E111" s="58">
        <v>4</v>
      </c>
      <c r="F111" s="58" t="s">
        <v>24</v>
      </c>
      <c r="G111" s="63" t="s">
        <v>3</v>
      </c>
      <c r="H111" s="63" t="s">
        <v>2</v>
      </c>
      <c r="I111" s="64">
        <v>0.7853296666666667</v>
      </c>
      <c r="J111" s="64">
        <v>32.586666666666666</v>
      </c>
      <c r="K111" s="65">
        <v>5551.9693654266957</v>
      </c>
      <c r="L111" s="72">
        <f t="shared" si="1"/>
        <v>95.085452350411217</v>
      </c>
      <c r="M111" s="1"/>
      <c r="N111" s="1"/>
      <c r="O111" s="1"/>
      <c r="P111" s="1"/>
      <c r="Q111" s="1"/>
      <c r="R111" s="1"/>
      <c r="S111" s="1"/>
    </row>
    <row r="112" spans="1:19" s="2" customFormat="1" ht="18.5" x14ac:dyDescent="0.45">
      <c r="A112" s="58" t="s">
        <v>65</v>
      </c>
      <c r="B112" s="61">
        <v>45534</v>
      </c>
      <c r="C112" s="58">
        <v>39</v>
      </c>
      <c r="D112" s="58">
        <v>3</v>
      </c>
      <c r="E112" s="58">
        <v>4</v>
      </c>
      <c r="F112" s="58" t="s">
        <v>25</v>
      </c>
      <c r="G112" s="63" t="s">
        <v>3</v>
      </c>
      <c r="H112" s="63" t="s">
        <v>2</v>
      </c>
      <c r="I112" s="64"/>
      <c r="J112" s="58"/>
      <c r="K112" s="65">
        <v>3612.1444201312902</v>
      </c>
      <c r="L112" s="72">
        <f t="shared" si="1"/>
        <v>61.863163057420948</v>
      </c>
      <c r="M112" s="1"/>
      <c r="N112" s="1"/>
      <c r="O112" s="1"/>
      <c r="P112" s="1"/>
      <c r="Q112" s="1"/>
      <c r="R112" s="1"/>
      <c r="S112" s="1"/>
    </row>
    <row r="113" spans="1:19" s="2" customFormat="1" ht="18.5" x14ac:dyDescent="0.45">
      <c r="A113" s="58" t="s">
        <v>65</v>
      </c>
      <c r="B113" s="61">
        <v>45534</v>
      </c>
      <c r="C113" s="58">
        <v>40</v>
      </c>
      <c r="D113" s="58">
        <v>4</v>
      </c>
      <c r="E113" s="58">
        <v>4</v>
      </c>
      <c r="F113" s="58" t="s">
        <v>26</v>
      </c>
      <c r="G113" s="63" t="s">
        <v>3</v>
      </c>
      <c r="H113" s="63" t="s">
        <v>2</v>
      </c>
      <c r="I113" s="64"/>
      <c r="J113" s="58"/>
      <c r="K113" s="65">
        <v>3928.3369803063447</v>
      </c>
      <c r="L113" s="72">
        <f t="shared" si="1"/>
        <v>67.278414950074179</v>
      </c>
      <c r="M113" s="1"/>
      <c r="N113" s="1"/>
      <c r="O113" s="1"/>
      <c r="P113" s="1"/>
      <c r="Q113" s="1"/>
      <c r="R113" s="1"/>
      <c r="S113" s="1"/>
    </row>
    <row r="114" spans="1:19" s="2" customFormat="1" ht="18.5" x14ac:dyDescent="0.45">
      <c r="A114" s="58" t="s">
        <v>65</v>
      </c>
      <c r="B114" s="61">
        <v>45534</v>
      </c>
      <c r="C114" s="58">
        <v>41</v>
      </c>
      <c r="D114" s="58">
        <v>5</v>
      </c>
      <c r="E114" s="58">
        <v>4</v>
      </c>
      <c r="F114" s="62" t="s">
        <v>45</v>
      </c>
      <c r="G114" s="63" t="s">
        <v>3</v>
      </c>
      <c r="H114" s="63" t="s">
        <v>2</v>
      </c>
      <c r="I114" s="64"/>
      <c r="J114" s="58"/>
      <c r="K114" s="65">
        <v>2659.7374179431072</v>
      </c>
      <c r="L114" s="72">
        <f t="shared" si="1"/>
        <v>45.551824744083099</v>
      </c>
      <c r="M114" s="1"/>
      <c r="N114" s="1"/>
      <c r="O114" s="1"/>
      <c r="P114" s="1"/>
      <c r="Q114" s="1"/>
      <c r="R114" s="1"/>
      <c r="S114" s="1"/>
    </row>
    <row r="115" spans="1:19" s="2" customFormat="1" ht="18.5" x14ac:dyDescent="0.45">
      <c r="A115" s="58" t="s">
        <v>65</v>
      </c>
      <c r="B115" s="61">
        <v>45534</v>
      </c>
      <c r="C115" s="58">
        <v>42</v>
      </c>
      <c r="D115" s="58">
        <v>6</v>
      </c>
      <c r="E115" s="58">
        <v>4</v>
      </c>
      <c r="F115" s="62" t="s">
        <v>47</v>
      </c>
      <c r="G115" s="63" t="s">
        <v>3</v>
      </c>
      <c r="H115" s="63" t="s">
        <v>0</v>
      </c>
      <c r="I115" s="64"/>
      <c r="J115" s="58"/>
      <c r="K115" s="65">
        <v>4312.3632385120345</v>
      </c>
      <c r="L115" s="72">
        <f t="shared" si="1"/>
        <v>73.855416383711855</v>
      </c>
      <c r="M115" s="1"/>
      <c r="N115" s="1"/>
      <c r="O115" s="1"/>
      <c r="P115" s="1"/>
      <c r="Q115" s="1"/>
      <c r="R115" s="1"/>
      <c r="S115" s="1"/>
    </row>
    <row r="116" spans="1:19" s="2" customFormat="1" ht="18.5" x14ac:dyDescent="0.45">
      <c r="A116" s="58" t="s">
        <v>65</v>
      </c>
      <c r="B116" s="61">
        <v>45534</v>
      </c>
      <c r="C116" s="58">
        <v>43</v>
      </c>
      <c r="D116" s="58">
        <v>7</v>
      </c>
      <c r="E116" s="58">
        <v>4</v>
      </c>
      <c r="F116" s="62" t="s">
        <v>49</v>
      </c>
      <c r="G116" s="63" t="s">
        <v>1</v>
      </c>
      <c r="H116" s="63" t="s">
        <v>0</v>
      </c>
      <c r="I116" s="64"/>
      <c r="J116" s="58"/>
      <c r="K116" s="65">
        <v>2979.2122538293206</v>
      </c>
      <c r="L116" s="72">
        <f t="shared" si="1"/>
        <v>51.023290324203309</v>
      </c>
      <c r="M116" s="1"/>
      <c r="N116" s="1"/>
      <c r="O116" s="1"/>
      <c r="P116" s="1"/>
      <c r="Q116" s="1"/>
      <c r="R116" s="1"/>
      <c r="S116" s="1"/>
    </row>
    <row r="117" spans="1:19" s="2" customFormat="1" ht="18.5" x14ac:dyDescent="0.45">
      <c r="A117" s="58" t="s">
        <v>65</v>
      </c>
      <c r="B117" s="61">
        <v>45534</v>
      </c>
      <c r="C117" s="58">
        <v>44</v>
      </c>
      <c r="D117" s="58">
        <v>8</v>
      </c>
      <c r="E117" s="58">
        <v>4</v>
      </c>
      <c r="F117" s="62" t="s">
        <v>51</v>
      </c>
      <c r="G117" s="63" t="s">
        <v>1</v>
      </c>
      <c r="H117" s="63" t="s">
        <v>0</v>
      </c>
      <c r="I117" s="64"/>
      <c r="J117" s="58"/>
      <c r="K117" s="65">
        <v>4120.3501094091898</v>
      </c>
      <c r="L117" s="72">
        <f t="shared" si="1"/>
        <v>70.566915666893024</v>
      </c>
      <c r="M117" s="1"/>
      <c r="N117" s="1"/>
      <c r="O117" s="1"/>
      <c r="P117" s="1"/>
      <c r="Q117" s="1"/>
      <c r="R117" s="1"/>
      <c r="S117" s="1"/>
    </row>
    <row r="118" spans="1:19" s="2" customFormat="1" ht="18.5" x14ac:dyDescent="0.45">
      <c r="A118" s="58" t="s">
        <v>65</v>
      </c>
      <c r="B118" s="61">
        <v>45534</v>
      </c>
      <c r="C118" s="58">
        <v>45</v>
      </c>
      <c r="D118" s="58">
        <v>9</v>
      </c>
      <c r="E118" s="58">
        <v>4</v>
      </c>
      <c r="F118" s="58" t="s">
        <v>27</v>
      </c>
      <c r="G118" s="63" t="s">
        <v>3</v>
      </c>
      <c r="H118" s="63" t="s">
        <v>2</v>
      </c>
      <c r="I118" s="64">
        <v>0.40412033333333336</v>
      </c>
      <c r="J118" s="64">
        <v>34.063333333333333</v>
      </c>
      <c r="K118" s="65">
        <v>3164.1137855579868</v>
      </c>
      <c r="L118" s="72">
        <f t="shared" si="1"/>
        <v>54.189994718177019</v>
      </c>
      <c r="M118" s="1"/>
      <c r="N118" s="1"/>
      <c r="O118" s="1"/>
      <c r="P118" s="1"/>
      <c r="Q118" s="1"/>
      <c r="R118" s="1"/>
      <c r="S118" s="1"/>
    </row>
    <row r="119" spans="1:19" s="2" customFormat="1" ht="18.5" x14ac:dyDescent="0.45">
      <c r="A119" s="58" t="s">
        <v>65</v>
      </c>
      <c r="B119" s="61">
        <v>45534</v>
      </c>
      <c r="C119" s="58">
        <v>46</v>
      </c>
      <c r="D119" s="58">
        <v>10</v>
      </c>
      <c r="E119" s="58">
        <v>4</v>
      </c>
      <c r="F119" s="58" t="s">
        <v>28</v>
      </c>
      <c r="G119" s="63" t="s">
        <v>3</v>
      </c>
      <c r="H119" s="63" t="s">
        <v>0</v>
      </c>
      <c r="I119" s="64">
        <v>0.31040733333333331</v>
      </c>
      <c r="J119" s="64">
        <v>32.773333333333333</v>
      </c>
      <c r="K119" s="65">
        <v>922.86652078774625</v>
      </c>
      <c r="L119" s="72">
        <f t="shared" si="1"/>
        <v>15.805415126134964</v>
      </c>
      <c r="M119" s="1"/>
      <c r="N119" s="1"/>
      <c r="O119" s="1"/>
      <c r="P119" s="1"/>
      <c r="Q119" s="1"/>
      <c r="R119" s="1"/>
      <c r="S119" s="1"/>
    </row>
    <row r="120" spans="1:19" s="2" customFormat="1" ht="18.5" x14ac:dyDescent="0.45">
      <c r="A120" s="58" t="s">
        <v>65</v>
      </c>
      <c r="B120" s="61">
        <v>45534</v>
      </c>
      <c r="C120" s="58">
        <v>47</v>
      </c>
      <c r="D120" s="58">
        <v>11</v>
      </c>
      <c r="E120" s="58">
        <v>4</v>
      </c>
      <c r="F120" s="58" t="s">
        <v>29</v>
      </c>
      <c r="G120" s="63" t="s">
        <v>4</v>
      </c>
      <c r="H120" s="63" t="s">
        <v>2</v>
      </c>
      <c r="I120" s="64">
        <v>0.86694066666666669</v>
      </c>
      <c r="J120" s="64">
        <v>31.096666666666664</v>
      </c>
      <c r="K120" s="65">
        <v>2830.9628008752738</v>
      </c>
      <c r="L120" s="72">
        <f t="shared" si="1"/>
        <v>48.48430544027768</v>
      </c>
      <c r="M120" s="1"/>
      <c r="N120" s="1"/>
      <c r="O120" s="1"/>
      <c r="P120" s="1"/>
      <c r="Q120" s="1"/>
      <c r="R120" s="1"/>
      <c r="S120" s="1"/>
    </row>
    <row r="121" spans="1:19" s="2" customFormat="1" ht="18.5" x14ac:dyDescent="0.45">
      <c r="A121" s="58" t="s">
        <v>65</v>
      </c>
      <c r="B121" s="61">
        <v>45534</v>
      </c>
      <c r="C121" s="58">
        <v>48</v>
      </c>
      <c r="D121" s="58">
        <v>12</v>
      </c>
      <c r="E121" s="58">
        <v>4</v>
      </c>
      <c r="F121" s="62" t="s">
        <v>30</v>
      </c>
      <c r="G121" s="63" t="s">
        <v>3</v>
      </c>
      <c r="H121" s="63" t="s">
        <v>2</v>
      </c>
      <c r="I121" s="64">
        <v>0.95822066666666661</v>
      </c>
      <c r="J121" s="64">
        <v>32.9</v>
      </c>
      <c r="K121" s="65">
        <v>3277.8993435448579</v>
      </c>
      <c r="L121" s="72">
        <f t="shared" si="1"/>
        <v>56.13873588369929</v>
      </c>
      <c r="M121" s="1"/>
      <c r="N121" s="1"/>
      <c r="O121" s="1"/>
      <c r="P121" s="1"/>
      <c r="Q121" s="1"/>
      <c r="R121" s="1"/>
      <c r="S121" s="1"/>
    </row>
    <row r="122" spans="1:19" s="2" customFormat="1" ht="18.5" x14ac:dyDescent="0.45">
      <c r="A122" s="58" t="s">
        <v>65</v>
      </c>
      <c r="B122" s="61">
        <v>45534</v>
      </c>
      <c r="C122" s="58">
        <v>49</v>
      </c>
      <c r="D122" s="58">
        <v>1</v>
      </c>
      <c r="E122" s="58">
        <v>5</v>
      </c>
      <c r="F122" s="66" t="s">
        <v>28</v>
      </c>
      <c r="G122" s="63" t="s">
        <v>4</v>
      </c>
      <c r="H122" s="63" t="s">
        <v>2</v>
      </c>
      <c r="I122" s="64">
        <v>0.55041799999999996</v>
      </c>
      <c r="J122" s="64">
        <v>33.199999999999996</v>
      </c>
      <c r="K122" s="65">
        <v>1377.4617067833699</v>
      </c>
      <c r="L122" s="72">
        <f t="shared" si="1"/>
        <v>23.591010840312887</v>
      </c>
      <c r="M122" s="1"/>
      <c r="N122" s="1"/>
      <c r="O122" s="1"/>
      <c r="P122" s="1"/>
      <c r="Q122" s="1"/>
      <c r="R122" s="1"/>
      <c r="S122" s="1"/>
    </row>
    <row r="123" spans="1:19" s="2" customFormat="1" ht="18.5" x14ac:dyDescent="0.45">
      <c r="A123" s="58" t="s">
        <v>65</v>
      </c>
      <c r="B123" s="61">
        <v>45534</v>
      </c>
      <c r="C123" s="58">
        <v>50</v>
      </c>
      <c r="D123" s="58">
        <v>2</v>
      </c>
      <c r="E123" s="58">
        <v>5</v>
      </c>
      <c r="F123" s="62" t="s">
        <v>51</v>
      </c>
      <c r="G123" s="63" t="s">
        <v>1</v>
      </c>
      <c r="H123" s="63" t="s">
        <v>2</v>
      </c>
      <c r="I123" s="64"/>
      <c r="J123" s="58"/>
      <c r="K123" s="65">
        <v>5253.2822757111599</v>
      </c>
      <c r="L123" s="72">
        <f t="shared" si="1"/>
        <v>89.970006790915264</v>
      </c>
      <c r="M123" s="1"/>
      <c r="N123" s="1"/>
      <c r="O123" s="1"/>
      <c r="P123" s="1"/>
      <c r="Q123" s="1"/>
      <c r="R123" s="1"/>
      <c r="S123" s="1"/>
    </row>
    <row r="124" spans="1:19" s="2" customFormat="1" ht="18.5" x14ac:dyDescent="0.45">
      <c r="A124" s="58" t="s">
        <v>65</v>
      </c>
      <c r="B124" s="61">
        <v>45534</v>
      </c>
      <c r="C124" s="58">
        <v>51</v>
      </c>
      <c r="D124" s="58">
        <v>3</v>
      </c>
      <c r="E124" s="58">
        <v>5</v>
      </c>
      <c r="F124" s="66" t="s">
        <v>27</v>
      </c>
      <c r="G124" s="63" t="s">
        <v>3</v>
      </c>
      <c r="H124" s="63" t="s">
        <v>2</v>
      </c>
      <c r="I124" s="64">
        <v>0.48072333333333334</v>
      </c>
      <c r="J124" s="64">
        <v>31.923333333333336</v>
      </c>
      <c r="K124" s="65">
        <v>3196.936542669584</v>
      </c>
      <c r="L124" s="72">
        <f t="shared" si="1"/>
        <v>54.752131592846901</v>
      </c>
      <c r="M124" s="1"/>
      <c r="N124" s="1"/>
      <c r="O124" s="1"/>
      <c r="P124" s="1"/>
      <c r="Q124" s="1"/>
      <c r="R124" s="1"/>
      <c r="S124" s="1"/>
    </row>
    <row r="125" spans="1:19" s="2" customFormat="1" ht="18.5" x14ac:dyDescent="0.45">
      <c r="A125" s="58" t="s">
        <v>65</v>
      </c>
      <c r="B125" s="61">
        <v>45534</v>
      </c>
      <c r="C125" s="58">
        <v>52</v>
      </c>
      <c r="D125" s="58">
        <v>4</v>
      </c>
      <c r="E125" s="58">
        <v>5</v>
      </c>
      <c r="F125" s="58" t="s">
        <v>27</v>
      </c>
      <c r="G125" s="63" t="s">
        <v>3</v>
      </c>
      <c r="H125" s="63" t="s">
        <v>2</v>
      </c>
      <c r="I125" s="64">
        <v>0.85061933333333339</v>
      </c>
      <c r="J125" s="64">
        <v>32.593333333333334</v>
      </c>
      <c r="K125" s="65">
        <v>4379.1028446389491</v>
      </c>
      <c r="L125" s="72">
        <f t="shared" si="1"/>
        <v>74.99842802887396</v>
      </c>
      <c r="M125" s="1"/>
      <c r="N125" s="1"/>
      <c r="O125" s="1"/>
      <c r="P125" s="1"/>
      <c r="Q125" s="1"/>
      <c r="R125" s="1"/>
      <c r="S125" s="1"/>
    </row>
    <row r="126" spans="1:19" s="2" customFormat="1" ht="18.5" x14ac:dyDescent="0.45">
      <c r="A126" s="58" t="s">
        <v>65</v>
      </c>
      <c r="B126" s="61">
        <v>45534</v>
      </c>
      <c r="C126" s="58">
        <v>53</v>
      </c>
      <c r="D126" s="58">
        <v>5</v>
      </c>
      <c r="E126" s="58">
        <v>5</v>
      </c>
      <c r="F126" s="62" t="s">
        <v>49</v>
      </c>
      <c r="G126" s="63" t="s">
        <v>1</v>
      </c>
      <c r="H126" s="63" t="s">
        <v>0</v>
      </c>
      <c r="I126" s="64"/>
      <c r="J126" s="58"/>
      <c r="K126" s="65">
        <v>4084.2450765864328</v>
      </c>
      <c r="L126" s="72">
        <f t="shared" si="1"/>
        <v>69.948565104756142</v>
      </c>
      <c r="M126" s="1"/>
      <c r="N126" s="1"/>
      <c r="O126" s="1"/>
      <c r="P126" s="1"/>
      <c r="Q126" s="1"/>
      <c r="R126" s="1"/>
      <c r="S126" s="1"/>
    </row>
    <row r="127" spans="1:19" s="2" customFormat="1" ht="18.5" x14ac:dyDescent="0.45">
      <c r="A127" s="58" t="s">
        <v>65</v>
      </c>
      <c r="B127" s="61">
        <v>45534</v>
      </c>
      <c r="C127" s="58">
        <v>54</v>
      </c>
      <c r="D127" s="58">
        <v>6</v>
      </c>
      <c r="E127" s="58">
        <v>5</v>
      </c>
      <c r="F127" s="66" t="s">
        <v>26</v>
      </c>
      <c r="G127" s="63" t="s">
        <v>1</v>
      </c>
      <c r="H127" s="63" t="s">
        <v>2</v>
      </c>
      <c r="I127" s="64"/>
      <c r="J127" s="58"/>
      <c r="K127" s="65">
        <v>4579.8687089715531</v>
      </c>
      <c r="L127" s="72">
        <f t="shared" si="1"/>
        <v>78.43683191227143</v>
      </c>
      <c r="M127" s="1"/>
      <c r="N127" s="1"/>
      <c r="O127" s="1"/>
      <c r="P127" s="1"/>
      <c r="Q127" s="1"/>
      <c r="R127" s="1"/>
      <c r="S127" s="1"/>
    </row>
    <row r="128" spans="1:19" s="2" customFormat="1" ht="18.5" x14ac:dyDescent="0.45">
      <c r="A128" s="58" t="s">
        <v>65</v>
      </c>
      <c r="B128" s="61">
        <v>45534</v>
      </c>
      <c r="C128" s="58">
        <v>55</v>
      </c>
      <c r="D128" s="58">
        <v>7</v>
      </c>
      <c r="E128" s="58">
        <v>5</v>
      </c>
      <c r="F128" s="62" t="s">
        <v>45</v>
      </c>
      <c r="G128" s="63" t="s">
        <v>3</v>
      </c>
      <c r="H128" s="63" t="s">
        <v>5</v>
      </c>
      <c r="I128" s="64"/>
      <c r="J128" s="58"/>
      <c r="K128" s="65">
        <v>3208.4245076586431</v>
      </c>
      <c r="L128" s="72">
        <f t="shared" si="1"/>
        <v>54.948879498981356</v>
      </c>
      <c r="M128" s="1"/>
      <c r="N128" s="1"/>
      <c r="O128" s="1"/>
      <c r="P128" s="1"/>
      <c r="Q128" s="1"/>
      <c r="R128" s="1"/>
      <c r="S128" s="1"/>
    </row>
    <row r="129" spans="1:19" s="2" customFormat="1" ht="18.5" x14ac:dyDescent="0.45">
      <c r="A129" s="58" t="s">
        <v>65</v>
      </c>
      <c r="B129" s="61">
        <v>45534</v>
      </c>
      <c r="C129" s="58">
        <v>56</v>
      </c>
      <c r="D129" s="58">
        <v>8</v>
      </c>
      <c r="E129" s="58">
        <v>5</v>
      </c>
      <c r="F129" s="66" t="s">
        <v>29</v>
      </c>
      <c r="G129" s="63" t="s">
        <v>0</v>
      </c>
      <c r="H129" s="63" t="s">
        <v>5</v>
      </c>
      <c r="I129" s="64">
        <v>0.16497533333333333</v>
      </c>
      <c r="J129" s="64">
        <v>32.726666666666667</v>
      </c>
      <c r="K129" s="65">
        <v>3094.6389496717725</v>
      </c>
      <c r="L129" s="72">
        <f t="shared" si="1"/>
        <v>53.000138333459091</v>
      </c>
      <c r="M129" s="1"/>
      <c r="N129" s="1"/>
      <c r="O129" s="1"/>
      <c r="P129" s="1"/>
      <c r="Q129" s="1"/>
      <c r="R129" s="1"/>
      <c r="S129" s="1"/>
    </row>
    <row r="130" spans="1:19" s="2" customFormat="1" ht="18.5" x14ac:dyDescent="0.45">
      <c r="A130" s="58" t="s">
        <v>65</v>
      </c>
      <c r="B130" s="61">
        <v>45534</v>
      </c>
      <c r="C130" s="58">
        <v>57</v>
      </c>
      <c r="D130" s="58">
        <v>9</v>
      </c>
      <c r="E130" s="58">
        <v>5</v>
      </c>
      <c r="F130" s="66" t="s">
        <v>23</v>
      </c>
      <c r="G130" s="63" t="s">
        <v>0</v>
      </c>
      <c r="H130" s="63" t="s">
        <v>2</v>
      </c>
      <c r="I130" s="64">
        <v>0.88494633333333328</v>
      </c>
      <c r="J130" s="64">
        <v>31.603333333333335</v>
      </c>
      <c r="K130" s="65">
        <v>4454.0481400437629</v>
      </c>
      <c r="L130" s="72">
        <f t="shared" si="1"/>
        <v>76.281973892703533</v>
      </c>
      <c r="M130" s="1"/>
      <c r="N130" s="1"/>
      <c r="O130" s="1"/>
      <c r="P130" s="1"/>
      <c r="Q130" s="1"/>
      <c r="R130" s="1"/>
      <c r="S130" s="1"/>
    </row>
    <row r="131" spans="1:19" s="2" customFormat="1" ht="18.5" x14ac:dyDescent="0.45">
      <c r="A131" s="58" t="s">
        <v>65</v>
      </c>
      <c r="B131" s="61">
        <v>45534</v>
      </c>
      <c r="C131" s="58">
        <v>58</v>
      </c>
      <c r="D131" s="58">
        <v>10</v>
      </c>
      <c r="E131" s="58">
        <v>5</v>
      </c>
      <c r="F131" s="66" t="s">
        <v>30</v>
      </c>
      <c r="G131" s="63" t="s">
        <v>4</v>
      </c>
      <c r="H131" s="63" t="s">
        <v>0</v>
      </c>
      <c r="I131" s="64">
        <v>0.86971200000000015</v>
      </c>
      <c r="J131" s="64">
        <v>31.580000000000002</v>
      </c>
      <c r="K131" s="65">
        <v>2572.7571115973742</v>
      </c>
      <c r="L131" s="72">
        <f t="shared" ref="L131:L145" si="2">K131*0.0149/0.87</f>
        <v>44.062162026207901</v>
      </c>
      <c r="M131" s="1"/>
      <c r="N131" s="1"/>
      <c r="O131" s="1"/>
      <c r="P131" s="1"/>
      <c r="Q131" s="1"/>
      <c r="R131" s="1"/>
      <c r="S131" s="1"/>
    </row>
    <row r="132" spans="1:19" s="2" customFormat="1" ht="18.5" x14ac:dyDescent="0.45">
      <c r="A132" s="58" t="s">
        <v>65</v>
      </c>
      <c r="B132" s="61">
        <v>45534</v>
      </c>
      <c r="C132" s="58">
        <v>59</v>
      </c>
      <c r="D132" s="58">
        <v>11</v>
      </c>
      <c r="E132" s="58">
        <v>5</v>
      </c>
      <c r="F132" s="62" t="s">
        <v>47</v>
      </c>
      <c r="G132" s="63" t="s">
        <v>3</v>
      </c>
      <c r="H132" s="63" t="s">
        <v>0</v>
      </c>
      <c r="I132" s="64"/>
      <c r="J132" s="58"/>
      <c r="K132" s="65">
        <v>3689.2778993435445</v>
      </c>
      <c r="L132" s="72">
        <f t="shared" si="2"/>
        <v>63.184184712895195</v>
      </c>
      <c r="M132" s="1"/>
      <c r="N132" s="1"/>
      <c r="O132" s="1"/>
      <c r="P132" s="1"/>
      <c r="Q132" s="1"/>
      <c r="R132" s="1"/>
      <c r="S132" s="1"/>
    </row>
    <row r="133" spans="1:19" s="2" customFormat="1" ht="18.5" x14ac:dyDescent="0.45">
      <c r="A133" s="58" t="s">
        <v>65</v>
      </c>
      <c r="B133" s="61">
        <v>45534</v>
      </c>
      <c r="C133" s="58">
        <v>60</v>
      </c>
      <c r="D133" s="58">
        <v>12</v>
      </c>
      <c r="E133" s="58">
        <v>5</v>
      </c>
      <c r="F133" s="66" t="s">
        <v>30</v>
      </c>
      <c r="G133" s="63" t="s">
        <v>4</v>
      </c>
      <c r="H133" s="63" t="s">
        <v>2</v>
      </c>
      <c r="I133" s="64"/>
      <c r="J133" s="58"/>
      <c r="K133" s="65">
        <v>3242.34135667396</v>
      </c>
      <c r="L133" s="72">
        <f t="shared" si="2"/>
        <v>55.529754269473571</v>
      </c>
      <c r="M133" s="1"/>
      <c r="N133" s="1"/>
      <c r="O133" s="1"/>
      <c r="P133" s="1"/>
      <c r="Q133" s="1"/>
      <c r="R133" s="1"/>
      <c r="S133" s="1"/>
    </row>
    <row r="134" spans="1:19" s="2" customFormat="1" ht="18.5" x14ac:dyDescent="0.45">
      <c r="A134" s="58" t="s">
        <v>65</v>
      </c>
      <c r="B134" s="61">
        <v>45534</v>
      </c>
      <c r="C134" s="58">
        <v>61</v>
      </c>
      <c r="D134" s="58">
        <v>1</v>
      </c>
      <c r="E134" s="58">
        <v>6</v>
      </c>
      <c r="F134" s="66" t="s">
        <v>24</v>
      </c>
      <c r="G134" s="63" t="s">
        <v>4</v>
      </c>
      <c r="H134" s="63" t="s">
        <v>2</v>
      </c>
      <c r="I134" s="64">
        <v>1.0823600000000002</v>
      </c>
      <c r="J134" s="64">
        <v>34.163333333333334</v>
      </c>
      <c r="K134" s="65">
        <v>4652.6258205689273</v>
      </c>
      <c r="L134" s="72">
        <f t="shared" si="2"/>
        <v>79.68290198445635</v>
      </c>
      <c r="M134" s="1"/>
      <c r="N134" s="1"/>
      <c r="O134" s="1"/>
      <c r="P134" s="1"/>
      <c r="Q134" s="1"/>
      <c r="R134" s="1"/>
      <c r="S134" s="1"/>
    </row>
    <row r="135" spans="1:19" s="2" customFormat="1" ht="18.5" x14ac:dyDescent="0.45">
      <c r="A135" s="58" t="s">
        <v>65</v>
      </c>
      <c r="B135" s="61">
        <v>45534</v>
      </c>
      <c r="C135" s="58">
        <v>62</v>
      </c>
      <c r="D135" s="58">
        <v>2</v>
      </c>
      <c r="E135" s="58">
        <v>6</v>
      </c>
      <c r="F135" s="66" t="s">
        <v>23</v>
      </c>
      <c r="G135" s="63" t="s">
        <v>4</v>
      </c>
      <c r="H135" s="63" t="s">
        <v>2</v>
      </c>
      <c r="I135" s="64">
        <v>1.534967</v>
      </c>
      <c r="J135" s="64">
        <v>34.223333333333329</v>
      </c>
      <c r="K135" s="65">
        <v>4184.9015317286648</v>
      </c>
      <c r="L135" s="72">
        <f t="shared" si="2"/>
        <v>71.672451520410476</v>
      </c>
      <c r="M135" s="1"/>
      <c r="N135" s="1"/>
      <c r="O135" s="1"/>
      <c r="P135" s="1"/>
      <c r="Q135" s="1"/>
      <c r="R135" s="1"/>
      <c r="S135" s="1"/>
    </row>
    <row r="136" spans="1:19" s="2" customFormat="1" ht="18.5" x14ac:dyDescent="0.45">
      <c r="A136" s="58" t="s">
        <v>65</v>
      </c>
      <c r="B136" s="61">
        <v>45534</v>
      </c>
      <c r="C136" s="58">
        <v>63</v>
      </c>
      <c r="D136" s="58">
        <v>3</v>
      </c>
      <c r="E136" s="58">
        <v>6</v>
      </c>
      <c r="F136" s="62" t="s">
        <v>51</v>
      </c>
      <c r="G136" s="63" t="s">
        <v>1</v>
      </c>
      <c r="H136" s="63" t="s">
        <v>2</v>
      </c>
      <c r="I136" s="64"/>
      <c r="J136" s="58"/>
      <c r="K136" s="65">
        <v>4450.2188183807439</v>
      </c>
      <c r="L136" s="72">
        <f t="shared" si="2"/>
        <v>76.216391257325384</v>
      </c>
      <c r="M136" s="1"/>
      <c r="N136" s="1"/>
      <c r="O136" s="1"/>
      <c r="P136" s="1"/>
      <c r="Q136" s="1"/>
      <c r="R136" s="1"/>
      <c r="S136" s="1"/>
    </row>
    <row r="137" spans="1:19" s="2" customFormat="1" ht="18.5" x14ac:dyDescent="0.45">
      <c r="A137" s="58" t="s">
        <v>65</v>
      </c>
      <c r="B137" s="61">
        <v>45534</v>
      </c>
      <c r="C137" s="58">
        <v>64</v>
      </c>
      <c r="D137" s="58">
        <v>4</v>
      </c>
      <c r="E137" s="58">
        <v>6</v>
      </c>
      <c r="F137" s="66" t="s">
        <v>27</v>
      </c>
      <c r="G137" s="63" t="s">
        <v>4</v>
      </c>
      <c r="H137" s="63" t="s">
        <v>0</v>
      </c>
      <c r="I137" s="64">
        <v>0.64451233333333324</v>
      </c>
      <c r="J137" s="64">
        <v>35.599999999999994</v>
      </c>
      <c r="K137" s="65">
        <v>2958.4245076586435</v>
      </c>
      <c r="L137" s="72">
        <f t="shared" si="2"/>
        <v>50.667270303579066</v>
      </c>
      <c r="M137" s="1"/>
      <c r="N137" s="1"/>
      <c r="O137" s="1"/>
      <c r="P137" s="1"/>
      <c r="Q137" s="1"/>
      <c r="R137" s="1"/>
      <c r="S137" s="1"/>
    </row>
    <row r="138" spans="1:19" s="2" customFormat="1" ht="18.5" x14ac:dyDescent="0.45">
      <c r="A138" s="58" t="s">
        <v>65</v>
      </c>
      <c r="B138" s="61">
        <v>45534</v>
      </c>
      <c r="C138" s="58">
        <v>65</v>
      </c>
      <c r="D138" s="58">
        <v>5</v>
      </c>
      <c r="E138" s="58">
        <v>6</v>
      </c>
      <c r="F138" s="66" t="s">
        <v>30</v>
      </c>
      <c r="G138" s="63" t="s">
        <v>0</v>
      </c>
      <c r="H138" s="63" t="s">
        <v>2</v>
      </c>
      <c r="I138" s="64">
        <v>0.35928300000000002</v>
      </c>
      <c r="J138" s="64">
        <v>36.403333333333336</v>
      </c>
      <c r="K138" s="65">
        <v>4041.575492341356</v>
      </c>
      <c r="L138" s="72">
        <f t="shared" si="2"/>
        <v>69.217787167685287</v>
      </c>
      <c r="M138" s="1"/>
      <c r="N138" s="1"/>
      <c r="O138" s="1"/>
      <c r="P138" s="1"/>
      <c r="Q138" s="1"/>
      <c r="R138" s="1"/>
      <c r="S138" s="1"/>
    </row>
    <row r="139" spans="1:19" s="2" customFormat="1" ht="18.5" x14ac:dyDescent="0.45">
      <c r="A139" s="58" t="s">
        <v>65</v>
      </c>
      <c r="B139" s="61">
        <v>45534</v>
      </c>
      <c r="C139" s="58">
        <v>66</v>
      </c>
      <c r="D139" s="58">
        <v>6</v>
      </c>
      <c r="E139" s="58">
        <v>6</v>
      </c>
      <c r="F139" s="58" t="s">
        <v>29</v>
      </c>
      <c r="G139" s="63" t="s">
        <v>1</v>
      </c>
      <c r="H139" s="63" t="s">
        <v>2</v>
      </c>
      <c r="I139" s="64">
        <v>1.0779983333333334</v>
      </c>
      <c r="J139" s="64">
        <v>36.199999999999996</v>
      </c>
      <c r="K139" s="65">
        <v>2670.6783369803061</v>
      </c>
      <c r="L139" s="72">
        <f t="shared" si="2"/>
        <v>45.739203702306391</v>
      </c>
      <c r="M139" s="1"/>
      <c r="N139" s="1"/>
      <c r="O139" s="1"/>
      <c r="P139" s="1"/>
      <c r="Q139" s="1"/>
      <c r="R139" s="1"/>
      <c r="S139" s="1"/>
    </row>
    <row r="140" spans="1:19" s="2" customFormat="1" ht="18.5" x14ac:dyDescent="0.45">
      <c r="A140" s="58" t="s">
        <v>65</v>
      </c>
      <c r="B140" s="61">
        <v>45534</v>
      </c>
      <c r="C140" s="58">
        <v>67</v>
      </c>
      <c r="D140" s="58">
        <v>7</v>
      </c>
      <c r="E140" s="58">
        <v>6</v>
      </c>
      <c r="F140" s="66" t="s">
        <v>28</v>
      </c>
      <c r="G140" s="63" t="s">
        <v>3</v>
      </c>
      <c r="H140" s="63" t="s">
        <v>0</v>
      </c>
      <c r="I140" s="64">
        <v>0.50997233333333336</v>
      </c>
      <c r="J140" s="64">
        <v>34.196666666666665</v>
      </c>
      <c r="K140" s="65">
        <v>2442.5601750547044</v>
      </c>
      <c r="L140" s="72">
        <f t="shared" si="2"/>
        <v>41.832352423350684</v>
      </c>
      <c r="M140" s="1"/>
      <c r="N140" s="1"/>
      <c r="O140" s="1"/>
      <c r="P140" s="1"/>
      <c r="Q140" s="1"/>
      <c r="R140" s="1"/>
      <c r="S140" s="1"/>
    </row>
    <row r="141" spans="1:19" s="2" customFormat="1" ht="18.5" x14ac:dyDescent="0.45">
      <c r="A141" s="58" t="s">
        <v>65</v>
      </c>
      <c r="B141" s="61">
        <v>45534</v>
      </c>
      <c r="C141" s="58">
        <v>68</v>
      </c>
      <c r="D141" s="58">
        <v>8</v>
      </c>
      <c r="E141" s="58">
        <v>6</v>
      </c>
      <c r="F141" s="58" t="s">
        <v>25</v>
      </c>
      <c r="G141" s="63" t="s">
        <v>3</v>
      </c>
      <c r="H141" s="63" t="s">
        <v>2</v>
      </c>
      <c r="I141" s="64"/>
      <c r="J141" s="58"/>
      <c r="K141" s="65">
        <v>4363.2385120350109</v>
      </c>
      <c r="L141" s="72">
        <f t="shared" si="2"/>
        <v>74.726728539450193</v>
      </c>
      <c r="M141" s="1"/>
      <c r="N141" s="1"/>
      <c r="O141" s="1"/>
      <c r="P141" s="1"/>
      <c r="Q141" s="1"/>
      <c r="R141" s="1"/>
      <c r="S141" s="1"/>
    </row>
    <row r="142" spans="1:19" s="2" customFormat="1" ht="18.5" x14ac:dyDescent="0.45">
      <c r="A142" s="58" t="s">
        <v>65</v>
      </c>
      <c r="B142" s="61">
        <v>45534</v>
      </c>
      <c r="C142" s="58">
        <v>69</v>
      </c>
      <c r="D142" s="58">
        <v>9</v>
      </c>
      <c r="E142" s="58">
        <v>6</v>
      </c>
      <c r="F142" s="66" t="s">
        <v>26</v>
      </c>
      <c r="G142" s="63" t="s">
        <v>3</v>
      </c>
      <c r="H142" s="63" t="s">
        <v>2</v>
      </c>
      <c r="I142" s="58"/>
      <c r="J142" s="58"/>
      <c r="K142" s="65">
        <v>3097.3741794310722</v>
      </c>
      <c r="L142" s="72">
        <f t="shared" si="2"/>
        <v>53.046983073014914</v>
      </c>
      <c r="M142" s="1"/>
      <c r="N142" s="1"/>
      <c r="O142" s="1"/>
      <c r="P142" s="1"/>
      <c r="Q142" s="1"/>
      <c r="R142" s="1"/>
      <c r="S142" s="1"/>
    </row>
    <row r="143" spans="1:19" s="2" customFormat="1" ht="18.5" x14ac:dyDescent="0.45">
      <c r="A143" s="58" t="s">
        <v>65</v>
      </c>
      <c r="B143" s="61">
        <v>45534</v>
      </c>
      <c r="C143" s="58">
        <v>70</v>
      </c>
      <c r="D143" s="58">
        <v>10</v>
      </c>
      <c r="E143" s="58">
        <v>6</v>
      </c>
      <c r="F143" s="62" t="s">
        <v>47</v>
      </c>
      <c r="G143" s="63" t="s">
        <v>1</v>
      </c>
      <c r="H143" s="63" t="s">
        <v>0</v>
      </c>
      <c r="I143" s="58"/>
      <c r="J143" s="58"/>
      <c r="K143" s="65">
        <v>3602.2975929978115</v>
      </c>
      <c r="L143" s="72">
        <f t="shared" si="2"/>
        <v>61.69452199501999</v>
      </c>
      <c r="M143" s="1"/>
      <c r="N143" s="1"/>
      <c r="O143" s="1"/>
      <c r="P143" s="1"/>
      <c r="Q143" s="1"/>
      <c r="R143" s="1"/>
      <c r="S143" s="1"/>
    </row>
    <row r="144" spans="1:19" x14ac:dyDescent="0.35">
      <c r="A144" s="58" t="s">
        <v>65</v>
      </c>
      <c r="B144" s="61">
        <v>45534</v>
      </c>
      <c r="C144" s="58">
        <v>71</v>
      </c>
      <c r="D144" s="58">
        <v>11</v>
      </c>
      <c r="E144" s="58">
        <v>6</v>
      </c>
      <c r="F144" s="62" t="s">
        <v>45</v>
      </c>
      <c r="G144" s="63" t="s">
        <v>3</v>
      </c>
      <c r="H144" s="63" t="s">
        <v>2</v>
      </c>
      <c r="K144" s="65">
        <v>4084.7921225382929</v>
      </c>
      <c r="L144" s="72">
        <f t="shared" si="2"/>
        <v>69.957934052667312</v>
      </c>
    </row>
    <row r="145" spans="1:12" x14ac:dyDescent="0.35">
      <c r="A145" s="58" t="s">
        <v>65</v>
      </c>
      <c r="B145" s="61">
        <v>45534</v>
      </c>
      <c r="C145" s="58">
        <v>72</v>
      </c>
      <c r="D145" s="58">
        <v>12</v>
      </c>
      <c r="E145" s="58">
        <v>6</v>
      </c>
      <c r="F145" s="62" t="s">
        <v>49</v>
      </c>
      <c r="G145" s="63" t="s">
        <v>1</v>
      </c>
      <c r="H145" s="63" t="s">
        <v>0</v>
      </c>
      <c r="K145" s="65">
        <v>3345.1859956236322</v>
      </c>
      <c r="L145" s="72">
        <f t="shared" si="2"/>
        <v>57.291116476772551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13C79-A1D2-9B4D-B03B-3636CF48B990}">
  <dimension ref="B5:E17"/>
  <sheetViews>
    <sheetView topLeftCell="A7" zoomScale="150" zoomScaleNormal="150" workbookViewId="0">
      <selection activeCell="F8" sqref="F8"/>
    </sheetView>
  </sheetViews>
  <sheetFormatPr defaultColWidth="10.6640625" defaultRowHeight="16" x14ac:dyDescent="0.4"/>
  <sheetData>
    <row r="5" spans="2:5" x14ac:dyDescent="0.4">
      <c r="B5" s="43" t="s">
        <v>31</v>
      </c>
      <c r="C5" s="43" t="s">
        <v>32</v>
      </c>
      <c r="D5" s="43" t="s">
        <v>33</v>
      </c>
      <c r="E5" s="43" t="s">
        <v>34</v>
      </c>
    </row>
    <row r="6" spans="2:5" x14ac:dyDescent="0.4">
      <c r="B6" s="44" t="s">
        <v>35</v>
      </c>
      <c r="C6" s="45" t="s">
        <v>36</v>
      </c>
      <c r="D6" s="46" t="s">
        <v>23</v>
      </c>
      <c r="E6" s="43" t="s">
        <v>37</v>
      </c>
    </row>
    <row r="7" spans="2:5" x14ac:dyDescent="0.4">
      <c r="B7" s="44" t="s">
        <v>38</v>
      </c>
      <c r="C7" s="45" t="s">
        <v>36</v>
      </c>
      <c r="D7" s="46" t="s">
        <v>24</v>
      </c>
      <c r="E7" s="43" t="s">
        <v>39</v>
      </c>
    </row>
    <row r="8" spans="2:5" x14ac:dyDescent="0.4">
      <c r="B8" s="44" t="s">
        <v>40</v>
      </c>
      <c r="C8" s="45" t="s">
        <v>36</v>
      </c>
      <c r="D8" s="46" t="s">
        <v>25</v>
      </c>
      <c r="E8" s="43" t="s">
        <v>41</v>
      </c>
    </row>
    <row r="9" spans="2:5" x14ac:dyDescent="0.4">
      <c r="B9" s="44" t="s">
        <v>42</v>
      </c>
      <c r="C9" s="53" t="s">
        <v>43</v>
      </c>
      <c r="D9" s="54" t="s">
        <v>26</v>
      </c>
      <c r="E9" s="43" t="s">
        <v>37</v>
      </c>
    </row>
    <row r="10" spans="2:5" x14ac:dyDescent="0.4">
      <c r="B10" s="44" t="s">
        <v>44</v>
      </c>
      <c r="C10" s="53" t="s">
        <v>43</v>
      </c>
      <c r="D10" s="54" t="s">
        <v>45</v>
      </c>
      <c r="E10" s="43" t="s">
        <v>39</v>
      </c>
    </row>
    <row r="11" spans="2:5" x14ac:dyDescent="0.4">
      <c r="B11" s="44" t="s">
        <v>46</v>
      </c>
      <c r="C11" s="53" t="s">
        <v>43</v>
      </c>
      <c r="D11" s="54" t="s">
        <v>47</v>
      </c>
      <c r="E11" s="43" t="s">
        <v>39</v>
      </c>
    </row>
    <row r="12" spans="2:5" x14ac:dyDescent="0.4">
      <c r="B12" s="44" t="s">
        <v>48</v>
      </c>
      <c r="C12" s="53" t="s">
        <v>43</v>
      </c>
      <c r="D12" s="54" t="s">
        <v>49</v>
      </c>
      <c r="E12" s="43" t="s">
        <v>41</v>
      </c>
    </row>
    <row r="13" spans="2:5" x14ac:dyDescent="0.4">
      <c r="B13" s="44" t="s">
        <v>50</v>
      </c>
      <c r="C13" s="53" t="s">
        <v>43</v>
      </c>
      <c r="D13" s="54" t="s">
        <v>51</v>
      </c>
      <c r="E13" s="43" t="s">
        <v>41</v>
      </c>
    </row>
    <row r="14" spans="2:5" x14ac:dyDescent="0.4">
      <c r="B14" s="44" t="s">
        <v>52</v>
      </c>
      <c r="C14" s="45" t="s">
        <v>53</v>
      </c>
      <c r="D14" s="46" t="s">
        <v>27</v>
      </c>
      <c r="E14" s="43" t="s">
        <v>37</v>
      </c>
    </row>
    <row r="15" spans="2:5" x14ac:dyDescent="0.4">
      <c r="B15" s="44" t="s">
        <v>54</v>
      </c>
      <c r="C15" s="45" t="s">
        <v>55</v>
      </c>
      <c r="D15" s="46" t="s">
        <v>28</v>
      </c>
      <c r="E15" s="43" t="s">
        <v>37</v>
      </c>
    </row>
    <row r="16" spans="2:5" x14ac:dyDescent="0.4">
      <c r="B16" s="44" t="s">
        <v>56</v>
      </c>
      <c r="C16" s="45" t="s">
        <v>53</v>
      </c>
      <c r="D16" s="46" t="s">
        <v>29</v>
      </c>
      <c r="E16" s="43" t="s">
        <v>37</v>
      </c>
    </row>
    <row r="17" spans="2:5" x14ac:dyDescent="0.4">
      <c r="B17" s="44" t="s">
        <v>57</v>
      </c>
      <c r="C17" s="45" t="s">
        <v>55</v>
      </c>
      <c r="D17" s="46" t="s">
        <v>30</v>
      </c>
      <c r="E17" s="43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9227A-E11E-AB46-A172-A6E28C0F38F0}">
  <dimension ref="A1:W146"/>
  <sheetViews>
    <sheetView workbookViewId="0">
      <pane xSplit="1" topLeftCell="F1" activePane="topRight" state="frozen"/>
      <selection pane="topRight" activeCell="A50" sqref="A50:XFD50"/>
    </sheetView>
  </sheetViews>
  <sheetFormatPr defaultColWidth="10.83203125" defaultRowHeight="18.5" x14ac:dyDescent="0.45"/>
  <cols>
    <col min="1" max="3" width="10.83203125" style="2"/>
    <col min="4" max="4" width="11.6640625" style="2" bestFit="1" customWidth="1"/>
    <col min="5" max="5" width="24.1640625" style="2" customWidth="1"/>
    <col min="6" max="6" width="25" style="2" customWidth="1"/>
    <col min="7" max="9" width="0" style="1" hidden="1" customWidth="1"/>
    <col min="10" max="10" width="14.5" style="1" bestFit="1" customWidth="1"/>
    <col min="11" max="13" width="0" style="1" hidden="1" customWidth="1"/>
    <col min="14" max="14" width="17" style="22" bestFit="1" customWidth="1"/>
    <col min="15" max="17" width="0" style="1" hidden="1" customWidth="1"/>
    <col min="18" max="18" width="15.83203125" style="1" bestFit="1" customWidth="1"/>
    <col min="19" max="21" width="0" style="1" hidden="1" customWidth="1"/>
    <col min="22" max="22" width="22.1640625" style="1" bestFit="1" customWidth="1"/>
    <col min="23" max="16384" width="10.83203125" style="1"/>
  </cols>
  <sheetData>
    <row r="1" spans="1:23" x14ac:dyDescent="0.45">
      <c r="J1" s="21" t="s">
        <v>14</v>
      </c>
      <c r="N1" s="23" t="s">
        <v>19</v>
      </c>
      <c r="R1" s="21" t="s">
        <v>14</v>
      </c>
      <c r="W1" s="21" t="s">
        <v>60</v>
      </c>
    </row>
    <row r="2" spans="1:23" ht="21" x14ac:dyDescent="0.5">
      <c r="A2" s="20" t="s">
        <v>59</v>
      </c>
      <c r="B2" s="20" t="s">
        <v>13</v>
      </c>
      <c r="C2" s="20" t="s">
        <v>12</v>
      </c>
      <c r="D2" s="20" t="s">
        <v>33</v>
      </c>
      <c r="E2" s="19" t="s">
        <v>11</v>
      </c>
      <c r="F2" s="24" t="s">
        <v>10</v>
      </c>
      <c r="G2" s="25" t="s">
        <v>9</v>
      </c>
      <c r="H2" s="25" t="s">
        <v>8</v>
      </c>
      <c r="I2" s="25" t="s">
        <v>7</v>
      </c>
      <c r="J2" s="25" t="s">
        <v>6</v>
      </c>
      <c r="K2" s="25" t="s">
        <v>15</v>
      </c>
      <c r="L2" s="25" t="s">
        <v>16</v>
      </c>
      <c r="M2" s="25" t="s">
        <v>17</v>
      </c>
      <c r="N2" s="26" t="s">
        <v>18</v>
      </c>
      <c r="O2" s="25" t="s">
        <v>9</v>
      </c>
      <c r="P2" s="25" t="s">
        <v>8</v>
      </c>
      <c r="Q2" s="25" t="s">
        <v>7</v>
      </c>
      <c r="R2" s="25" t="s">
        <v>20</v>
      </c>
      <c r="S2" s="25" t="s">
        <v>15</v>
      </c>
      <c r="T2" s="25" t="s">
        <v>16</v>
      </c>
      <c r="U2" s="25" t="s">
        <v>17</v>
      </c>
      <c r="V2" s="26" t="s">
        <v>21</v>
      </c>
      <c r="W2" s="26" t="s">
        <v>58</v>
      </c>
    </row>
    <row r="3" spans="1:23" x14ac:dyDescent="0.45">
      <c r="A3" s="18">
        <v>1</v>
      </c>
      <c r="B3" s="18">
        <v>1</v>
      </c>
      <c r="C3" s="18">
        <v>1</v>
      </c>
      <c r="D3" s="47" t="s">
        <v>23</v>
      </c>
      <c r="E3" s="17" t="s">
        <v>4</v>
      </c>
      <c r="F3" s="16" t="s">
        <v>5</v>
      </c>
      <c r="G3" s="27">
        <v>0.49393500000000001</v>
      </c>
      <c r="H3" s="28">
        <v>1.236</v>
      </c>
      <c r="I3" s="27">
        <v>0.94876700000000003</v>
      </c>
      <c r="J3" s="29">
        <f>+AVERAGE(G3:I3)</f>
        <v>0.89290066666666668</v>
      </c>
      <c r="K3" s="30">
        <v>29.29</v>
      </c>
      <c r="L3" s="30">
        <v>29.07</v>
      </c>
      <c r="M3" s="30">
        <v>29.36</v>
      </c>
      <c r="N3" s="29">
        <f>+AVERAGE(K3:M3)</f>
        <v>29.24</v>
      </c>
      <c r="O3" s="30">
        <v>9.6554000000000001E-2</v>
      </c>
      <c r="P3" s="30">
        <v>0.29482199999999997</v>
      </c>
      <c r="Q3" s="30">
        <v>0.32357000000000002</v>
      </c>
      <c r="R3" s="29">
        <f>+AVERAGE(O3:Q3)</f>
        <v>0.23831533333333332</v>
      </c>
      <c r="S3" s="30">
        <v>25.56</v>
      </c>
      <c r="T3" s="30">
        <v>25.68</v>
      </c>
      <c r="U3" s="30">
        <v>26.03</v>
      </c>
      <c r="V3" s="29">
        <f>+AVERAGE(S3:U3)</f>
        <v>25.756666666666664</v>
      </c>
      <c r="W3" s="36">
        <v>1516.9584245076585</v>
      </c>
    </row>
    <row r="4" spans="1:23" x14ac:dyDescent="0.45">
      <c r="A4" s="15">
        <v>2</v>
      </c>
      <c r="B4" s="15">
        <v>2</v>
      </c>
      <c r="C4" s="15">
        <v>1</v>
      </c>
      <c r="D4" s="48" t="s">
        <v>24</v>
      </c>
      <c r="E4" s="14" t="s">
        <v>4</v>
      </c>
      <c r="F4" s="13" t="s">
        <v>2</v>
      </c>
      <c r="G4" s="27">
        <v>0.54718</v>
      </c>
      <c r="H4" s="27">
        <v>0.64804200000000001</v>
      </c>
      <c r="I4" s="27">
        <v>0.83050900000000005</v>
      </c>
      <c r="J4" s="29">
        <f>+AVERAGE(G4:I4)</f>
        <v>0.67524366666666669</v>
      </c>
      <c r="K4" s="30">
        <v>30.52</v>
      </c>
      <c r="L4" s="30">
        <v>30.08</v>
      </c>
      <c r="M4" s="30">
        <v>29.97</v>
      </c>
      <c r="N4" s="29">
        <f t="shared" ref="N4:N67" si="0">+AVERAGE(K4:M4)</f>
        <v>30.189999999999998</v>
      </c>
      <c r="O4" s="30">
        <v>0.360626</v>
      </c>
      <c r="P4" s="30">
        <v>0.159276</v>
      </c>
      <c r="Q4" s="30">
        <v>0.29651</v>
      </c>
      <c r="R4" s="29">
        <f>+AVERAGE(O4:Q4)</f>
        <v>0.27213733333333329</v>
      </c>
      <c r="S4" s="30">
        <v>26.13</v>
      </c>
      <c r="T4" s="30">
        <v>25.94</v>
      </c>
      <c r="U4" s="30">
        <v>26.32</v>
      </c>
      <c r="V4" s="29">
        <f>+AVERAGE(S4:U4)</f>
        <v>26.13</v>
      </c>
      <c r="W4" s="36">
        <v>1449.671772428884</v>
      </c>
    </row>
    <row r="5" spans="1:23" x14ac:dyDescent="0.45">
      <c r="A5" s="15">
        <v>3</v>
      </c>
      <c r="B5" s="15">
        <v>3</v>
      </c>
      <c r="C5" s="15">
        <v>1</v>
      </c>
      <c r="D5" s="48" t="s">
        <v>25</v>
      </c>
      <c r="E5" s="14" t="s">
        <v>3</v>
      </c>
      <c r="F5" s="13" t="s">
        <v>0</v>
      </c>
      <c r="G5" s="27">
        <v>0.55032599999999998</v>
      </c>
      <c r="H5" s="27">
        <v>0.434473</v>
      </c>
      <c r="I5" s="27">
        <v>0.93393999999999999</v>
      </c>
      <c r="J5" s="29">
        <f>+AVERAGE(G5:I5)</f>
        <v>0.63957966666666666</v>
      </c>
      <c r="K5" s="30">
        <v>31.49</v>
      </c>
      <c r="L5" s="30">
        <v>32.42</v>
      </c>
      <c r="M5" s="30">
        <v>30.43</v>
      </c>
      <c r="N5" s="29">
        <f t="shared" si="0"/>
        <v>31.446666666666669</v>
      </c>
      <c r="O5" s="31"/>
      <c r="P5" s="31"/>
      <c r="Q5" s="31"/>
      <c r="R5" s="31"/>
      <c r="S5" s="31"/>
      <c r="T5" s="31"/>
      <c r="U5" s="31"/>
      <c r="V5" s="31"/>
      <c r="W5" s="36">
        <v>1321.1159737417943</v>
      </c>
    </row>
    <row r="6" spans="1:23" x14ac:dyDescent="0.45">
      <c r="A6" s="15">
        <v>4</v>
      </c>
      <c r="B6" s="15">
        <v>4</v>
      </c>
      <c r="C6" s="15">
        <v>1</v>
      </c>
      <c r="D6" s="48" t="s">
        <v>26</v>
      </c>
      <c r="E6" s="14" t="s">
        <v>3</v>
      </c>
      <c r="F6" s="13" t="s">
        <v>2</v>
      </c>
      <c r="G6" s="27">
        <v>0.76261599999999996</v>
      </c>
      <c r="H6" s="27">
        <v>0.43824400000000002</v>
      </c>
      <c r="I6" s="27">
        <v>0.45080599999999998</v>
      </c>
      <c r="J6" s="29">
        <f>+AVERAGE(G6:I6)</f>
        <v>0.5505553333333334</v>
      </c>
      <c r="K6" s="30">
        <v>30.74</v>
      </c>
      <c r="L6" s="30">
        <v>33.11</v>
      </c>
      <c r="M6" s="30">
        <v>32.79</v>
      </c>
      <c r="N6" s="29">
        <f t="shared" si="0"/>
        <v>32.213333333333331</v>
      </c>
      <c r="O6" s="31"/>
      <c r="P6" s="31"/>
      <c r="Q6" s="31"/>
      <c r="R6" s="31"/>
      <c r="S6" s="31"/>
      <c r="T6" s="31"/>
      <c r="U6" s="31"/>
      <c r="V6" s="31"/>
      <c r="W6" s="36">
        <v>1450.2188183807439</v>
      </c>
    </row>
    <row r="7" spans="1:23" x14ac:dyDescent="0.45">
      <c r="A7" s="15">
        <v>5</v>
      </c>
      <c r="B7" s="15">
        <v>5</v>
      </c>
      <c r="C7" s="15">
        <v>1</v>
      </c>
      <c r="D7" s="57" t="s">
        <v>45</v>
      </c>
      <c r="E7" s="14" t="s">
        <v>3</v>
      </c>
      <c r="F7" s="13" t="s">
        <v>2</v>
      </c>
      <c r="G7" s="31"/>
      <c r="H7" s="31"/>
      <c r="I7" s="31"/>
      <c r="J7" s="32"/>
      <c r="K7" s="31"/>
      <c r="L7" s="31"/>
      <c r="M7" s="31"/>
      <c r="N7" s="33"/>
      <c r="O7" s="31"/>
      <c r="P7" s="31"/>
      <c r="Q7" s="31"/>
      <c r="R7" s="31"/>
      <c r="S7" s="31"/>
      <c r="T7" s="31"/>
      <c r="U7" s="31"/>
      <c r="V7" s="31"/>
      <c r="W7" s="36">
        <v>271.3347921225382</v>
      </c>
    </row>
    <row r="8" spans="1:23" x14ac:dyDescent="0.45">
      <c r="A8" s="15">
        <v>6</v>
      </c>
      <c r="B8" s="15">
        <v>6</v>
      </c>
      <c r="C8" s="15">
        <v>1</v>
      </c>
      <c r="D8" s="57" t="s">
        <v>47</v>
      </c>
      <c r="E8" s="14" t="s">
        <v>1</v>
      </c>
      <c r="F8" s="13" t="s">
        <v>0</v>
      </c>
      <c r="G8" s="31"/>
      <c r="H8" s="31"/>
      <c r="I8" s="31"/>
      <c r="J8" s="32"/>
      <c r="K8" s="31"/>
      <c r="L8" s="31"/>
      <c r="M8" s="31"/>
      <c r="N8" s="33"/>
      <c r="O8" s="31"/>
      <c r="P8" s="31"/>
      <c r="Q8" s="31"/>
      <c r="R8" s="31"/>
      <c r="S8" s="31"/>
      <c r="T8" s="31"/>
      <c r="U8" s="31"/>
      <c r="V8" s="31"/>
      <c r="W8" s="36">
        <v>2586.980306345733</v>
      </c>
    </row>
    <row r="9" spans="1:23" x14ac:dyDescent="0.45">
      <c r="A9" s="15">
        <v>7</v>
      </c>
      <c r="B9" s="15">
        <v>7</v>
      </c>
      <c r="C9" s="15">
        <v>1</v>
      </c>
      <c r="D9" s="57" t="s">
        <v>49</v>
      </c>
      <c r="E9" s="14" t="s">
        <v>1</v>
      </c>
      <c r="F9" s="13" t="s">
        <v>0</v>
      </c>
      <c r="G9" s="31"/>
      <c r="H9" s="31"/>
      <c r="I9" s="31"/>
      <c r="J9" s="32"/>
      <c r="K9" s="31"/>
      <c r="L9" s="31"/>
      <c r="M9" s="31"/>
      <c r="N9" s="33"/>
      <c r="O9" s="31"/>
      <c r="P9" s="31"/>
      <c r="Q9" s="31"/>
      <c r="R9" s="31"/>
      <c r="S9" s="31"/>
      <c r="T9" s="31"/>
      <c r="U9" s="31"/>
      <c r="V9" s="31"/>
      <c r="W9" s="36">
        <v>1771.8818380743983</v>
      </c>
    </row>
    <row r="10" spans="1:23" x14ac:dyDescent="0.45">
      <c r="A10" s="15">
        <v>8</v>
      </c>
      <c r="B10" s="15">
        <v>8</v>
      </c>
      <c r="C10" s="15">
        <v>1</v>
      </c>
      <c r="D10" s="57" t="s">
        <v>51</v>
      </c>
      <c r="E10" s="14" t="s">
        <v>3</v>
      </c>
      <c r="F10" s="13" t="s">
        <v>2</v>
      </c>
      <c r="G10" s="31"/>
      <c r="H10" s="31"/>
      <c r="I10" s="31"/>
      <c r="J10" s="32"/>
      <c r="K10" s="31"/>
      <c r="L10" s="31"/>
      <c r="M10" s="31"/>
      <c r="N10" s="33"/>
      <c r="O10" s="31"/>
      <c r="P10" s="31"/>
      <c r="Q10" s="31"/>
      <c r="R10" s="31"/>
      <c r="S10" s="31"/>
      <c r="T10" s="31"/>
      <c r="U10" s="31"/>
      <c r="V10" s="31"/>
      <c r="W10" s="36">
        <v>1237.9649890590808</v>
      </c>
    </row>
    <row r="11" spans="1:23" x14ac:dyDescent="0.45">
      <c r="A11" s="15">
        <v>9</v>
      </c>
      <c r="B11" s="15">
        <v>9</v>
      </c>
      <c r="C11" s="15">
        <v>1</v>
      </c>
      <c r="D11" s="48" t="s">
        <v>27</v>
      </c>
      <c r="E11" s="14" t="s">
        <v>1</v>
      </c>
      <c r="F11" s="13" t="s">
        <v>2</v>
      </c>
      <c r="G11" s="27">
        <v>0.90991500000000003</v>
      </c>
      <c r="H11" s="27">
        <v>0.64546000000000003</v>
      </c>
      <c r="I11" s="27">
        <v>0.71293499999999999</v>
      </c>
      <c r="J11" s="29">
        <f>+AVERAGE(G11:I11)</f>
        <v>0.75610333333333335</v>
      </c>
      <c r="K11" s="30">
        <v>31</v>
      </c>
      <c r="L11" s="30">
        <v>30.99</v>
      </c>
      <c r="M11" s="30">
        <v>32.590000000000003</v>
      </c>
      <c r="N11" s="29">
        <f t="shared" si="0"/>
        <v>31.526666666666667</v>
      </c>
      <c r="O11" s="30">
        <v>0.85533099999999995</v>
      </c>
      <c r="P11" s="30">
        <v>0.70011000000000001</v>
      </c>
      <c r="Q11" s="30">
        <v>0.230633</v>
      </c>
      <c r="R11" s="29">
        <f>+AVERAGE(O11:Q11)</f>
        <v>0.59535800000000005</v>
      </c>
      <c r="S11" s="30">
        <v>25.88</v>
      </c>
      <c r="T11" s="30">
        <v>26.35</v>
      </c>
      <c r="U11" s="30">
        <v>28.14</v>
      </c>
      <c r="V11" s="29">
        <f>+AVERAGE(S11:U11)</f>
        <v>26.790000000000003</v>
      </c>
      <c r="W11" s="36">
        <v>952.95404814004382</v>
      </c>
    </row>
    <row r="12" spans="1:23" x14ac:dyDescent="0.45">
      <c r="A12" s="15">
        <v>10</v>
      </c>
      <c r="B12" s="15">
        <v>10</v>
      </c>
      <c r="C12" s="15">
        <v>1</v>
      </c>
      <c r="D12" s="48" t="s">
        <v>28</v>
      </c>
      <c r="E12" s="14" t="s">
        <v>1</v>
      </c>
      <c r="F12" s="13" t="s">
        <v>5</v>
      </c>
      <c r="G12" s="27">
        <v>1.9116000000000001E-2</v>
      </c>
      <c r="H12" s="27">
        <v>6.5955E-2</v>
      </c>
      <c r="I12" s="27">
        <v>3.7020999999999998E-2</v>
      </c>
      <c r="J12" s="29">
        <f>+AVERAGE(G12:I12)</f>
        <v>4.0697333333333335E-2</v>
      </c>
      <c r="K12" s="30">
        <v>34.11</v>
      </c>
      <c r="L12" s="30">
        <v>34.090000000000003</v>
      </c>
      <c r="M12" s="30">
        <v>33.99</v>
      </c>
      <c r="N12" s="29">
        <f t="shared" si="0"/>
        <v>34.063333333333333</v>
      </c>
      <c r="O12" s="30">
        <v>0.20927899999999999</v>
      </c>
      <c r="P12" s="30">
        <v>0.81178300000000003</v>
      </c>
      <c r="Q12" s="30">
        <v>0.27840900000000002</v>
      </c>
      <c r="R12" s="29">
        <f t="shared" ref="R12:R18" si="1">+AVERAGE(O12:Q12)</f>
        <v>0.43315700000000001</v>
      </c>
      <c r="S12" s="30">
        <v>27.71</v>
      </c>
      <c r="T12" s="30">
        <v>26.61</v>
      </c>
      <c r="U12" s="30">
        <v>27.82</v>
      </c>
      <c r="V12" s="29">
        <f>+AVERAGE(S12:U12)</f>
        <v>27.38</v>
      </c>
      <c r="W12" s="36">
        <v>856.12691466083152</v>
      </c>
    </row>
    <row r="13" spans="1:23" x14ac:dyDescent="0.45">
      <c r="A13" s="15">
        <v>11</v>
      </c>
      <c r="B13" s="15">
        <v>11</v>
      </c>
      <c r="C13" s="15">
        <v>1</v>
      </c>
      <c r="D13" s="48" t="s">
        <v>29</v>
      </c>
      <c r="E13" s="14" t="s">
        <v>4</v>
      </c>
      <c r="F13" s="13" t="s">
        <v>0</v>
      </c>
      <c r="G13" s="27">
        <v>3.4138000000000002E-2</v>
      </c>
      <c r="H13" s="27">
        <v>4.2376999999999998E-2</v>
      </c>
      <c r="I13" s="27">
        <v>3.0839999999999999E-2</v>
      </c>
      <c r="J13" s="29">
        <f>+AVERAGE(G13:I13)</f>
        <v>3.5785000000000004E-2</v>
      </c>
      <c r="K13" s="30">
        <v>32.08</v>
      </c>
      <c r="L13" s="30">
        <v>33.880000000000003</v>
      </c>
      <c r="M13" s="30">
        <v>33.090000000000003</v>
      </c>
      <c r="N13" s="29">
        <f t="shared" si="0"/>
        <v>33.016666666666673</v>
      </c>
      <c r="O13" s="30">
        <v>0.19466900000000001</v>
      </c>
      <c r="P13" s="30">
        <v>0.40301500000000001</v>
      </c>
      <c r="Q13" s="39">
        <v>1.3693360000000001</v>
      </c>
      <c r="R13" s="29">
        <f t="shared" si="1"/>
        <v>0.65567333333333344</v>
      </c>
      <c r="S13" s="30">
        <v>27.94</v>
      </c>
      <c r="T13" s="30">
        <v>27.44</v>
      </c>
      <c r="U13" s="30">
        <v>27.18</v>
      </c>
      <c r="V13" s="29">
        <f t="shared" ref="V13:V15" si="2">+AVERAGE(S13:U13)</f>
        <v>27.52</v>
      </c>
      <c r="W13" s="36">
        <v>910.83150984682698</v>
      </c>
    </row>
    <row r="14" spans="1:23" x14ac:dyDescent="0.45">
      <c r="A14" s="15">
        <v>12</v>
      </c>
      <c r="B14" s="15">
        <v>12</v>
      </c>
      <c r="C14" s="15">
        <v>1</v>
      </c>
      <c r="D14" s="48" t="s">
        <v>30</v>
      </c>
      <c r="E14" s="14" t="s">
        <v>3</v>
      </c>
      <c r="F14" s="13" t="s">
        <v>5</v>
      </c>
      <c r="G14" s="27">
        <v>5.2091999999999999E-2</v>
      </c>
      <c r="H14" s="27">
        <v>6.1976000000000003E-2</v>
      </c>
      <c r="I14" s="27">
        <v>4.4268000000000002E-2</v>
      </c>
      <c r="J14" s="29">
        <f>+AVERAGE(G14:I14)</f>
        <v>5.2778666666666668E-2</v>
      </c>
      <c r="K14" s="30">
        <v>31.75</v>
      </c>
      <c r="L14" s="30">
        <v>32.21</v>
      </c>
      <c r="M14" s="30">
        <v>31.95</v>
      </c>
      <c r="N14" s="29">
        <f t="shared" si="0"/>
        <v>31.97</v>
      </c>
      <c r="O14" s="30">
        <v>0.94388799999999995</v>
      </c>
      <c r="P14" s="30">
        <v>0.88123499999999999</v>
      </c>
      <c r="Q14" s="30">
        <v>0.37139800000000001</v>
      </c>
      <c r="R14" s="29">
        <f t="shared" si="1"/>
        <v>0.73217366666666672</v>
      </c>
      <c r="S14" s="30">
        <v>27.24</v>
      </c>
      <c r="T14" s="30">
        <v>27.36</v>
      </c>
      <c r="U14" s="30">
        <v>27.5</v>
      </c>
      <c r="V14" s="29">
        <f t="shared" si="2"/>
        <v>27.366666666666664</v>
      </c>
      <c r="W14" s="36">
        <v>1498.90590809628</v>
      </c>
    </row>
    <row r="15" spans="1:23" x14ac:dyDescent="0.45">
      <c r="A15" s="15">
        <v>13</v>
      </c>
      <c r="B15" s="15">
        <v>1</v>
      </c>
      <c r="C15" s="15">
        <v>2</v>
      </c>
      <c r="D15" s="49" t="s">
        <v>28</v>
      </c>
      <c r="E15" s="14" t="s">
        <v>3</v>
      </c>
      <c r="F15" s="13" t="s">
        <v>0</v>
      </c>
      <c r="G15" s="27">
        <v>4.2775000000000001E-2</v>
      </c>
      <c r="H15" s="27">
        <v>2.1687999999999999E-2</v>
      </c>
      <c r="I15" s="27">
        <v>8.1614000000000006E-2</v>
      </c>
      <c r="J15" s="29">
        <f>+AVERAGE(G15:I15)</f>
        <v>4.8692333333333337E-2</v>
      </c>
      <c r="K15" s="30">
        <v>32.81</v>
      </c>
      <c r="L15" s="30">
        <v>33.549999999999997</v>
      </c>
      <c r="M15" s="30">
        <v>31.31</v>
      </c>
      <c r="N15" s="29">
        <f t="shared" si="0"/>
        <v>32.556666666666665</v>
      </c>
      <c r="O15" s="30">
        <v>0.118801</v>
      </c>
      <c r="P15" s="30">
        <v>0.14762800000000001</v>
      </c>
      <c r="Q15" s="30">
        <v>0.12350899999999999</v>
      </c>
      <c r="R15" s="29">
        <f t="shared" si="1"/>
        <v>0.12997933333333334</v>
      </c>
      <c r="S15" s="30">
        <v>29.08</v>
      </c>
      <c r="T15" s="30">
        <v>29.39</v>
      </c>
      <c r="U15" s="30">
        <v>29.25</v>
      </c>
      <c r="V15" s="29">
        <f t="shared" si="2"/>
        <v>29.24</v>
      </c>
      <c r="W15" s="36">
        <v>586.43326039387307</v>
      </c>
    </row>
    <row r="16" spans="1:23" x14ac:dyDescent="0.45">
      <c r="A16" s="15">
        <v>14</v>
      </c>
      <c r="B16" s="15">
        <v>2</v>
      </c>
      <c r="C16" s="15">
        <v>2</v>
      </c>
      <c r="D16" s="57" t="s">
        <v>51</v>
      </c>
      <c r="E16" s="14" t="s">
        <v>1</v>
      </c>
      <c r="F16" s="13" t="s">
        <v>2</v>
      </c>
      <c r="G16" s="31"/>
      <c r="H16" s="31"/>
      <c r="I16" s="31"/>
      <c r="J16" s="32"/>
      <c r="K16" s="34"/>
      <c r="L16" s="31"/>
      <c r="M16" s="31"/>
      <c r="N16" s="33"/>
      <c r="O16" s="31"/>
      <c r="P16" s="31"/>
      <c r="Q16" s="31"/>
      <c r="R16" s="31"/>
      <c r="S16" s="31"/>
      <c r="T16" s="31"/>
      <c r="U16" s="31"/>
      <c r="V16" s="31"/>
      <c r="W16" s="36">
        <v>1647.1553610503283</v>
      </c>
    </row>
    <row r="17" spans="1:23" x14ac:dyDescent="0.45">
      <c r="A17" s="15">
        <v>15</v>
      </c>
      <c r="B17" s="15">
        <v>3</v>
      </c>
      <c r="C17" s="15">
        <v>2</v>
      </c>
      <c r="D17" s="49" t="s">
        <v>27</v>
      </c>
      <c r="E17" s="14" t="s">
        <v>1</v>
      </c>
      <c r="F17" s="13" t="s">
        <v>2</v>
      </c>
      <c r="G17" s="27">
        <v>3.2378999999999998E-2</v>
      </c>
      <c r="H17" s="27">
        <v>1.8626E-2</v>
      </c>
      <c r="I17" s="27">
        <v>9.3448000000000003E-2</v>
      </c>
      <c r="J17" s="29">
        <f>+AVERAGE(G17:I17)</f>
        <v>4.8150999999999999E-2</v>
      </c>
      <c r="K17" s="30">
        <v>33.130000000000003</v>
      </c>
      <c r="L17" s="30">
        <v>33.19</v>
      </c>
      <c r="M17" s="30">
        <v>31.99</v>
      </c>
      <c r="N17" s="29">
        <f t="shared" si="0"/>
        <v>32.769999999999996</v>
      </c>
      <c r="O17" s="30">
        <v>0.165467</v>
      </c>
      <c r="P17" s="30">
        <v>0.222882</v>
      </c>
      <c r="Q17" s="30">
        <v>0.12784499999999999</v>
      </c>
      <c r="R17" s="29">
        <f t="shared" si="1"/>
        <v>0.17206466666666667</v>
      </c>
      <c r="S17" s="30">
        <v>29.66</v>
      </c>
      <c r="T17" s="30">
        <v>29.63</v>
      </c>
      <c r="U17" s="30">
        <v>30.05</v>
      </c>
      <c r="V17" s="29">
        <f>+AVERAGE(S17:U17)</f>
        <v>29.78</v>
      </c>
      <c r="W17" s="36">
        <v>1360.5032822757114</v>
      </c>
    </row>
    <row r="18" spans="1:23" x14ac:dyDescent="0.45">
      <c r="A18" s="15">
        <v>16</v>
      </c>
      <c r="B18" s="15">
        <v>4</v>
      </c>
      <c r="C18" s="15">
        <v>2</v>
      </c>
      <c r="D18" s="49" t="s">
        <v>24</v>
      </c>
      <c r="E18" s="14" t="s">
        <v>0</v>
      </c>
      <c r="F18" s="13" t="s">
        <v>2</v>
      </c>
      <c r="G18" s="27">
        <v>2.3661000000000001E-2</v>
      </c>
      <c r="H18" s="27">
        <v>3.4405999999999999E-2</v>
      </c>
      <c r="I18" s="27">
        <v>1.8727000000000001E-2</v>
      </c>
      <c r="J18" s="29">
        <f>+AVERAGE(G18:I18)</f>
        <v>2.5597999999999999E-2</v>
      </c>
      <c r="K18" s="30">
        <v>33.25</v>
      </c>
      <c r="L18" s="30">
        <v>33.36</v>
      </c>
      <c r="M18" s="30">
        <v>32.14</v>
      </c>
      <c r="N18" s="29">
        <f t="shared" si="0"/>
        <v>32.916666666666664</v>
      </c>
      <c r="O18" s="30">
        <v>0.35787200000000002</v>
      </c>
      <c r="P18" s="30">
        <v>0.134015</v>
      </c>
      <c r="Q18" s="30">
        <v>0.40795900000000002</v>
      </c>
      <c r="R18" s="29">
        <f t="shared" si="1"/>
        <v>0.2999486666666667</v>
      </c>
      <c r="S18" s="30">
        <v>29.16</v>
      </c>
      <c r="T18" s="30">
        <v>30.34</v>
      </c>
      <c r="U18" s="30">
        <v>29.23</v>
      </c>
      <c r="V18" s="29">
        <f>+AVERAGE(S18:U18)</f>
        <v>29.576666666666668</v>
      </c>
      <c r="W18" s="36">
        <v>1636.2144420131292</v>
      </c>
    </row>
    <row r="19" spans="1:23" x14ac:dyDescent="0.45">
      <c r="A19" s="15">
        <v>17</v>
      </c>
      <c r="B19" s="15">
        <v>5</v>
      </c>
      <c r="C19" s="15">
        <v>2</v>
      </c>
      <c r="D19" s="57" t="s">
        <v>49</v>
      </c>
      <c r="E19" s="14" t="s">
        <v>1</v>
      </c>
      <c r="F19" s="13" t="s">
        <v>0</v>
      </c>
      <c r="G19" s="31"/>
      <c r="H19" s="31"/>
      <c r="I19" s="31"/>
      <c r="J19" s="32"/>
      <c r="K19" s="31"/>
      <c r="L19" s="31"/>
      <c r="M19" s="31"/>
      <c r="N19" s="33"/>
      <c r="O19" s="31"/>
      <c r="P19" s="31"/>
      <c r="Q19" s="31"/>
      <c r="R19" s="32"/>
      <c r="S19" s="31"/>
      <c r="T19" s="31"/>
      <c r="U19" s="31"/>
      <c r="V19" s="31"/>
      <c r="W19" s="36">
        <v>1438.1838074398249</v>
      </c>
    </row>
    <row r="20" spans="1:23" x14ac:dyDescent="0.45">
      <c r="A20" s="15">
        <v>18</v>
      </c>
      <c r="B20" s="15">
        <v>6</v>
      </c>
      <c r="C20" s="15">
        <v>2</v>
      </c>
      <c r="D20" s="49" t="s">
        <v>26</v>
      </c>
      <c r="E20" s="14" t="s">
        <v>3</v>
      </c>
      <c r="F20" s="13" t="s">
        <v>2</v>
      </c>
      <c r="G20" s="27">
        <v>2.7654999999999999E-2</v>
      </c>
      <c r="H20" s="27">
        <v>2.7036999999999999E-2</v>
      </c>
      <c r="I20" s="27">
        <v>6.5548999999999996E-2</v>
      </c>
      <c r="J20" s="29">
        <f>+AVERAGE(G20:I20)</f>
        <v>4.0080333333333329E-2</v>
      </c>
      <c r="K20" s="30">
        <v>33.979999999999997</v>
      </c>
      <c r="L20" s="30">
        <v>34.19</v>
      </c>
      <c r="M20" s="30">
        <v>34.18</v>
      </c>
      <c r="N20" s="29">
        <f t="shared" si="0"/>
        <v>34.116666666666667</v>
      </c>
      <c r="O20" s="31"/>
      <c r="P20" s="31"/>
      <c r="Q20" s="31"/>
      <c r="R20" s="32"/>
      <c r="S20" s="31"/>
      <c r="T20" s="31"/>
      <c r="U20" s="31"/>
      <c r="V20" s="31"/>
      <c r="W20" s="36">
        <v>1684.9015317286651</v>
      </c>
    </row>
    <row r="21" spans="1:23" x14ac:dyDescent="0.45">
      <c r="A21" s="15">
        <v>19</v>
      </c>
      <c r="B21" s="15">
        <v>7</v>
      </c>
      <c r="C21" s="15">
        <v>2</v>
      </c>
      <c r="D21" s="57" t="s">
        <v>45</v>
      </c>
      <c r="E21" s="14" t="s">
        <v>4</v>
      </c>
      <c r="F21" s="13" t="s">
        <v>2</v>
      </c>
      <c r="G21" s="31"/>
      <c r="H21" s="31"/>
      <c r="I21" s="31"/>
      <c r="J21" s="32"/>
      <c r="K21" s="31"/>
      <c r="L21" s="31"/>
      <c r="M21" s="31"/>
      <c r="N21" s="33"/>
      <c r="O21" s="31"/>
      <c r="P21" s="31"/>
      <c r="Q21" s="31"/>
      <c r="R21" s="32"/>
      <c r="S21" s="31"/>
      <c r="T21" s="31"/>
      <c r="U21" s="31"/>
      <c r="V21" s="31"/>
      <c r="W21" s="36">
        <v>1712.253829321663</v>
      </c>
    </row>
    <row r="22" spans="1:23" x14ac:dyDescent="0.45">
      <c r="A22" s="15">
        <v>20</v>
      </c>
      <c r="B22" s="15">
        <v>8</v>
      </c>
      <c r="C22" s="15">
        <v>2</v>
      </c>
      <c r="D22" s="49" t="s">
        <v>29</v>
      </c>
      <c r="E22" s="14" t="s">
        <v>0</v>
      </c>
      <c r="F22" s="13" t="s">
        <v>0</v>
      </c>
      <c r="G22" s="27">
        <v>5.5226999999999998E-2</v>
      </c>
      <c r="H22" s="27">
        <v>4.8159E-2</v>
      </c>
      <c r="I22" s="27">
        <v>4.2999999999999997E-2</v>
      </c>
      <c r="J22" s="29">
        <f>+AVERAGE(G22:I22)</f>
        <v>4.8795333333333336E-2</v>
      </c>
      <c r="K22" s="30">
        <v>33.630000000000003</v>
      </c>
      <c r="L22" s="30">
        <v>33.07</v>
      </c>
      <c r="M22" s="30">
        <v>33.94</v>
      </c>
      <c r="N22" s="29">
        <f t="shared" si="0"/>
        <v>33.546666666666667</v>
      </c>
      <c r="O22" s="30">
        <v>0.16649800000000001</v>
      </c>
      <c r="P22" s="30">
        <v>0.42769499999999999</v>
      </c>
      <c r="Q22" s="30">
        <v>0.37587999999999999</v>
      </c>
      <c r="R22" s="29">
        <f t="shared" ref="R22:R24" si="3">+AVERAGE(O22:Q22)</f>
        <v>0.32335766666666665</v>
      </c>
      <c r="S22" s="30">
        <v>30.21</v>
      </c>
      <c r="T22" s="30">
        <v>29.42</v>
      </c>
      <c r="U22" s="30">
        <v>29.25</v>
      </c>
      <c r="V22" s="29">
        <f>+AVERAGE(S22:U22)</f>
        <v>29.626666666666665</v>
      </c>
      <c r="W22" s="36">
        <v>894.96717724288851</v>
      </c>
    </row>
    <row r="23" spans="1:23" x14ac:dyDescent="0.45">
      <c r="A23" s="15">
        <v>21</v>
      </c>
      <c r="B23" s="15">
        <v>9</v>
      </c>
      <c r="C23" s="15">
        <v>2</v>
      </c>
      <c r="D23" s="49" t="s">
        <v>23</v>
      </c>
      <c r="E23" s="14" t="s">
        <v>4</v>
      </c>
      <c r="F23" s="13" t="s">
        <v>2</v>
      </c>
      <c r="G23" s="27">
        <v>4.1749000000000001E-2</v>
      </c>
      <c r="H23" s="27">
        <v>3.8487E-2</v>
      </c>
      <c r="I23" s="27">
        <v>1.4217E-2</v>
      </c>
      <c r="J23" s="29">
        <f>+AVERAGE(G23:I23)</f>
        <v>3.1484333333333336E-2</v>
      </c>
      <c r="K23" s="30">
        <v>31.66</v>
      </c>
      <c r="L23" s="30">
        <v>31.77</v>
      </c>
      <c r="M23" s="30">
        <v>31.95</v>
      </c>
      <c r="N23" s="29">
        <f t="shared" si="0"/>
        <v>31.793333333333333</v>
      </c>
      <c r="O23" s="30">
        <v>0.37551899999999999</v>
      </c>
      <c r="P23" s="30">
        <v>0.41266199999999997</v>
      </c>
      <c r="Q23" s="30">
        <v>0.399895</v>
      </c>
      <c r="R23" s="29">
        <f t="shared" si="3"/>
        <v>0.3960253333333334</v>
      </c>
      <c r="S23" s="30">
        <v>29.23</v>
      </c>
      <c r="T23" s="30">
        <v>29.22</v>
      </c>
      <c r="U23" s="30">
        <v>29.26</v>
      </c>
      <c r="V23" s="29">
        <f t="shared" ref="V23:V24" si="4">+AVERAGE(S23:U23)</f>
        <v>29.236666666666668</v>
      </c>
      <c r="W23" s="36">
        <v>1430.5251641137854</v>
      </c>
    </row>
    <row r="24" spans="1:23" x14ac:dyDescent="0.45">
      <c r="A24" s="15">
        <v>22</v>
      </c>
      <c r="B24" s="15">
        <v>10</v>
      </c>
      <c r="C24" s="15">
        <v>2</v>
      </c>
      <c r="D24" s="49" t="s">
        <v>30</v>
      </c>
      <c r="E24" s="14" t="s">
        <v>3</v>
      </c>
      <c r="F24" s="13" t="s">
        <v>2</v>
      </c>
      <c r="G24" s="27">
        <v>3.5720000000000002E-2</v>
      </c>
      <c r="H24" s="27">
        <v>4.8869999999999997E-2</v>
      </c>
      <c r="I24" s="27">
        <v>5.4443999999999999E-2</v>
      </c>
      <c r="J24" s="29">
        <f>+AVERAGE(G24:I24)</f>
        <v>4.6344666666666666E-2</v>
      </c>
      <c r="K24" s="30">
        <v>32.29</v>
      </c>
      <c r="L24" s="30">
        <v>31.85</v>
      </c>
      <c r="M24" s="30">
        <v>32.19</v>
      </c>
      <c r="N24" s="29">
        <f t="shared" si="0"/>
        <v>32.11</v>
      </c>
      <c r="O24" s="30">
        <v>0.221133</v>
      </c>
      <c r="P24" s="30">
        <v>0.37623899999999999</v>
      </c>
      <c r="Q24" s="30">
        <v>7.8584000000000001E-2</v>
      </c>
      <c r="R24" s="29">
        <f t="shared" si="3"/>
        <v>0.22531866666666667</v>
      </c>
      <c r="S24" s="30">
        <v>29.89</v>
      </c>
      <c r="T24" s="30">
        <v>30.78</v>
      </c>
      <c r="U24" s="30">
        <v>31.31</v>
      </c>
      <c r="V24" s="29">
        <f t="shared" si="4"/>
        <v>30.66</v>
      </c>
      <c r="W24" s="36">
        <v>1812.3632385120352</v>
      </c>
    </row>
    <row r="25" spans="1:23" x14ac:dyDescent="0.45">
      <c r="A25" s="15">
        <v>23</v>
      </c>
      <c r="B25" s="15">
        <v>11</v>
      </c>
      <c r="C25" s="15">
        <v>2</v>
      </c>
      <c r="D25" s="57" t="s">
        <v>47</v>
      </c>
      <c r="E25" s="14" t="s">
        <v>1</v>
      </c>
      <c r="F25" s="13" t="s">
        <v>0</v>
      </c>
      <c r="G25" s="31"/>
      <c r="H25" s="31"/>
      <c r="I25" s="31"/>
      <c r="J25" s="32"/>
      <c r="K25" s="31"/>
      <c r="L25" s="31"/>
      <c r="M25" s="31"/>
      <c r="N25" s="33"/>
      <c r="O25" s="31"/>
      <c r="P25" s="31"/>
      <c r="Q25" s="31"/>
      <c r="R25" s="32"/>
      <c r="S25" s="31"/>
      <c r="T25" s="31"/>
      <c r="U25" s="31"/>
      <c r="V25" s="31"/>
      <c r="W25" s="36">
        <v>1802.5164113785556</v>
      </c>
    </row>
    <row r="26" spans="1:23" x14ac:dyDescent="0.45">
      <c r="A26" s="15">
        <v>24</v>
      </c>
      <c r="B26" s="15">
        <v>12</v>
      </c>
      <c r="C26" s="15">
        <v>2</v>
      </c>
      <c r="D26" s="15" t="s">
        <v>25</v>
      </c>
      <c r="E26" s="14" t="s">
        <v>3</v>
      </c>
      <c r="F26" s="13" t="s">
        <v>0</v>
      </c>
      <c r="G26" s="27">
        <v>4.7650999999999999E-2</v>
      </c>
      <c r="H26" s="27">
        <v>4.5703000000000001E-2</v>
      </c>
      <c r="I26" s="27">
        <v>6.5589999999999996E-2</v>
      </c>
      <c r="J26" s="29">
        <f>+AVERAGE(G26:I26)</f>
        <v>5.2981333333333325E-2</v>
      </c>
      <c r="K26" s="30">
        <v>32.4</v>
      </c>
      <c r="L26" s="30">
        <v>31.68</v>
      </c>
      <c r="M26" s="30">
        <v>31.1</v>
      </c>
      <c r="N26" s="29">
        <f t="shared" si="0"/>
        <v>31.72666666666667</v>
      </c>
      <c r="O26" s="31"/>
      <c r="P26" s="31"/>
      <c r="Q26" s="31"/>
      <c r="R26" s="32"/>
      <c r="S26" s="31"/>
      <c r="T26" s="31"/>
      <c r="U26" s="31"/>
      <c r="V26" s="31"/>
      <c r="W26" s="36">
        <v>1613.785557986871</v>
      </c>
    </row>
    <row r="27" spans="1:23" x14ac:dyDescent="0.45">
      <c r="A27" s="15">
        <v>25</v>
      </c>
      <c r="B27" s="15">
        <v>1</v>
      </c>
      <c r="C27" s="15">
        <v>3</v>
      </c>
      <c r="D27" s="15" t="s">
        <v>24</v>
      </c>
      <c r="E27" s="14" t="s">
        <v>0</v>
      </c>
      <c r="F27" s="13" t="s">
        <v>0</v>
      </c>
      <c r="G27" s="27">
        <v>6.4085000000000003E-2</v>
      </c>
      <c r="H27" s="27">
        <v>8.1361000000000003E-2</v>
      </c>
      <c r="I27" s="27">
        <v>3.9157999999999998E-2</v>
      </c>
      <c r="J27" s="29">
        <f>+AVERAGE(G27:I27)</f>
        <v>6.1534666666666675E-2</v>
      </c>
      <c r="K27" s="30">
        <v>32.229999999999997</v>
      </c>
      <c r="L27" s="30">
        <v>32.159999999999997</v>
      </c>
      <c r="M27" s="30">
        <v>35.1</v>
      </c>
      <c r="N27" s="29">
        <f t="shared" si="0"/>
        <v>33.163333333333327</v>
      </c>
      <c r="O27" s="30">
        <v>0.64034599999999997</v>
      </c>
      <c r="P27" s="39">
        <v>1.608803</v>
      </c>
      <c r="Q27" s="30">
        <v>0.86576500000000001</v>
      </c>
      <c r="R27" s="29">
        <f t="shared" ref="R27:R28" si="5">+AVERAGE(O27:Q27)</f>
        <v>1.0383046666666667</v>
      </c>
      <c r="S27" s="30">
        <v>31.12</v>
      </c>
      <c r="T27" s="30">
        <v>30.76</v>
      </c>
      <c r="U27" s="30">
        <v>30.99</v>
      </c>
      <c r="V27" s="29">
        <f>+AVERAGE(S27:U27)</f>
        <v>30.956666666666667</v>
      </c>
      <c r="W27" s="36">
        <v>1796.4989059080965</v>
      </c>
    </row>
    <row r="28" spans="1:23" x14ac:dyDescent="0.45">
      <c r="A28" s="15">
        <v>26</v>
      </c>
      <c r="B28" s="15">
        <v>2</v>
      </c>
      <c r="C28" s="15">
        <v>3</v>
      </c>
      <c r="D28" s="15" t="s">
        <v>23</v>
      </c>
      <c r="E28" s="14" t="s">
        <v>0</v>
      </c>
      <c r="F28" s="13" t="s">
        <v>2</v>
      </c>
      <c r="G28" s="27">
        <v>5.0106999999999999E-2</v>
      </c>
      <c r="H28" s="27">
        <v>8.0017000000000005E-2</v>
      </c>
      <c r="I28" s="27">
        <v>5.9101000000000001E-2</v>
      </c>
      <c r="J28" s="29">
        <f>+AVERAGE(G28:I28)</f>
        <v>6.3075000000000006E-2</v>
      </c>
      <c r="K28" s="30">
        <v>32.69</v>
      </c>
      <c r="L28" s="30">
        <v>34.44</v>
      </c>
      <c r="M28" s="30">
        <v>33.86</v>
      </c>
      <c r="N28" s="29">
        <f t="shared" si="0"/>
        <v>33.663333333333334</v>
      </c>
      <c r="O28" s="30">
        <v>0.92910000000000004</v>
      </c>
      <c r="P28" s="30">
        <v>0.70729699999999995</v>
      </c>
      <c r="Q28" s="39">
        <v>1.243379</v>
      </c>
      <c r="R28" s="29">
        <f t="shared" si="5"/>
        <v>0.95992533333333341</v>
      </c>
      <c r="S28" s="30">
        <v>30.65</v>
      </c>
      <c r="T28" s="30">
        <v>30.84</v>
      </c>
      <c r="U28" s="30">
        <v>30.45</v>
      </c>
      <c r="V28" s="29">
        <f>+AVERAGE(S28:U28)</f>
        <v>30.646666666666665</v>
      </c>
      <c r="W28" s="36">
        <v>1636.7614879649891</v>
      </c>
    </row>
    <row r="29" spans="1:23" x14ac:dyDescent="0.45">
      <c r="A29" s="15">
        <v>27</v>
      </c>
      <c r="B29" s="15">
        <v>3</v>
      </c>
      <c r="C29" s="15">
        <v>3</v>
      </c>
      <c r="D29" s="57" t="s">
        <v>51</v>
      </c>
      <c r="E29" s="14" t="s">
        <v>1</v>
      </c>
      <c r="F29" s="13" t="s">
        <v>2</v>
      </c>
      <c r="G29" s="31"/>
      <c r="H29" s="31"/>
      <c r="I29" s="31"/>
      <c r="J29" s="32"/>
      <c r="K29" s="31"/>
      <c r="L29" s="31"/>
      <c r="M29" s="31"/>
      <c r="N29" s="33"/>
      <c r="O29" s="31"/>
      <c r="P29" s="31"/>
      <c r="Q29" s="31"/>
      <c r="R29" s="32"/>
      <c r="S29" s="31"/>
      <c r="T29" s="31"/>
      <c r="U29" s="31"/>
      <c r="V29" s="31"/>
      <c r="W29" s="36">
        <v>1442.5601750547046</v>
      </c>
    </row>
    <row r="30" spans="1:23" x14ac:dyDescent="0.45">
      <c r="A30" s="15">
        <v>28</v>
      </c>
      <c r="B30" s="15">
        <v>4</v>
      </c>
      <c r="C30" s="15">
        <v>3</v>
      </c>
      <c r="D30" s="15" t="s">
        <v>27</v>
      </c>
      <c r="E30" s="14" t="s">
        <v>3</v>
      </c>
      <c r="F30" s="13" t="s">
        <v>2</v>
      </c>
      <c r="G30" s="27">
        <v>4.3711E-2</v>
      </c>
      <c r="H30" s="27">
        <v>8.9707999999999996E-2</v>
      </c>
      <c r="I30" s="27">
        <v>5.3921999999999998E-2</v>
      </c>
      <c r="J30" s="29">
        <f t="shared" ref="J30:J35" si="6">+AVERAGE(G30:I30)</f>
        <v>6.2447000000000003E-2</v>
      </c>
      <c r="K30" s="30">
        <v>33.74</v>
      </c>
      <c r="L30" s="30">
        <v>33.630000000000003</v>
      </c>
      <c r="M30" s="30">
        <v>34.26</v>
      </c>
      <c r="N30" s="29">
        <f t="shared" si="0"/>
        <v>33.876666666666665</v>
      </c>
      <c r="O30" s="30">
        <v>0.22611300000000001</v>
      </c>
      <c r="P30" s="30">
        <v>0.416157</v>
      </c>
      <c r="Q30" s="30">
        <v>0.464281</v>
      </c>
      <c r="R30" s="29">
        <f t="shared" ref="R30:R33" si="7">+AVERAGE(O30:Q30)</f>
        <v>0.36885033333333334</v>
      </c>
      <c r="S30" s="30">
        <v>31.93</v>
      </c>
      <c r="T30" s="30">
        <v>31.25</v>
      </c>
      <c r="U30" s="30">
        <v>31.2</v>
      </c>
      <c r="V30" s="29">
        <f>+AVERAGE(S30:U30)</f>
        <v>31.459999999999997</v>
      </c>
      <c r="W30" s="36">
        <v>1736.870897155361</v>
      </c>
    </row>
    <row r="31" spans="1:23" x14ac:dyDescent="0.45">
      <c r="A31" s="15">
        <v>29</v>
      </c>
      <c r="B31" s="15">
        <v>5</v>
      </c>
      <c r="C31" s="15">
        <v>3</v>
      </c>
      <c r="D31" s="49" t="s">
        <v>30</v>
      </c>
      <c r="E31" s="14" t="s">
        <v>4</v>
      </c>
      <c r="F31" s="13" t="s">
        <v>2</v>
      </c>
      <c r="G31" s="27">
        <v>5.7703999999999998E-2</v>
      </c>
      <c r="H31" s="27">
        <v>4.7549000000000001E-2</v>
      </c>
      <c r="I31" s="27">
        <v>4.7606000000000002E-2</v>
      </c>
      <c r="J31" s="29">
        <f t="shared" si="6"/>
        <v>5.0952999999999998E-2</v>
      </c>
      <c r="K31" s="30">
        <v>34.97</v>
      </c>
      <c r="L31" s="30">
        <v>34.549999999999997</v>
      </c>
      <c r="M31" s="30">
        <v>34.42</v>
      </c>
      <c r="N31" s="29">
        <f t="shared" si="0"/>
        <v>34.646666666666668</v>
      </c>
      <c r="O31" s="30">
        <v>0.20485100000000001</v>
      </c>
      <c r="P31" s="30">
        <v>0.38585999999999998</v>
      </c>
      <c r="Q31" s="30">
        <v>0.39913399999999999</v>
      </c>
      <c r="R31" s="29">
        <f t="shared" si="7"/>
        <v>0.32994833333333334</v>
      </c>
      <c r="S31" s="30">
        <v>31.6</v>
      </c>
      <c r="T31" s="30">
        <v>31.42</v>
      </c>
      <c r="U31" s="30">
        <v>31.65</v>
      </c>
      <c r="V31" s="29">
        <f t="shared" ref="V31:V33" si="8">+AVERAGE(S31:U31)</f>
        <v>31.556666666666668</v>
      </c>
      <c r="W31" s="36">
        <v>1681.0722100656455</v>
      </c>
    </row>
    <row r="32" spans="1:23" x14ac:dyDescent="0.45">
      <c r="A32" s="15">
        <v>30</v>
      </c>
      <c r="B32" s="15">
        <v>6</v>
      </c>
      <c r="C32" s="15">
        <v>3</v>
      </c>
      <c r="D32" s="49" t="s">
        <v>29</v>
      </c>
      <c r="E32" s="14" t="s">
        <v>0</v>
      </c>
      <c r="F32" s="13" t="s">
        <v>2</v>
      </c>
      <c r="G32" s="27">
        <v>5.9874999999999998E-2</v>
      </c>
      <c r="H32" s="27">
        <v>4.4437999999999998E-2</v>
      </c>
      <c r="I32" s="27">
        <v>7.8705999999999998E-2</v>
      </c>
      <c r="J32" s="29">
        <f t="shared" si="6"/>
        <v>6.1006333333333329E-2</v>
      </c>
      <c r="K32" s="30">
        <v>34.53</v>
      </c>
      <c r="L32" s="30">
        <v>35.64</v>
      </c>
      <c r="M32" s="30">
        <v>34.979999999999997</v>
      </c>
      <c r="N32" s="29">
        <f t="shared" si="0"/>
        <v>35.050000000000004</v>
      </c>
      <c r="O32" s="30">
        <v>0.13226099999999999</v>
      </c>
      <c r="P32" s="30">
        <v>0.37914300000000001</v>
      </c>
      <c r="Q32" s="30">
        <v>0.32537100000000002</v>
      </c>
      <c r="R32" s="29">
        <f t="shared" si="7"/>
        <v>0.27892500000000003</v>
      </c>
      <c r="S32" s="30">
        <v>31.42</v>
      </c>
      <c r="T32" s="30">
        <v>30.92</v>
      </c>
      <c r="U32" s="30">
        <v>30.97</v>
      </c>
      <c r="V32" s="29">
        <f t="shared" si="8"/>
        <v>31.103333333333335</v>
      </c>
      <c r="W32" s="36">
        <v>1155.9080962800874</v>
      </c>
    </row>
    <row r="33" spans="1:23" x14ac:dyDescent="0.45">
      <c r="A33" s="15">
        <v>31</v>
      </c>
      <c r="B33" s="15">
        <v>7</v>
      </c>
      <c r="C33" s="15">
        <v>3</v>
      </c>
      <c r="D33" s="49" t="s">
        <v>28</v>
      </c>
      <c r="E33" s="14" t="s">
        <v>3</v>
      </c>
      <c r="F33" s="13" t="s">
        <v>5</v>
      </c>
      <c r="G33" s="27">
        <v>0.141126</v>
      </c>
      <c r="H33" s="27">
        <v>6.1966E-2</v>
      </c>
      <c r="I33" s="27">
        <v>6.9577E-2</v>
      </c>
      <c r="J33" s="29">
        <f t="shared" si="6"/>
        <v>9.088966666666666E-2</v>
      </c>
      <c r="K33" s="30">
        <v>33.840000000000003</v>
      </c>
      <c r="L33" s="30">
        <v>34.17</v>
      </c>
      <c r="M33" s="30">
        <v>33.29</v>
      </c>
      <c r="N33" s="29">
        <f t="shared" si="0"/>
        <v>33.766666666666673</v>
      </c>
      <c r="O33" s="30">
        <v>0.11625099999999999</v>
      </c>
      <c r="P33" s="30">
        <v>4.7879999999999999E-2</v>
      </c>
      <c r="Q33" s="30">
        <v>1.1294999999999999E-2</v>
      </c>
      <c r="R33" s="29">
        <f t="shared" si="7"/>
        <v>5.8475333333333331E-2</v>
      </c>
      <c r="S33" s="30">
        <v>30.87</v>
      </c>
      <c r="T33" s="30">
        <v>32.229999999999997</v>
      </c>
      <c r="U33" s="30">
        <v>32.369999999999997</v>
      </c>
      <c r="V33" s="29">
        <f t="shared" si="8"/>
        <v>31.823333333333334</v>
      </c>
      <c r="W33" s="36">
        <v>691.46608315098479</v>
      </c>
    </row>
    <row r="34" spans="1:23" x14ac:dyDescent="0.45">
      <c r="A34" s="15">
        <v>32</v>
      </c>
      <c r="B34" s="15">
        <v>8</v>
      </c>
      <c r="C34" s="15">
        <v>3</v>
      </c>
      <c r="D34" s="49" t="s">
        <v>25</v>
      </c>
      <c r="E34" s="14" t="s">
        <v>1</v>
      </c>
      <c r="F34" s="13" t="s">
        <v>0</v>
      </c>
      <c r="G34" s="27">
        <v>7.2588E-2</v>
      </c>
      <c r="H34" s="27">
        <v>6.6833000000000004E-2</v>
      </c>
      <c r="I34" s="27">
        <v>0.117133</v>
      </c>
      <c r="J34" s="29">
        <f t="shared" si="6"/>
        <v>8.5517999999999997E-2</v>
      </c>
      <c r="K34" s="30">
        <v>34.22</v>
      </c>
      <c r="L34" s="30">
        <v>32.68</v>
      </c>
      <c r="M34" s="30">
        <v>33.64</v>
      </c>
      <c r="N34" s="29">
        <f t="shared" si="0"/>
        <v>33.513333333333335</v>
      </c>
      <c r="O34" s="31"/>
      <c r="P34" s="31"/>
      <c r="Q34" s="31"/>
      <c r="R34" s="32"/>
      <c r="S34" s="31"/>
      <c r="T34" s="31"/>
      <c r="U34" s="31"/>
      <c r="V34" s="31"/>
      <c r="W34" s="36">
        <v>1548.1400437636764</v>
      </c>
    </row>
    <row r="35" spans="1:23" x14ac:dyDescent="0.45">
      <c r="A35" s="15">
        <v>33</v>
      </c>
      <c r="B35" s="15">
        <v>9</v>
      </c>
      <c r="C35" s="15">
        <v>3</v>
      </c>
      <c r="D35" s="49" t="s">
        <v>26</v>
      </c>
      <c r="E35" s="14" t="s">
        <v>3</v>
      </c>
      <c r="F35" s="13" t="s">
        <v>2</v>
      </c>
      <c r="G35" s="27">
        <v>6.0104999999999999E-2</v>
      </c>
      <c r="H35" s="27">
        <v>6.5376000000000004E-2</v>
      </c>
      <c r="I35" s="27">
        <v>8.8839000000000001E-2</v>
      </c>
      <c r="J35" s="29">
        <f t="shared" si="6"/>
        <v>7.1440000000000003E-2</v>
      </c>
      <c r="K35" s="30">
        <v>34.11</v>
      </c>
      <c r="L35" s="30">
        <v>34.28</v>
      </c>
      <c r="M35" s="30">
        <v>33.79</v>
      </c>
      <c r="N35" s="29">
        <f t="shared" si="0"/>
        <v>34.06</v>
      </c>
      <c r="O35" s="31"/>
      <c r="P35" s="31"/>
      <c r="Q35" s="31"/>
      <c r="R35" s="32"/>
      <c r="S35" s="31"/>
      <c r="T35" s="31"/>
      <c r="U35" s="31"/>
      <c r="V35" s="31"/>
      <c r="W35" s="36">
        <v>2449.1247264770241</v>
      </c>
    </row>
    <row r="36" spans="1:23" x14ac:dyDescent="0.45">
      <c r="A36" s="15">
        <v>34</v>
      </c>
      <c r="B36" s="15">
        <v>10</v>
      </c>
      <c r="C36" s="15">
        <v>3</v>
      </c>
      <c r="D36" s="57" t="s">
        <v>47</v>
      </c>
      <c r="E36" s="14" t="s">
        <v>3</v>
      </c>
      <c r="F36" s="13" t="s">
        <v>2</v>
      </c>
      <c r="G36" s="31"/>
      <c r="H36" s="31"/>
      <c r="I36" s="31"/>
      <c r="J36" s="32"/>
      <c r="K36" s="31"/>
      <c r="L36" s="31"/>
      <c r="M36" s="31"/>
      <c r="N36" s="33"/>
      <c r="O36" s="31"/>
      <c r="P36" s="31"/>
      <c r="Q36" s="31"/>
      <c r="R36" s="32"/>
      <c r="S36" s="31"/>
      <c r="T36" s="31"/>
      <c r="U36" s="31"/>
      <c r="V36" s="31"/>
      <c r="W36" s="36">
        <v>1916.8490153172868</v>
      </c>
    </row>
    <row r="37" spans="1:23" x14ac:dyDescent="0.45">
      <c r="A37" s="15">
        <v>35</v>
      </c>
      <c r="B37" s="15">
        <v>11</v>
      </c>
      <c r="C37" s="15">
        <v>3</v>
      </c>
      <c r="D37" s="57" t="s">
        <v>45</v>
      </c>
      <c r="E37" s="14" t="s">
        <v>4</v>
      </c>
      <c r="F37" s="13" t="s">
        <v>0</v>
      </c>
      <c r="G37" s="31"/>
      <c r="H37" s="31"/>
      <c r="I37" s="31"/>
      <c r="J37" s="32"/>
      <c r="K37" s="31"/>
      <c r="L37" s="31"/>
      <c r="M37" s="31"/>
      <c r="N37" s="33"/>
      <c r="O37" s="31"/>
      <c r="P37" s="31"/>
      <c r="Q37" s="31"/>
      <c r="R37" s="32"/>
      <c r="S37" s="31"/>
      <c r="T37" s="31"/>
      <c r="U37" s="31"/>
      <c r="V37" s="31"/>
      <c r="W37" s="36">
        <v>2071.1159737417938</v>
      </c>
    </row>
    <row r="38" spans="1:23" x14ac:dyDescent="0.45">
      <c r="A38" s="15">
        <v>36</v>
      </c>
      <c r="B38" s="15">
        <v>12</v>
      </c>
      <c r="C38" s="15">
        <v>3</v>
      </c>
      <c r="D38" s="57" t="s">
        <v>49</v>
      </c>
      <c r="E38" s="14" t="s">
        <v>1</v>
      </c>
      <c r="F38" s="13" t="s">
        <v>2</v>
      </c>
      <c r="G38" s="31"/>
      <c r="H38" s="31"/>
      <c r="I38" s="31"/>
      <c r="J38" s="32"/>
      <c r="K38" s="31"/>
      <c r="L38" s="31"/>
      <c r="M38" s="31"/>
      <c r="N38" s="33"/>
      <c r="O38" s="31"/>
      <c r="P38" s="31"/>
      <c r="Q38" s="31"/>
      <c r="R38" s="32"/>
      <c r="S38" s="31"/>
      <c r="T38" s="31"/>
      <c r="U38" s="31"/>
      <c r="V38" s="31"/>
      <c r="W38" s="36">
        <v>1861.0503282275711</v>
      </c>
    </row>
    <row r="39" spans="1:23" x14ac:dyDescent="0.45">
      <c r="A39" s="12">
        <v>37</v>
      </c>
      <c r="B39" s="12">
        <v>1</v>
      </c>
      <c r="C39" s="12">
        <v>4</v>
      </c>
      <c r="D39" s="55" t="s">
        <v>23</v>
      </c>
      <c r="E39" s="11" t="s">
        <v>4</v>
      </c>
      <c r="F39" s="10" t="s">
        <v>0</v>
      </c>
      <c r="G39" s="27">
        <v>0.14541200000000001</v>
      </c>
      <c r="H39" s="27">
        <v>0.248554</v>
      </c>
      <c r="I39" s="27">
        <v>0.12557699999999999</v>
      </c>
      <c r="J39" s="29">
        <f>+AVERAGE(G39:I39)</f>
        <v>0.17318100000000003</v>
      </c>
      <c r="K39" s="30">
        <v>32.43</v>
      </c>
      <c r="L39" s="30">
        <v>31.13</v>
      </c>
      <c r="M39" s="30">
        <v>32.69</v>
      </c>
      <c r="N39" s="29">
        <f t="shared" si="0"/>
        <v>32.083333333333336</v>
      </c>
      <c r="O39" s="30">
        <v>0.75241400000000003</v>
      </c>
      <c r="P39" s="30">
        <v>0.29142299999999999</v>
      </c>
      <c r="Q39" s="30">
        <v>4.6107000000000002E-2</v>
      </c>
      <c r="R39" s="29">
        <f t="shared" ref="R39:R40" si="9">+AVERAGE(O39:Q39)</f>
        <v>0.36331466666666662</v>
      </c>
      <c r="S39" s="30">
        <v>32.89</v>
      </c>
      <c r="T39" s="30">
        <v>32.11</v>
      </c>
      <c r="U39" s="30">
        <v>34.61</v>
      </c>
      <c r="V39" s="29">
        <f>+AVERAGE(S39:U39)</f>
        <v>33.203333333333333</v>
      </c>
      <c r="W39" s="36">
        <v>3729.7592997811817</v>
      </c>
    </row>
    <row r="40" spans="1:23" x14ac:dyDescent="0.45">
      <c r="A40" s="9">
        <v>38</v>
      </c>
      <c r="B40" s="9">
        <v>2</v>
      </c>
      <c r="C40" s="9">
        <v>4</v>
      </c>
      <c r="D40" s="9" t="s">
        <v>24</v>
      </c>
      <c r="E40" s="8" t="s">
        <v>3</v>
      </c>
      <c r="F40" s="5" t="s">
        <v>2</v>
      </c>
      <c r="G40" s="27">
        <v>0.132523</v>
      </c>
      <c r="H40" s="27">
        <v>0.30738199999999999</v>
      </c>
      <c r="I40" s="27">
        <v>8.2600999999999994E-2</v>
      </c>
      <c r="J40" s="29">
        <f>+AVERAGE(G40:I40)</f>
        <v>0.17416866666666667</v>
      </c>
      <c r="K40" s="30">
        <v>32.020000000000003</v>
      </c>
      <c r="L40" s="30">
        <v>30.63</v>
      </c>
      <c r="M40" s="30">
        <v>32.22</v>
      </c>
      <c r="N40" s="29">
        <f t="shared" si="0"/>
        <v>31.623333333333335</v>
      </c>
      <c r="O40" s="30">
        <v>0.86206400000000005</v>
      </c>
      <c r="P40" s="30">
        <v>0.78800099999999995</v>
      </c>
      <c r="Q40" s="30">
        <v>0.705924</v>
      </c>
      <c r="R40" s="29">
        <f t="shared" si="9"/>
        <v>0.7853296666666667</v>
      </c>
      <c r="S40" s="30">
        <v>31.69</v>
      </c>
      <c r="T40" s="30">
        <v>33.15</v>
      </c>
      <c r="U40" s="30">
        <v>32.92</v>
      </c>
      <c r="V40" s="29">
        <f>+AVERAGE(S40:U40)</f>
        <v>32.586666666666666</v>
      </c>
      <c r="W40" s="36">
        <v>5551.9693654266957</v>
      </c>
    </row>
    <row r="41" spans="1:23" x14ac:dyDescent="0.45">
      <c r="A41" s="9">
        <v>39</v>
      </c>
      <c r="B41" s="9">
        <v>3</v>
      </c>
      <c r="C41" s="9">
        <v>4</v>
      </c>
      <c r="D41" s="9" t="s">
        <v>25</v>
      </c>
      <c r="E41" s="8" t="s">
        <v>3</v>
      </c>
      <c r="F41" s="5" t="s">
        <v>2</v>
      </c>
      <c r="G41" s="27">
        <v>0.72093200000000002</v>
      </c>
      <c r="H41" s="27">
        <v>0.69193899999999997</v>
      </c>
      <c r="I41" s="27">
        <v>0.33498</v>
      </c>
      <c r="J41" s="29">
        <f>+AVERAGE(G41:I41)</f>
        <v>0.58261700000000005</v>
      </c>
      <c r="K41" s="30">
        <v>31.64</v>
      </c>
      <c r="L41" s="30">
        <v>29.37</v>
      </c>
      <c r="M41" s="30">
        <v>29.75</v>
      </c>
      <c r="N41" s="29">
        <f t="shared" si="0"/>
        <v>30.253333333333334</v>
      </c>
      <c r="O41" s="31"/>
      <c r="P41" s="31"/>
      <c r="Q41" s="31"/>
      <c r="R41" s="32"/>
      <c r="S41" s="31"/>
      <c r="T41" s="31"/>
      <c r="U41" s="31"/>
      <c r="V41" s="31"/>
      <c r="W41" s="36">
        <v>3612.1444201312902</v>
      </c>
    </row>
    <row r="42" spans="1:23" x14ac:dyDescent="0.45">
      <c r="A42" s="9">
        <v>40</v>
      </c>
      <c r="B42" s="9">
        <v>4</v>
      </c>
      <c r="C42" s="9">
        <v>4</v>
      </c>
      <c r="D42" s="9" t="s">
        <v>26</v>
      </c>
      <c r="E42" s="8" t="s">
        <v>3</v>
      </c>
      <c r="F42" s="5" t="s">
        <v>2</v>
      </c>
      <c r="G42" s="27">
        <v>0.97686700000000004</v>
      </c>
      <c r="H42" s="27">
        <v>9.9268999999999996E-2</v>
      </c>
      <c r="I42" s="27">
        <v>0.50327699999999997</v>
      </c>
      <c r="J42" s="29">
        <f>+AVERAGE(G42:I42)</f>
        <v>0.52647100000000002</v>
      </c>
      <c r="K42" s="30">
        <v>28.33</v>
      </c>
      <c r="L42" s="30">
        <v>30.94</v>
      </c>
      <c r="M42" s="30">
        <v>28.68</v>
      </c>
      <c r="N42" s="29">
        <f t="shared" si="0"/>
        <v>29.316666666666663</v>
      </c>
      <c r="O42" s="31"/>
      <c r="P42" s="31"/>
      <c r="Q42" s="31"/>
      <c r="R42" s="32"/>
      <c r="S42" s="31"/>
      <c r="T42" s="31"/>
      <c r="U42" s="31"/>
      <c r="V42" s="31"/>
      <c r="W42" s="36">
        <v>3928.3369803063447</v>
      </c>
    </row>
    <row r="43" spans="1:23" x14ac:dyDescent="0.45">
      <c r="A43" s="9">
        <v>41</v>
      </c>
      <c r="B43" s="9">
        <v>5</v>
      </c>
      <c r="C43" s="9">
        <v>4</v>
      </c>
      <c r="D43" s="56" t="s">
        <v>45</v>
      </c>
      <c r="E43" s="8" t="s">
        <v>3</v>
      </c>
      <c r="F43" s="5" t="s">
        <v>2</v>
      </c>
      <c r="G43" s="31"/>
      <c r="H43" s="31"/>
      <c r="I43" s="31"/>
      <c r="J43" s="32"/>
      <c r="K43" s="31"/>
      <c r="L43" s="31"/>
      <c r="M43" s="31"/>
      <c r="N43" s="33"/>
      <c r="O43" s="31"/>
      <c r="P43" s="31"/>
      <c r="Q43" s="31"/>
      <c r="R43" s="32"/>
      <c r="S43" s="31"/>
      <c r="T43" s="31"/>
      <c r="U43" s="31"/>
      <c r="V43" s="31"/>
      <c r="W43" s="36">
        <v>2659.7374179431072</v>
      </c>
    </row>
    <row r="44" spans="1:23" x14ac:dyDescent="0.45">
      <c r="A44" s="9">
        <v>42</v>
      </c>
      <c r="B44" s="9">
        <v>6</v>
      </c>
      <c r="C44" s="9">
        <v>4</v>
      </c>
      <c r="D44" s="56" t="s">
        <v>47</v>
      </c>
      <c r="E44" s="8" t="s">
        <v>3</v>
      </c>
      <c r="F44" s="5" t="s">
        <v>0</v>
      </c>
      <c r="G44" s="31"/>
      <c r="H44" s="31"/>
      <c r="I44" s="31"/>
      <c r="J44" s="32"/>
      <c r="K44" s="31"/>
      <c r="L44" s="31"/>
      <c r="M44" s="31"/>
      <c r="N44" s="33"/>
      <c r="O44" s="31"/>
      <c r="P44" s="31"/>
      <c r="Q44" s="31"/>
      <c r="R44" s="32"/>
      <c r="S44" s="31"/>
      <c r="T44" s="31"/>
      <c r="U44" s="31"/>
      <c r="V44" s="31"/>
      <c r="W44" s="36">
        <v>4312.3632385120345</v>
      </c>
    </row>
    <row r="45" spans="1:23" x14ac:dyDescent="0.45">
      <c r="A45" s="9">
        <v>43</v>
      </c>
      <c r="B45" s="9">
        <v>7</v>
      </c>
      <c r="C45" s="9">
        <v>4</v>
      </c>
      <c r="D45" s="56" t="s">
        <v>49</v>
      </c>
      <c r="E45" s="8" t="s">
        <v>1</v>
      </c>
      <c r="F45" s="5" t="s">
        <v>0</v>
      </c>
      <c r="G45" s="31"/>
      <c r="H45" s="31"/>
      <c r="I45" s="31"/>
      <c r="J45" s="32"/>
      <c r="K45" s="31"/>
      <c r="L45" s="31"/>
      <c r="M45" s="31"/>
      <c r="N45" s="33"/>
      <c r="O45" s="31"/>
      <c r="P45" s="31"/>
      <c r="Q45" s="31"/>
      <c r="R45" s="32"/>
      <c r="S45" s="31"/>
      <c r="T45" s="31"/>
      <c r="U45" s="31"/>
      <c r="V45" s="31"/>
      <c r="W45" s="36">
        <v>2979.2122538293206</v>
      </c>
    </row>
    <row r="46" spans="1:23" x14ac:dyDescent="0.45">
      <c r="A46" s="9">
        <v>44</v>
      </c>
      <c r="B46" s="9">
        <v>8</v>
      </c>
      <c r="C46" s="9">
        <v>4</v>
      </c>
      <c r="D46" s="56" t="s">
        <v>51</v>
      </c>
      <c r="E46" s="8" t="s">
        <v>1</v>
      </c>
      <c r="F46" s="5" t="s">
        <v>0</v>
      </c>
      <c r="G46" s="31"/>
      <c r="H46" s="31"/>
      <c r="I46" s="31"/>
      <c r="J46" s="32"/>
      <c r="K46" s="31"/>
      <c r="L46" s="31"/>
      <c r="M46" s="31"/>
      <c r="N46" s="33"/>
      <c r="O46" s="31"/>
      <c r="P46" s="31"/>
      <c r="Q46" s="31"/>
      <c r="R46" s="32"/>
      <c r="S46" s="31"/>
      <c r="T46" s="31"/>
      <c r="U46" s="31"/>
      <c r="V46" s="31"/>
      <c r="W46" s="36">
        <v>4120.3501094091898</v>
      </c>
    </row>
    <row r="47" spans="1:23" x14ac:dyDescent="0.45">
      <c r="A47" s="9">
        <v>45</v>
      </c>
      <c r="B47" s="9">
        <v>9</v>
      </c>
      <c r="C47" s="9">
        <v>4</v>
      </c>
      <c r="D47" s="9" t="s">
        <v>27</v>
      </c>
      <c r="E47" s="8" t="s">
        <v>3</v>
      </c>
      <c r="F47" s="5" t="s">
        <v>2</v>
      </c>
      <c r="G47" s="27">
        <v>0.174427</v>
      </c>
      <c r="H47" s="27">
        <v>0.161632</v>
      </c>
      <c r="I47" s="27">
        <v>3.6785999999999999E-2</v>
      </c>
      <c r="J47" s="29">
        <f>+AVERAGE(G47:I47)</f>
        <v>0.12428166666666667</v>
      </c>
      <c r="K47" s="30">
        <v>30.81</v>
      </c>
      <c r="L47" s="30">
        <v>30.5</v>
      </c>
      <c r="M47" s="30">
        <v>31.44</v>
      </c>
      <c r="N47" s="29">
        <f t="shared" si="0"/>
        <v>30.916666666666668</v>
      </c>
      <c r="O47" s="30">
        <v>0.50950499999999999</v>
      </c>
      <c r="P47" s="30">
        <v>4.6545999999999997E-2</v>
      </c>
      <c r="Q47" s="30">
        <v>0.65630999999999995</v>
      </c>
      <c r="R47" s="29">
        <f t="shared" ref="R47:R51" si="10">+AVERAGE(O47:Q47)</f>
        <v>0.40412033333333336</v>
      </c>
      <c r="S47" s="30">
        <v>33.700000000000003</v>
      </c>
      <c r="T47" s="30">
        <v>36.06</v>
      </c>
      <c r="U47" s="30">
        <v>32.43</v>
      </c>
      <c r="V47" s="29">
        <f>+AVERAGE(S47:U47)</f>
        <v>34.063333333333333</v>
      </c>
      <c r="W47" s="36">
        <v>3164.1137855579868</v>
      </c>
    </row>
    <row r="48" spans="1:23" x14ac:dyDescent="0.45">
      <c r="A48" s="9">
        <v>46</v>
      </c>
      <c r="B48" s="9">
        <v>10</v>
      </c>
      <c r="C48" s="9">
        <v>4</v>
      </c>
      <c r="D48" s="9" t="s">
        <v>28</v>
      </c>
      <c r="E48" s="8" t="s">
        <v>3</v>
      </c>
      <c r="F48" s="5" t="s">
        <v>0</v>
      </c>
      <c r="G48" s="27">
        <v>0.109387</v>
      </c>
      <c r="H48" s="27">
        <v>0.228689</v>
      </c>
      <c r="I48" s="27">
        <v>0.39058799999999999</v>
      </c>
      <c r="J48" s="29">
        <f>+AVERAGE(G48:I48)</f>
        <v>0.24288799999999999</v>
      </c>
      <c r="K48" s="30">
        <v>31.75</v>
      </c>
      <c r="L48" s="30">
        <v>30.27</v>
      </c>
      <c r="M48" s="30">
        <v>29.95</v>
      </c>
      <c r="N48" s="29">
        <f t="shared" si="0"/>
        <v>30.656666666666666</v>
      </c>
      <c r="O48" s="30">
        <v>0.28406300000000001</v>
      </c>
      <c r="P48" s="30">
        <v>0.33572800000000003</v>
      </c>
      <c r="Q48" s="30">
        <v>0.31143100000000001</v>
      </c>
      <c r="R48" s="29">
        <f t="shared" si="10"/>
        <v>0.31040733333333331</v>
      </c>
      <c r="S48" s="30">
        <v>33.28</v>
      </c>
      <c r="T48" s="30">
        <v>34.01</v>
      </c>
      <c r="U48" s="30">
        <v>31.03</v>
      </c>
      <c r="V48" s="29">
        <f t="shared" ref="V48:V51" si="11">+AVERAGE(S48:U48)</f>
        <v>32.773333333333333</v>
      </c>
      <c r="W48" s="36">
        <v>922.86652078774625</v>
      </c>
    </row>
    <row r="49" spans="1:23" x14ac:dyDescent="0.45">
      <c r="A49" s="9">
        <v>47</v>
      </c>
      <c r="B49" s="9">
        <v>11</v>
      </c>
      <c r="C49" s="9">
        <v>4</v>
      </c>
      <c r="D49" s="9" t="s">
        <v>29</v>
      </c>
      <c r="E49" s="8" t="s">
        <v>4</v>
      </c>
      <c r="F49" s="5" t="s">
        <v>2</v>
      </c>
      <c r="G49" s="27">
        <v>0.15183099999999999</v>
      </c>
      <c r="H49" s="27">
        <v>0.10023799999999999</v>
      </c>
      <c r="I49" s="27">
        <v>0.13214899999999999</v>
      </c>
      <c r="J49" s="29">
        <f>+AVERAGE(G49:I49)</f>
        <v>0.12807266666666664</v>
      </c>
      <c r="K49" s="30">
        <v>33.08</v>
      </c>
      <c r="L49" s="30">
        <v>31.16</v>
      </c>
      <c r="M49" s="30">
        <v>32.090000000000003</v>
      </c>
      <c r="N49" s="29">
        <f t="shared" si="0"/>
        <v>32.11</v>
      </c>
      <c r="O49" s="39">
        <v>1.0091600000000001</v>
      </c>
      <c r="P49" s="39">
        <v>1.2827059999999999</v>
      </c>
      <c r="Q49" s="30">
        <v>0.30895600000000001</v>
      </c>
      <c r="R49" s="29">
        <f t="shared" si="10"/>
        <v>0.86694066666666669</v>
      </c>
      <c r="S49" s="30">
        <v>30.93</v>
      </c>
      <c r="T49" s="30">
        <v>30.56</v>
      </c>
      <c r="U49" s="30">
        <v>31.8</v>
      </c>
      <c r="V49" s="29">
        <f t="shared" si="11"/>
        <v>31.096666666666664</v>
      </c>
      <c r="W49" s="36">
        <v>2830.9628008752738</v>
      </c>
    </row>
    <row r="50" spans="1:23" x14ac:dyDescent="0.45">
      <c r="A50" s="9">
        <v>48</v>
      </c>
      <c r="B50" s="9">
        <v>12</v>
      </c>
      <c r="C50" s="9">
        <v>4</v>
      </c>
      <c r="D50" s="50" t="s">
        <v>30</v>
      </c>
      <c r="E50" s="8" t="s">
        <v>3</v>
      </c>
      <c r="F50" s="5" t="s">
        <v>2</v>
      </c>
      <c r="G50" s="27">
        <v>8.9647000000000004E-2</v>
      </c>
      <c r="H50" s="27">
        <v>6.5751000000000004E-2</v>
      </c>
      <c r="I50" s="27">
        <v>6.6540000000000002E-2</v>
      </c>
      <c r="J50" s="29">
        <f>+AVERAGE(G50:I50)</f>
        <v>7.3979333333333341E-2</v>
      </c>
      <c r="K50" s="30">
        <v>34.21</v>
      </c>
      <c r="L50" s="30">
        <v>33.549999999999997</v>
      </c>
      <c r="M50" s="30">
        <v>30.74</v>
      </c>
      <c r="N50" s="29">
        <f t="shared" si="0"/>
        <v>32.833333333333329</v>
      </c>
      <c r="O50" s="40">
        <v>1.0838779999999999</v>
      </c>
      <c r="P50" s="39">
        <v>1.3921220000000001</v>
      </c>
      <c r="Q50" s="30">
        <v>0.39866200000000002</v>
      </c>
      <c r="R50" s="29">
        <f t="shared" si="10"/>
        <v>0.95822066666666661</v>
      </c>
      <c r="S50" s="30">
        <v>33.61</v>
      </c>
      <c r="T50" s="30">
        <v>32.950000000000003</v>
      </c>
      <c r="U50" s="30">
        <v>32.14</v>
      </c>
      <c r="V50" s="29">
        <f t="shared" si="11"/>
        <v>32.9</v>
      </c>
      <c r="W50" s="36">
        <v>3277.8993435448579</v>
      </c>
    </row>
    <row r="51" spans="1:23" x14ac:dyDescent="0.45">
      <c r="A51" s="9">
        <v>49</v>
      </c>
      <c r="B51" s="9">
        <v>1</v>
      </c>
      <c r="C51" s="9">
        <v>5</v>
      </c>
      <c r="D51" s="51" t="s">
        <v>28</v>
      </c>
      <c r="E51" s="8" t="s">
        <v>4</v>
      </c>
      <c r="F51" s="5" t="s">
        <v>2</v>
      </c>
      <c r="G51" s="27">
        <v>9.1939999999999994E-2</v>
      </c>
      <c r="H51" s="27">
        <v>0.109975</v>
      </c>
      <c r="I51" s="27">
        <v>1.3751180000000001</v>
      </c>
      <c r="J51" s="29">
        <f>+AVERAGE(G51:I51)</f>
        <v>0.52567766666666671</v>
      </c>
      <c r="K51" s="30">
        <v>33.229999999999997</v>
      </c>
      <c r="L51" s="30">
        <v>32.93</v>
      </c>
      <c r="M51" s="30">
        <v>28.48</v>
      </c>
      <c r="N51" s="29">
        <f t="shared" si="0"/>
        <v>31.546666666666667</v>
      </c>
      <c r="O51" s="30">
        <v>8.3607000000000001E-2</v>
      </c>
      <c r="P51" s="30">
        <v>0.83066300000000004</v>
      </c>
      <c r="Q51" s="30">
        <v>0.73698399999999997</v>
      </c>
      <c r="R51" s="29">
        <f t="shared" si="10"/>
        <v>0.55041799999999996</v>
      </c>
      <c r="S51" s="30">
        <v>33.729999999999997</v>
      </c>
      <c r="T51" s="30">
        <v>32.4</v>
      </c>
      <c r="U51" s="30">
        <v>33.47</v>
      </c>
      <c r="V51" s="29">
        <f t="shared" si="11"/>
        <v>33.199999999999996</v>
      </c>
      <c r="W51" s="36">
        <v>1377.4617067833699</v>
      </c>
    </row>
    <row r="52" spans="1:23" x14ac:dyDescent="0.45">
      <c r="A52" s="9">
        <v>50</v>
      </c>
      <c r="B52" s="9">
        <v>2</v>
      </c>
      <c r="C52" s="9">
        <v>5</v>
      </c>
      <c r="D52" s="56" t="s">
        <v>51</v>
      </c>
      <c r="E52" s="8" t="s">
        <v>1</v>
      </c>
      <c r="F52" s="5" t="s">
        <v>2</v>
      </c>
      <c r="G52" s="31"/>
      <c r="H52" s="31"/>
      <c r="I52" s="31"/>
      <c r="J52" s="32"/>
      <c r="K52" s="31"/>
      <c r="L52" s="31"/>
      <c r="M52" s="31"/>
      <c r="N52" s="33"/>
      <c r="O52" s="31"/>
      <c r="P52" s="31"/>
      <c r="Q52" s="31"/>
      <c r="R52" s="32"/>
      <c r="S52" s="31"/>
      <c r="T52" s="31"/>
      <c r="U52" s="31"/>
      <c r="V52" s="31"/>
      <c r="W52" s="36">
        <v>5253.2822757111599</v>
      </c>
    </row>
    <row r="53" spans="1:23" x14ac:dyDescent="0.45">
      <c r="A53" s="9">
        <v>51</v>
      </c>
      <c r="B53" s="9">
        <v>3</v>
      </c>
      <c r="C53" s="9">
        <v>5</v>
      </c>
      <c r="D53" s="51" t="s">
        <v>27</v>
      </c>
      <c r="E53" s="8" t="s">
        <v>3</v>
      </c>
      <c r="F53" s="5" t="s">
        <v>2</v>
      </c>
      <c r="G53" s="27">
        <v>0.36343999999999999</v>
      </c>
      <c r="H53" s="27">
        <v>2.0950000000000001E-3</v>
      </c>
      <c r="I53" s="27">
        <v>0.30457400000000001</v>
      </c>
      <c r="J53" s="29">
        <f>+AVERAGE(G53:I53)</f>
        <v>0.22336966666666669</v>
      </c>
      <c r="K53" s="30">
        <v>30.15</v>
      </c>
      <c r="L53" s="30">
        <v>32.24</v>
      </c>
      <c r="M53" s="30">
        <v>33.07</v>
      </c>
      <c r="N53" s="29">
        <f t="shared" si="0"/>
        <v>31.820000000000004</v>
      </c>
      <c r="O53" s="30">
        <v>0.38847399999999999</v>
      </c>
      <c r="P53" s="30">
        <v>0.73682700000000001</v>
      </c>
      <c r="Q53" s="30">
        <v>0.31686900000000001</v>
      </c>
      <c r="R53" s="29">
        <f t="shared" ref="R53:R54" si="12">+AVERAGE(O53:Q53)</f>
        <v>0.48072333333333334</v>
      </c>
      <c r="S53" s="30">
        <v>32.590000000000003</v>
      </c>
      <c r="T53" s="30">
        <v>31.42</v>
      </c>
      <c r="U53" s="30">
        <v>31.76</v>
      </c>
      <c r="V53" s="29">
        <f>+AVERAGE(S53:U53)</f>
        <v>31.923333333333336</v>
      </c>
      <c r="W53" s="36">
        <v>3196.936542669584</v>
      </c>
    </row>
    <row r="54" spans="1:23" x14ac:dyDescent="0.45">
      <c r="A54" s="9">
        <v>52</v>
      </c>
      <c r="B54" s="9">
        <v>4</v>
      </c>
      <c r="C54" s="9">
        <v>5</v>
      </c>
      <c r="D54" s="9" t="s">
        <v>27</v>
      </c>
      <c r="E54" s="8" t="s">
        <v>3</v>
      </c>
      <c r="F54" s="5" t="s">
        <v>2</v>
      </c>
      <c r="G54" s="27">
        <v>7.3500999999999997E-2</v>
      </c>
      <c r="H54" s="27">
        <v>0.23826600000000001</v>
      </c>
      <c r="I54" s="27">
        <v>0.22984499999999999</v>
      </c>
      <c r="J54" s="29">
        <f>+AVERAGE(G54:I54)</f>
        <v>0.18053733333333333</v>
      </c>
      <c r="K54" s="30">
        <v>34.53</v>
      </c>
      <c r="L54" s="30">
        <v>32</v>
      </c>
      <c r="M54" s="30">
        <v>32.44</v>
      </c>
      <c r="N54" s="29">
        <f t="shared" si="0"/>
        <v>32.99</v>
      </c>
      <c r="O54" s="30">
        <v>0.75324199999999997</v>
      </c>
      <c r="P54" s="41">
        <v>1.054775</v>
      </c>
      <c r="Q54" s="30">
        <v>0.74384099999999997</v>
      </c>
      <c r="R54" s="29">
        <f t="shared" si="12"/>
        <v>0.85061933333333339</v>
      </c>
      <c r="S54" s="30">
        <v>31.97</v>
      </c>
      <c r="T54" s="30">
        <v>34.049999999999997</v>
      </c>
      <c r="U54" s="30">
        <v>31.76</v>
      </c>
      <c r="V54" s="29">
        <f>+AVERAGE(S54:U54)</f>
        <v>32.593333333333334</v>
      </c>
      <c r="W54" s="36">
        <v>4379.1028446389491</v>
      </c>
    </row>
    <row r="55" spans="1:23" x14ac:dyDescent="0.45">
      <c r="A55" s="9">
        <v>53</v>
      </c>
      <c r="B55" s="9">
        <v>5</v>
      </c>
      <c r="C55" s="9">
        <v>5</v>
      </c>
      <c r="D55" s="56" t="s">
        <v>49</v>
      </c>
      <c r="E55" s="8" t="s">
        <v>1</v>
      </c>
      <c r="F55" s="5" t="s">
        <v>0</v>
      </c>
      <c r="G55" s="31"/>
      <c r="H55" s="31"/>
      <c r="I55" s="31"/>
      <c r="J55" s="32"/>
      <c r="K55" s="31"/>
      <c r="L55" s="31"/>
      <c r="M55" s="31"/>
      <c r="N55" s="33"/>
      <c r="O55" s="31"/>
      <c r="P55" s="31"/>
      <c r="Q55" s="31"/>
      <c r="R55" s="32"/>
      <c r="S55" s="31"/>
      <c r="T55" s="31"/>
      <c r="U55" s="31"/>
      <c r="V55" s="31"/>
      <c r="W55" s="36">
        <v>4084.2450765864328</v>
      </c>
    </row>
    <row r="56" spans="1:23" x14ac:dyDescent="0.45">
      <c r="A56" s="9">
        <v>54</v>
      </c>
      <c r="B56" s="9">
        <v>6</v>
      </c>
      <c r="C56" s="9">
        <v>5</v>
      </c>
      <c r="D56" s="51" t="s">
        <v>26</v>
      </c>
      <c r="E56" s="8" t="s">
        <v>1</v>
      </c>
      <c r="F56" s="5" t="s">
        <v>2</v>
      </c>
      <c r="G56" s="27">
        <v>0.30255900000000002</v>
      </c>
      <c r="H56" s="27">
        <v>0.12809699999999999</v>
      </c>
      <c r="I56" s="27">
        <v>0.15015000000000001</v>
      </c>
      <c r="J56" s="29">
        <f>+AVERAGE(G56:I56)</f>
        <v>0.19360200000000002</v>
      </c>
      <c r="K56" s="30">
        <v>30.56</v>
      </c>
      <c r="L56" s="30">
        <v>32.64</v>
      </c>
      <c r="M56" s="30">
        <v>31.64</v>
      </c>
      <c r="N56" s="29">
        <f t="shared" si="0"/>
        <v>31.613333333333333</v>
      </c>
      <c r="O56" s="31"/>
      <c r="P56" s="31"/>
      <c r="Q56" s="31"/>
      <c r="R56" s="32"/>
      <c r="S56" s="31"/>
      <c r="T56" s="31"/>
      <c r="U56" s="31"/>
      <c r="V56" s="31"/>
      <c r="W56" s="36">
        <v>4579.8687089715531</v>
      </c>
    </row>
    <row r="57" spans="1:23" x14ac:dyDescent="0.45">
      <c r="A57" s="9">
        <v>55</v>
      </c>
      <c r="B57" s="9">
        <v>7</v>
      </c>
      <c r="C57" s="9">
        <v>5</v>
      </c>
      <c r="D57" s="56" t="s">
        <v>45</v>
      </c>
      <c r="E57" s="8" t="s">
        <v>3</v>
      </c>
      <c r="F57" s="5" t="s">
        <v>5</v>
      </c>
      <c r="G57" s="31"/>
      <c r="H57" s="31"/>
      <c r="I57" s="31"/>
      <c r="J57" s="32"/>
      <c r="K57" s="31"/>
      <c r="L57" s="31"/>
      <c r="M57" s="31"/>
      <c r="N57" s="33"/>
      <c r="O57" s="31"/>
      <c r="P57" s="31"/>
      <c r="Q57" s="31"/>
      <c r="R57" s="32"/>
      <c r="S57" s="31"/>
      <c r="T57" s="31"/>
      <c r="U57" s="31"/>
      <c r="V57" s="31"/>
      <c r="W57" s="36">
        <v>3208.4245076586431</v>
      </c>
    </row>
    <row r="58" spans="1:23" x14ac:dyDescent="0.45">
      <c r="A58" s="9">
        <v>56</v>
      </c>
      <c r="B58" s="9">
        <v>8</v>
      </c>
      <c r="C58" s="9">
        <v>5</v>
      </c>
      <c r="D58" s="51" t="s">
        <v>29</v>
      </c>
      <c r="E58" s="8" t="s">
        <v>0</v>
      </c>
      <c r="F58" s="5" t="s">
        <v>5</v>
      </c>
      <c r="G58" s="27">
        <v>0.144512</v>
      </c>
      <c r="H58" s="27">
        <v>0.13427</v>
      </c>
      <c r="I58" s="27">
        <v>3.7720999999999998E-2</v>
      </c>
      <c r="J58" s="29">
        <f>+AVERAGE(G58:I58)</f>
        <v>0.105501</v>
      </c>
      <c r="K58" s="30">
        <v>31.21</v>
      </c>
      <c r="L58" s="30">
        <v>33.42</v>
      </c>
      <c r="M58" s="30">
        <v>32.380000000000003</v>
      </c>
      <c r="N58" s="29">
        <f t="shared" si="0"/>
        <v>32.336666666666666</v>
      </c>
      <c r="O58" s="30">
        <v>7.9920000000000005E-2</v>
      </c>
      <c r="P58" s="30">
        <v>0.13939399999999999</v>
      </c>
      <c r="Q58" s="30">
        <v>0.27561200000000002</v>
      </c>
      <c r="R58" s="29">
        <f t="shared" ref="R58:R60" si="13">+AVERAGE(O58:Q58)</f>
        <v>0.16497533333333333</v>
      </c>
      <c r="S58" s="30">
        <v>33.33</v>
      </c>
      <c r="T58" s="30">
        <v>32.869999999999997</v>
      </c>
      <c r="U58" s="30">
        <v>31.98</v>
      </c>
      <c r="V58" s="29">
        <f>+AVERAGE(S58:U58)</f>
        <v>32.726666666666667</v>
      </c>
      <c r="W58" s="36">
        <v>3094.6389496717725</v>
      </c>
    </row>
    <row r="59" spans="1:23" x14ac:dyDescent="0.45">
      <c r="A59" s="9">
        <v>57</v>
      </c>
      <c r="B59" s="9">
        <v>9</v>
      </c>
      <c r="C59" s="9">
        <v>5</v>
      </c>
      <c r="D59" s="51" t="s">
        <v>23</v>
      </c>
      <c r="E59" s="8" t="s">
        <v>0</v>
      </c>
      <c r="F59" s="5" t="s">
        <v>2</v>
      </c>
      <c r="G59" s="27">
        <v>0.228468</v>
      </c>
      <c r="H59" s="27">
        <v>1.5926560000000001</v>
      </c>
      <c r="I59" s="27">
        <v>0.39976200000000001</v>
      </c>
      <c r="J59" s="29">
        <f>+AVERAGE(G59:I59)</f>
        <v>0.74029533333333342</v>
      </c>
      <c r="K59" s="30">
        <v>33.340000000000003</v>
      </c>
      <c r="L59" s="30">
        <v>28.27</v>
      </c>
      <c r="M59" s="30">
        <v>30.63</v>
      </c>
      <c r="N59" s="29">
        <f t="shared" si="0"/>
        <v>30.746666666666666</v>
      </c>
      <c r="O59" s="30">
        <v>0.85090500000000002</v>
      </c>
      <c r="P59" s="42">
        <v>1.0837680000000001</v>
      </c>
      <c r="Q59" s="30">
        <v>0.72016599999999997</v>
      </c>
      <c r="R59" s="29">
        <f t="shared" si="13"/>
        <v>0.88494633333333328</v>
      </c>
      <c r="S59" s="30">
        <v>31.49</v>
      </c>
      <c r="T59" s="30">
        <v>31.14</v>
      </c>
      <c r="U59" s="30">
        <v>32.18</v>
      </c>
      <c r="V59" s="29">
        <f t="shared" ref="V59:V60" si="14">+AVERAGE(S59:U59)</f>
        <v>31.603333333333335</v>
      </c>
      <c r="W59" s="36">
        <v>4454.0481400437629</v>
      </c>
    </row>
    <row r="60" spans="1:23" x14ac:dyDescent="0.45">
      <c r="A60" s="9">
        <v>58</v>
      </c>
      <c r="B60" s="9">
        <v>10</v>
      </c>
      <c r="C60" s="9">
        <v>5</v>
      </c>
      <c r="D60" s="51" t="s">
        <v>30</v>
      </c>
      <c r="E60" s="8" t="s">
        <v>4</v>
      </c>
      <c r="F60" s="5" t="s">
        <v>0</v>
      </c>
      <c r="G60" s="27">
        <v>0.48252400000000001</v>
      </c>
      <c r="H60" s="27">
        <v>0.15767</v>
      </c>
      <c r="I60" s="27">
        <v>0.211648</v>
      </c>
      <c r="J60" s="29">
        <f>+AVERAGE(G60:I60)</f>
        <v>0.28394733333333333</v>
      </c>
      <c r="K60" s="30">
        <v>30.8</v>
      </c>
      <c r="L60" s="30">
        <v>30.51</v>
      </c>
      <c r="M60" s="30">
        <v>30.24</v>
      </c>
      <c r="N60" s="29">
        <f t="shared" si="0"/>
        <v>30.516666666666666</v>
      </c>
      <c r="O60" s="41">
        <v>1.0963080000000001</v>
      </c>
      <c r="P60" s="30">
        <v>0.24745800000000001</v>
      </c>
      <c r="Q60" s="41">
        <v>1.2653700000000001</v>
      </c>
      <c r="R60" s="29">
        <f t="shared" si="13"/>
        <v>0.86971200000000015</v>
      </c>
      <c r="S60" s="30">
        <v>31.43</v>
      </c>
      <c r="T60" s="30">
        <v>32.75</v>
      </c>
      <c r="U60" s="30">
        <v>30.56</v>
      </c>
      <c r="V60" s="29">
        <f t="shared" si="14"/>
        <v>31.580000000000002</v>
      </c>
      <c r="W60" s="36">
        <v>2572.7571115973742</v>
      </c>
    </row>
    <row r="61" spans="1:23" x14ac:dyDescent="0.45">
      <c r="A61" s="9">
        <v>59</v>
      </c>
      <c r="B61" s="9">
        <v>11</v>
      </c>
      <c r="C61" s="9">
        <v>5</v>
      </c>
      <c r="D61" s="56" t="s">
        <v>47</v>
      </c>
      <c r="E61" s="8" t="s">
        <v>3</v>
      </c>
      <c r="F61" s="5" t="s">
        <v>0</v>
      </c>
      <c r="G61" s="31"/>
      <c r="H61" s="31"/>
      <c r="I61" s="31"/>
      <c r="J61" s="32"/>
      <c r="K61" s="31"/>
      <c r="L61" s="31"/>
      <c r="M61" s="31"/>
      <c r="N61" s="33"/>
      <c r="O61" s="31"/>
      <c r="P61" s="31"/>
      <c r="Q61" s="31"/>
      <c r="R61" s="32"/>
      <c r="S61" s="31"/>
      <c r="T61" s="31"/>
      <c r="U61" s="31"/>
      <c r="V61" s="31"/>
      <c r="W61" s="36">
        <v>3689.2778993435445</v>
      </c>
    </row>
    <row r="62" spans="1:23" x14ac:dyDescent="0.45">
      <c r="A62" s="9">
        <v>60</v>
      </c>
      <c r="B62" s="9">
        <v>12</v>
      </c>
      <c r="C62" s="9">
        <v>5</v>
      </c>
      <c r="D62" s="52" t="s">
        <v>30</v>
      </c>
      <c r="E62" s="8" t="s">
        <v>4</v>
      </c>
      <c r="F62" s="5" t="s">
        <v>2</v>
      </c>
      <c r="G62" s="27">
        <v>7.0007E-2</v>
      </c>
      <c r="H62" s="27">
        <v>0.15976799999999999</v>
      </c>
      <c r="I62" s="27">
        <v>3.6260000000000001E-2</v>
      </c>
      <c r="J62" s="29">
        <f>+AVERAGE(G62:I62)</f>
        <v>8.8678333333333345E-2</v>
      </c>
      <c r="K62" s="30">
        <v>31.68</v>
      </c>
      <c r="L62" s="30">
        <v>30.67</v>
      </c>
      <c r="M62" s="30">
        <v>31.04</v>
      </c>
      <c r="N62" s="29">
        <f t="shared" si="0"/>
        <v>31.13</v>
      </c>
      <c r="O62" s="31"/>
      <c r="P62" s="31"/>
      <c r="Q62" s="31"/>
      <c r="R62" s="32"/>
      <c r="S62" s="31"/>
      <c r="T62" s="31"/>
      <c r="U62" s="31"/>
      <c r="V62" s="31"/>
      <c r="W62" s="36">
        <v>3242.34135667396</v>
      </c>
    </row>
    <row r="63" spans="1:23" x14ac:dyDescent="0.45">
      <c r="A63" s="9">
        <v>61</v>
      </c>
      <c r="B63" s="9">
        <v>1</v>
      </c>
      <c r="C63" s="9">
        <v>6</v>
      </c>
      <c r="D63" s="51" t="s">
        <v>24</v>
      </c>
      <c r="E63" s="8" t="s">
        <v>4</v>
      </c>
      <c r="F63" s="5" t="s">
        <v>2</v>
      </c>
      <c r="G63" s="27">
        <v>1.20655</v>
      </c>
      <c r="H63" s="27">
        <v>0.19636500000000001</v>
      </c>
      <c r="I63" s="27">
        <v>0.12738099999999999</v>
      </c>
      <c r="J63" s="29">
        <f>+AVERAGE(G63:I63)</f>
        <v>0.5100986666666667</v>
      </c>
      <c r="K63" s="30">
        <v>28.29</v>
      </c>
      <c r="L63" s="30">
        <v>29.76</v>
      </c>
      <c r="M63" s="30">
        <v>28.58</v>
      </c>
      <c r="N63" s="29">
        <f t="shared" si="0"/>
        <v>28.876666666666665</v>
      </c>
      <c r="O63" s="41">
        <v>1.595175</v>
      </c>
      <c r="P63" s="30">
        <v>0.49515399999999998</v>
      </c>
      <c r="Q63" s="41">
        <v>1.1567510000000001</v>
      </c>
      <c r="R63" s="29">
        <f t="shared" ref="R63:R64" si="15">+AVERAGE(O63:Q63)</f>
        <v>1.0823600000000002</v>
      </c>
      <c r="S63" s="30">
        <v>34.58</v>
      </c>
      <c r="T63" s="30">
        <v>34.04</v>
      </c>
      <c r="U63" s="30">
        <v>33.869999999999997</v>
      </c>
      <c r="V63" s="29">
        <f>+AVERAGE(S63:U63)</f>
        <v>34.163333333333334</v>
      </c>
      <c r="W63" s="36">
        <v>4652.6258205689273</v>
      </c>
    </row>
    <row r="64" spans="1:23" x14ac:dyDescent="0.45">
      <c r="A64" s="9">
        <v>62</v>
      </c>
      <c r="B64" s="9">
        <v>2</v>
      </c>
      <c r="C64" s="9">
        <v>6</v>
      </c>
      <c r="D64" s="51" t="s">
        <v>23</v>
      </c>
      <c r="E64" s="8" t="s">
        <v>4</v>
      </c>
      <c r="F64" s="5" t="s">
        <v>2</v>
      </c>
      <c r="G64" s="27">
        <v>0.17785100000000001</v>
      </c>
      <c r="H64" s="27">
        <v>0.27241599999999999</v>
      </c>
      <c r="I64" s="27">
        <v>0.99470999999999998</v>
      </c>
      <c r="J64" s="29">
        <f>+AVERAGE(G64:I64)</f>
        <v>0.481659</v>
      </c>
      <c r="K64" s="30">
        <v>29.89</v>
      </c>
      <c r="L64" s="30">
        <v>28.74</v>
      </c>
      <c r="M64" s="30">
        <v>27.23</v>
      </c>
      <c r="N64" s="29">
        <f t="shared" si="0"/>
        <v>28.62</v>
      </c>
      <c r="O64" s="39">
        <v>1.483266</v>
      </c>
      <c r="P64" s="39">
        <v>1.9964489999999999</v>
      </c>
      <c r="Q64" s="39">
        <v>1.125186</v>
      </c>
      <c r="R64" s="29">
        <f t="shared" si="15"/>
        <v>1.534967</v>
      </c>
      <c r="S64" s="30">
        <v>34.630000000000003</v>
      </c>
      <c r="T64" s="30">
        <v>33.81</v>
      </c>
      <c r="U64" s="30">
        <v>34.229999999999997</v>
      </c>
      <c r="V64" s="29">
        <f>+AVERAGE(S64:U64)</f>
        <v>34.223333333333329</v>
      </c>
      <c r="W64" s="36">
        <v>4184.9015317286648</v>
      </c>
    </row>
    <row r="65" spans="1:23" x14ac:dyDescent="0.45">
      <c r="A65" s="9">
        <v>63</v>
      </c>
      <c r="B65" s="9">
        <v>3</v>
      </c>
      <c r="C65" s="9">
        <v>6</v>
      </c>
      <c r="D65" s="56" t="s">
        <v>51</v>
      </c>
      <c r="E65" s="8" t="s">
        <v>1</v>
      </c>
      <c r="F65" s="5" t="s">
        <v>2</v>
      </c>
      <c r="G65" s="31"/>
      <c r="H65" s="31"/>
      <c r="I65" s="31"/>
      <c r="J65" s="31"/>
      <c r="K65" s="31"/>
      <c r="L65" s="31"/>
      <c r="M65" s="31"/>
      <c r="N65" s="33"/>
      <c r="O65" s="31"/>
      <c r="P65" s="31"/>
      <c r="Q65" s="31"/>
      <c r="R65" s="32"/>
      <c r="S65" s="31"/>
      <c r="T65" s="31"/>
      <c r="U65" s="31"/>
      <c r="V65" s="31"/>
      <c r="W65" s="36">
        <v>4450.2188183807439</v>
      </c>
    </row>
    <row r="66" spans="1:23" x14ac:dyDescent="0.45">
      <c r="A66" s="9">
        <v>64</v>
      </c>
      <c r="B66" s="9">
        <v>4</v>
      </c>
      <c r="C66" s="9">
        <v>6</v>
      </c>
      <c r="D66" s="51" t="s">
        <v>27</v>
      </c>
      <c r="E66" s="8" t="s">
        <v>4</v>
      </c>
      <c r="F66" s="5" t="s">
        <v>0</v>
      </c>
      <c r="G66" s="27">
        <v>8.4362999999999994E-2</v>
      </c>
      <c r="H66" s="27">
        <v>8.4760000000000002E-2</v>
      </c>
      <c r="I66" s="27">
        <v>9.9950000000000004E-3</v>
      </c>
      <c r="J66" s="29">
        <f t="shared" ref="J66:J71" si="16">+AVERAGE(G66:I66)</f>
        <v>5.9706000000000002E-2</v>
      </c>
      <c r="K66" s="30">
        <v>31</v>
      </c>
      <c r="L66" s="30">
        <v>30.94</v>
      </c>
      <c r="M66" s="30">
        <v>30.98</v>
      </c>
      <c r="N66" s="29">
        <f t="shared" si="0"/>
        <v>30.973333333333333</v>
      </c>
      <c r="O66" s="30">
        <v>0.62126199999999998</v>
      </c>
      <c r="P66" s="30">
        <v>0.68692900000000001</v>
      </c>
      <c r="Q66" s="30">
        <v>0.62534599999999996</v>
      </c>
      <c r="R66" s="29">
        <f t="shared" ref="R66:R69" si="17">+AVERAGE(O66:Q66)</f>
        <v>0.64451233333333324</v>
      </c>
      <c r="S66" s="30">
        <v>35.65</v>
      </c>
      <c r="T66" s="30">
        <v>35.58</v>
      </c>
      <c r="U66" s="30">
        <v>35.57</v>
      </c>
      <c r="V66" s="29">
        <f>+AVERAGE(S66:U66)</f>
        <v>35.599999999999994</v>
      </c>
      <c r="W66" s="36">
        <v>2958.4245076586435</v>
      </c>
    </row>
    <row r="67" spans="1:23" x14ac:dyDescent="0.45">
      <c r="A67" s="9">
        <v>65</v>
      </c>
      <c r="B67" s="9">
        <v>5</v>
      </c>
      <c r="C67" s="9">
        <v>6</v>
      </c>
      <c r="D67" s="51" t="s">
        <v>30</v>
      </c>
      <c r="E67" s="8" t="s">
        <v>0</v>
      </c>
      <c r="F67" s="5" t="s">
        <v>2</v>
      </c>
      <c r="G67" s="27">
        <v>9.2399999999999999E-3</v>
      </c>
      <c r="H67" s="27">
        <v>0.65814899999999998</v>
      </c>
      <c r="I67" s="27">
        <v>0.16303000000000001</v>
      </c>
      <c r="J67" s="29">
        <f t="shared" si="16"/>
        <v>0.27680633333333332</v>
      </c>
      <c r="K67" s="30">
        <v>30.96</v>
      </c>
      <c r="L67" s="30">
        <v>28.16</v>
      </c>
      <c r="M67" s="30">
        <v>29.86</v>
      </c>
      <c r="N67" s="29">
        <f t="shared" si="0"/>
        <v>29.66</v>
      </c>
      <c r="O67" s="30">
        <v>0.460787</v>
      </c>
      <c r="P67" s="30">
        <v>0.37479499999999999</v>
      </c>
      <c r="Q67" s="30">
        <v>0.24226700000000001</v>
      </c>
      <c r="R67" s="29">
        <f t="shared" si="17"/>
        <v>0.35928300000000002</v>
      </c>
      <c r="S67" s="30">
        <v>35.770000000000003</v>
      </c>
      <c r="T67" s="30">
        <v>36.340000000000003</v>
      </c>
      <c r="U67" s="30">
        <v>37.1</v>
      </c>
      <c r="V67" s="29">
        <f t="shared" ref="V67:V69" si="18">+AVERAGE(S67:U67)</f>
        <v>36.403333333333336</v>
      </c>
      <c r="W67" s="36">
        <v>4041.575492341356</v>
      </c>
    </row>
    <row r="68" spans="1:23" x14ac:dyDescent="0.45">
      <c r="A68" s="9">
        <v>66</v>
      </c>
      <c r="B68" s="9">
        <v>6</v>
      </c>
      <c r="C68" s="9">
        <v>6</v>
      </c>
      <c r="D68" s="9" t="s">
        <v>29</v>
      </c>
      <c r="E68" s="8" t="s">
        <v>1</v>
      </c>
      <c r="F68" s="5" t="s">
        <v>2</v>
      </c>
      <c r="G68" s="27">
        <v>0.42626700000000001</v>
      </c>
      <c r="H68" s="27">
        <v>1.4501999999999999E-2</v>
      </c>
      <c r="I68" s="27">
        <v>0.27911200000000003</v>
      </c>
      <c r="J68" s="29">
        <f t="shared" si="16"/>
        <v>0.23996033333333333</v>
      </c>
      <c r="K68" s="30">
        <v>28.64</v>
      </c>
      <c r="L68" s="30">
        <v>31.2</v>
      </c>
      <c r="M68" s="30">
        <v>30.29</v>
      </c>
      <c r="N68" s="29">
        <f t="shared" ref="N68:N71" si="19">+AVERAGE(K68:M68)</f>
        <v>30.043333333333333</v>
      </c>
      <c r="O68" s="30">
        <v>0.73936199999999996</v>
      </c>
      <c r="P68" s="39">
        <v>1.2396830000000001</v>
      </c>
      <c r="Q68" s="39">
        <v>1.25495</v>
      </c>
      <c r="R68" s="29">
        <f t="shared" si="17"/>
        <v>1.0779983333333334</v>
      </c>
      <c r="S68" s="30">
        <v>36.72</v>
      </c>
      <c r="T68" s="30">
        <v>35.979999999999997</v>
      </c>
      <c r="U68" s="30">
        <v>35.9</v>
      </c>
      <c r="V68" s="29">
        <f t="shared" si="18"/>
        <v>36.199999999999996</v>
      </c>
      <c r="W68" s="36">
        <v>2670.6783369803061</v>
      </c>
    </row>
    <row r="69" spans="1:23" x14ac:dyDescent="0.45">
      <c r="A69" s="9">
        <v>67</v>
      </c>
      <c r="B69" s="9">
        <v>7</v>
      </c>
      <c r="C69" s="9">
        <v>6</v>
      </c>
      <c r="D69" s="51" t="s">
        <v>28</v>
      </c>
      <c r="E69" s="8" t="s">
        <v>3</v>
      </c>
      <c r="F69" s="5" t="s">
        <v>0</v>
      </c>
      <c r="G69" s="27">
        <v>0.12593599999999999</v>
      </c>
      <c r="H69" s="27">
        <v>0.10539900000000001</v>
      </c>
      <c r="I69" s="27">
        <v>0.147755</v>
      </c>
      <c r="J69" s="29">
        <f t="shared" si="16"/>
        <v>0.12636333333333336</v>
      </c>
      <c r="K69" s="30">
        <v>29.3</v>
      </c>
      <c r="L69" s="30">
        <v>29.78</v>
      </c>
      <c r="M69" s="30">
        <v>28.82</v>
      </c>
      <c r="N69" s="29">
        <f t="shared" si="19"/>
        <v>29.3</v>
      </c>
      <c r="O69" s="30">
        <v>0.34873199999999999</v>
      </c>
      <c r="P69" s="39">
        <v>1.1399410000000001</v>
      </c>
      <c r="Q69" s="30">
        <v>4.1244000000000003E-2</v>
      </c>
      <c r="R69" s="29">
        <f t="shared" si="17"/>
        <v>0.50997233333333336</v>
      </c>
      <c r="S69" s="30">
        <v>33.409999999999997</v>
      </c>
      <c r="T69" s="30">
        <v>32</v>
      </c>
      <c r="U69" s="30">
        <v>37.18</v>
      </c>
      <c r="V69" s="29">
        <f t="shared" si="18"/>
        <v>34.196666666666665</v>
      </c>
      <c r="W69" s="36">
        <v>2442.5601750547044</v>
      </c>
    </row>
    <row r="70" spans="1:23" x14ac:dyDescent="0.45">
      <c r="A70" s="9">
        <v>68</v>
      </c>
      <c r="B70" s="9">
        <v>8</v>
      </c>
      <c r="C70" s="9">
        <v>6</v>
      </c>
      <c r="D70" s="9" t="s">
        <v>25</v>
      </c>
      <c r="E70" s="8" t="s">
        <v>3</v>
      </c>
      <c r="F70" s="5" t="s">
        <v>2</v>
      </c>
      <c r="G70" s="27">
        <v>0.158751</v>
      </c>
      <c r="H70" s="27">
        <v>0.29008499999999998</v>
      </c>
      <c r="I70" s="27">
        <v>1.1852E-2</v>
      </c>
      <c r="J70" s="29">
        <f t="shared" si="16"/>
        <v>0.15356266666666665</v>
      </c>
      <c r="K70" s="30">
        <v>29.09</v>
      </c>
      <c r="L70" s="30">
        <v>29.84</v>
      </c>
      <c r="M70" s="30">
        <v>31.28</v>
      </c>
      <c r="N70" s="29">
        <f t="shared" si="19"/>
        <v>30.070000000000004</v>
      </c>
      <c r="O70" s="31"/>
      <c r="P70" s="31"/>
      <c r="Q70" s="31"/>
      <c r="R70" s="32"/>
      <c r="S70" s="31"/>
      <c r="T70" s="31"/>
      <c r="U70" s="31"/>
      <c r="V70" s="31"/>
      <c r="W70" s="36">
        <v>4363.2385120350109</v>
      </c>
    </row>
    <row r="71" spans="1:23" x14ac:dyDescent="0.45">
      <c r="A71" s="9">
        <v>69</v>
      </c>
      <c r="B71" s="9">
        <v>9</v>
      </c>
      <c r="C71" s="9">
        <v>6</v>
      </c>
      <c r="D71" s="51" t="s">
        <v>26</v>
      </c>
      <c r="E71" s="8" t="s">
        <v>3</v>
      </c>
      <c r="F71" s="5" t="s">
        <v>2</v>
      </c>
      <c r="G71" s="27">
        <v>3.074E-2</v>
      </c>
      <c r="H71" s="27">
        <v>2.6082000000000001E-2</v>
      </c>
      <c r="I71" s="27">
        <v>4.3665000000000002E-2</v>
      </c>
      <c r="J71" s="29">
        <f t="shared" si="16"/>
        <v>3.3495666666666667E-2</v>
      </c>
      <c r="K71" s="30">
        <v>31.14</v>
      </c>
      <c r="L71" s="30">
        <v>30.75</v>
      </c>
      <c r="M71" s="30">
        <v>29.81</v>
      </c>
      <c r="N71" s="29">
        <f t="shared" si="19"/>
        <v>30.566666666666666</v>
      </c>
      <c r="O71" s="31"/>
      <c r="P71" s="31"/>
      <c r="Q71" s="31"/>
      <c r="R71" s="31"/>
      <c r="S71" s="31"/>
      <c r="T71" s="31"/>
      <c r="U71" s="31"/>
      <c r="V71" s="31"/>
      <c r="W71" s="36">
        <v>3097.3741794310722</v>
      </c>
    </row>
    <row r="72" spans="1:23" x14ac:dyDescent="0.45">
      <c r="A72" s="9">
        <v>70</v>
      </c>
      <c r="B72" s="9">
        <v>10</v>
      </c>
      <c r="C72" s="9">
        <v>6</v>
      </c>
      <c r="D72" s="56" t="s">
        <v>47</v>
      </c>
      <c r="E72" s="8" t="s">
        <v>1</v>
      </c>
      <c r="F72" s="5" t="s">
        <v>0</v>
      </c>
      <c r="G72" s="31"/>
      <c r="H72" s="31"/>
      <c r="I72" s="31"/>
      <c r="J72" s="31"/>
      <c r="K72" s="31"/>
      <c r="L72" s="31"/>
      <c r="M72" s="31"/>
      <c r="N72" s="35"/>
      <c r="O72" s="31"/>
      <c r="P72" s="31"/>
      <c r="Q72" s="31"/>
      <c r="R72" s="31"/>
      <c r="S72" s="31"/>
      <c r="T72" s="31"/>
      <c r="U72" s="31"/>
      <c r="V72" s="31"/>
      <c r="W72" s="36">
        <v>3602.2975929978115</v>
      </c>
    </row>
    <row r="73" spans="1:23" x14ac:dyDescent="0.45">
      <c r="A73" s="9">
        <v>71</v>
      </c>
      <c r="B73" s="9">
        <v>11</v>
      </c>
      <c r="C73" s="9">
        <v>6</v>
      </c>
      <c r="D73" s="56" t="s">
        <v>45</v>
      </c>
      <c r="E73" s="8" t="s">
        <v>3</v>
      </c>
      <c r="F73" s="5" t="s">
        <v>2</v>
      </c>
      <c r="G73" s="31"/>
      <c r="H73" s="31"/>
      <c r="I73" s="31"/>
      <c r="J73" s="31"/>
      <c r="K73" s="31"/>
      <c r="L73" s="31"/>
      <c r="M73" s="31"/>
      <c r="N73" s="35"/>
      <c r="O73" s="31"/>
      <c r="P73" s="31"/>
      <c r="Q73" s="31"/>
      <c r="R73" s="31"/>
      <c r="S73" s="31"/>
      <c r="T73" s="31"/>
      <c r="U73" s="31"/>
      <c r="V73" s="31"/>
      <c r="W73" s="36">
        <v>4084.7921225382929</v>
      </c>
    </row>
    <row r="74" spans="1:23" x14ac:dyDescent="0.45">
      <c r="A74" s="7">
        <v>72</v>
      </c>
      <c r="B74" s="7">
        <v>12</v>
      </c>
      <c r="C74" s="7">
        <v>6</v>
      </c>
      <c r="D74" s="56" t="s">
        <v>49</v>
      </c>
      <c r="E74" s="6" t="s">
        <v>1</v>
      </c>
      <c r="F74" s="5" t="s">
        <v>0</v>
      </c>
      <c r="G74" s="31"/>
      <c r="H74" s="31"/>
      <c r="I74" s="31"/>
      <c r="J74" s="31"/>
      <c r="K74" s="31"/>
      <c r="L74" s="31"/>
      <c r="M74" s="31"/>
      <c r="N74" s="35"/>
      <c r="O74" s="31"/>
      <c r="P74" s="31"/>
      <c r="Q74" s="31"/>
      <c r="R74" s="31"/>
      <c r="S74" s="31"/>
      <c r="T74" s="31"/>
      <c r="U74" s="31"/>
      <c r="V74" s="31"/>
      <c r="W74" s="36">
        <v>3345.1859956236322</v>
      </c>
    </row>
    <row r="75" spans="1:23" ht="23.5" x14ac:dyDescent="0.55000000000000004">
      <c r="A75" s="4"/>
      <c r="B75" s="4"/>
      <c r="C75" s="4"/>
      <c r="D75" s="4"/>
      <c r="E75" s="3"/>
      <c r="F75" s="37" t="s">
        <v>22</v>
      </c>
      <c r="G75" s="37"/>
      <c r="H75" s="37"/>
      <c r="I75" s="37"/>
      <c r="J75" s="38">
        <f>+AVERAGE(J3:J71)</f>
        <v>0.22461572222222226</v>
      </c>
      <c r="K75" s="37"/>
      <c r="L75" s="37"/>
      <c r="M75" s="37"/>
      <c r="N75" s="38">
        <f>+AVERAGE(N3:N71)</f>
        <v>31.823888888888877</v>
      </c>
      <c r="O75" s="37"/>
      <c r="P75" s="37"/>
      <c r="Q75" s="37"/>
      <c r="R75" s="38">
        <f>+AVERAGE(R3:R71)</f>
        <v>0.56129885185185191</v>
      </c>
      <c r="S75" s="37"/>
      <c r="T75" s="37"/>
      <c r="U75" s="37"/>
      <c r="V75" s="38">
        <f>+AVERAGE(V3:V71)</f>
        <v>31.323518518518526</v>
      </c>
    </row>
    <row r="76" spans="1:23" x14ac:dyDescent="0.45">
      <c r="A76" s="4"/>
      <c r="B76" s="4"/>
      <c r="C76" s="4"/>
      <c r="D76" s="4"/>
      <c r="E76" s="3"/>
    </row>
    <row r="77" spans="1:23" x14ac:dyDescent="0.45">
      <c r="A77" s="4"/>
      <c r="B77" s="4"/>
      <c r="C77" s="4"/>
      <c r="D77" s="4"/>
      <c r="E77" s="3"/>
    </row>
    <row r="78" spans="1:23" x14ac:dyDescent="0.45">
      <c r="A78" s="4"/>
      <c r="B78" s="4"/>
      <c r="C78" s="4"/>
      <c r="D78" s="4"/>
      <c r="E78" s="3"/>
    </row>
    <row r="79" spans="1:23" x14ac:dyDescent="0.45">
      <c r="A79" s="4"/>
      <c r="B79" s="4"/>
      <c r="C79" s="4"/>
      <c r="D79" s="4"/>
      <c r="E79" s="3"/>
    </row>
    <row r="80" spans="1:23" x14ac:dyDescent="0.45">
      <c r="A80" s="4"/>
      <c r="B80" s="4"/>
      <c r="C80" s="4"/>
      <c r="D80" s="4"/>
      <c r="E80" s="3"/>
    </row>
    <row r="81" spans="1:5" x14ac:dyDescent="0.45">
      <c r="A81" s="4"/>
      <c r="B81" s="4"/>
      <c r="C81" s="4"/>
      <c r="D81" s="4"/>
      <c r="E81" s="3"/>
    </row>
    <row r="82" spans="1:5" x14ac:dyDescent="0.45">
      <c r="A82" s="4"/>
      <c r="B82" s="4"/>
      <c r="C82" s="4"/>
      <c r="D82" s="4"/>
      <c r="E82" s="3"/>
    </row>
    <row r="83" spans="1:5" x14ac:dyDescent="0.45">
      <c r="A83" s="4"/>
      <c r="B83" s="4"/>
      <c r="C83" s="4"/>
      <c r="D83" s="4"/>
      <c r="E83" s="3"/>
    </row>
    <row r="84" spans="1:5" x14ac:dyDescent="0.45">
      <c r="A84" s="4"/>
      <c r="B84" s="4"/>
      <c r="C84" s="4"/>
      <c r="D84" s="4"/>
      <c r="E84" s="3"/>
    </row>
    <row r="85" spans="1:5" x14ac:dyDescent="0.45">
      <c r="A85" s="4"/>
      <c r="B85" s="4"/>
      <c r="C85" s="4"/>
      <c r="D85" s="4"/>
      <c r="E85" s="3"/>
    </row>
    <row r="86" spans="1:5" x14ac:dyDescent="0.45">
      <c r="A86" s="4"/>
      <c r="B86" s="4"/>
      <c r="C86" s="4"/>
      <c r="D86" s="4"/>
      <c r="E86" s="3"/>
    </row>
    <row r="87" spans="1:5" x14ac:dyDescent="0.45">
      <c r="A87" s="4"/>
      <c r="B87" s="4"/>
      <c r="C87" s="4"/>
      <c r="D87" s="4"/>
      <c r="E87" s="3"/>
    </row>
    <row r="88" spans="1:5" x14ac:dyDescent="0.45">
      <c r="A88" s="4"/>
      <c r="B88" s="4"/>
      <c r="C88" s="4"/>
      <c r="D88" s="4"/>
      <c r="E88" s="3"/>
    </row>
    <row r="89" spans="1:5" x14ac:dyDescent="0.45">
      <c r="A89" s="4"/>
      <c r="B89" s="4"/>
      <c r="C89" s="4"/>
      <c r="D89" s="4"/>
      <c r="E89" s="3"/>
    </row>
    <row r="90" spans="1:5" x14ac:dyDescent="0.45">
      <c r="A90" s="4"/>
      <c r="B90" s="4"/>
      <c r="C90" s="4"/>
      <c r="D90" s="4"/>
      <c r="E90" s="3"/>
    </row>
    <row r="91" spans="1:5" x14ac:dyDescent="0.45">
      <c r="A91" s="4"/>
      <c r="B91" s="4"/>
      <c r="C91" s="4"/>
      <c r="D91" s="4"/>
      <c r="E91" s="3"/>
    </row>
    <row r="92" spans="1:5" x14ac:dyDescent="0.45">
      <c r="A92" s="4"/>
      <c r="B92" s="4"/>
      <c r="C92" s="4"/>
      <c r="D92" s="4"/>
      <c r="E92" s="3"/>
    </row>
    <row r="93" spans="1:5" x14ac:dyDescent="0.45">
      <c r="A93" s="4"/>
      <c r="B93" s="4"/>
      <c r="C93" s="4"/>
      <c r="D93" s="4"/>
      <c r="E93" s="3"/>
    </row>
    <row r="94" spans="1:5" x14ac:dyDescent="0.45">
      <c r="A94" s="4"/>
      <c r="B94" s="4"/>
      <c r="C94" s="4"/>
      <c r="D94" s="4"/>
      <c r="E94" s="3"/>
    </row>
    <row r="95" spans="1:5" x14ac:dyDescent="0.45">
      <c r="A95" s="4"/>
      <c r="B95" s="4"/>
      <c r="C95" s="4"/>
      <c r="D95" s="4"/>
      <c r="E95" s="3"/>
    </row>
    <row r="96" spans="1:5" x14ac:dyDescent="0.45">
      <c r="A96" s="4"/>
      <c r="B96" s="4"/>
      <c r="C96" s="4"/>
      <c r="D96" s="4"/>
      <c r="E96" s="3"/>
    </row>
    <row r="97" spans="1:5" x14ac:dyDescent="0.45">
      <c r="A97" s="4"/>
      <c r="B97" s="4"/>
      <c r="C97" s="4"/>
      <c r="D97" s="4"/>
      <c r="E97" s="3"/>
    </row>
    <row r="98" spans="1:5" x14ac:dyDescent="0.45">
      <c r="A98" s="4"/>
      <c r="B98" s="4"/>
      <c r="C98" s="4"/>
      <c r="D98" s="4"/>
      <c r="E98" s="3"/>
    </row>
    <row r="99" spans="1:5" x14ac:dyDescent="0.45">
      <c r="A99" s="4"/>
      <c r="B99" s="4"/>
      <c r="C99" s="4"/>
      <c r="D99" s="4"/>
      <c r="E99" s="3"/>
    </row>
    <row r="100" spans="1:5" x14ac:dyDescent="0.45">
      <c r="A100" s="4"/>
      <c r="B100" s="4"/>
      <c r="C100" s="4"/>
      <c r="D100" s="4"/>
      <c r="E100" s="3"/>
    </row>
    <row r="101" spans="1:5" x14ac:dyDescent="0.45">
      <c r="A101" s="4"/>
      <c r="B101" s="4"/>
      <c r="C101" s="4"/>
      <c r="D101" s="4"/>
      <c r="E101" s="3"/>
    </row>
    <row r="102" spans="1:5" x14ac:dyDescent="0.45">
      <c r="A102" s="4"/>
      <c r="B102" s="4"/>
      <c r="C102" s="4"/>
      <c r="D102" s="4"/>
      <c r="E102" s="3"/>
    </row>
    <row r="103" spans="1:5" x14ac:dyDescent="0.45">
      <c r="A103" s="4"/>
      <c r="B103" s="4"/>
      <c r="C103" s="4"/>
      <c r="D103" s="4"/>
      <c r="E103" s="3"/>
    </row>
    <row r="104" spans="1:5" x14ac:dyDescent="0.45">
      <c r="A104" s="4"/>
      <c r="B104" s="4"/>
      <c r="C104" s="4"/>
      <c r="D104" s="4"/>
      <c r="E104" s="3"/>
    </row>
    <row r="105" spans="1:5" x14ac:dyDescent="0.45">
      <c r="A105" s="4"/>
      <c r="B105" s="4"/>
      <c r="C105" s="4"/>
      <c r="D105" s="4"/>
      <c r="E105" s="3"/>
    </row>
    <row r="106" spans="1:5" x14ac:dyDescent="0.45">
      <c r="A106" s="4"/>
      <c r="B106" s="4"/>
      <c r="C106" s="4"/>
      <c r="D106" s="4"/>
      <c r="E106" s="3"/>
    </row>
    <row r="107" spans="1:5" x14ac:dyDescent="0.45">
      <c r="A107" s="4"/>
      <c r="B107" s="4"/>
      <c r="C107" s="4"/>
      <c r="D107" s="4"/>
      <c r="E107" s="3"/>
    </row>
    <row r="108" spans="1:5" x14ac:dyDescent="0.45">
      <c r="A108" s="4"/>
      <c r="B108" s="4"/>
      <c r="C108" s="4"/>
      <c r="D108" s="4"/>
      <c r="E108" s="3"/>
    </row>
    <row r="109" spans="1:5" x14ac:dyDescent="0.45">
      <c r="A109" s="4"/>
      <c r="B109" s="4"/>
      <c r="C109" s="4"/>
      <c r="D109" s="4"/>
      <c r="E109" s="3"/>
    </row>
    <row r="110" spans="1:5" x14ac:dyDescent="0.45">
      <c r="A110" s="4"/>
      <c r="B110" s="4"/>
      <c r="C110" s="4"/>
      <c r="D110" s="4"/>
      <c r="E110" s="3"/>
    </row>
    <row r="111" spans="1:5" x14ac:dyDescent="0.45">
      <c r="A111" s="4"/>
      <c r="B111" s="4"/>
      <c r="C111" s="4"/>
      <c r="D111" s="4"/>
      <c r="E111" s="3"/>
    </row>
    <row r="112" spans="1:5" x14ac:dyDescent="0.45">
      <c r="A112" s="4"/>
      <c r="B112" s="4"/>
      <c r="C112" s="4"/>
      <c r="D112" s="4"/>
      <c r="E112" s="3"/>
    </row>
    <row r="113" spans="1:5" x14ac:dyDescent="0.45">
      <c r="A113" s="4"/>
      <c r="B113" s="4"/>
      <c r="C113" s="4"/>
      <c r="D113" s="4"/>
      <c r="E113" s="3"/>
    </row>
    <row r="114" spans="1:5" x14ac:dyDescent="0.45">
      <c r="A114" s="4"/>
      <c r="B114" s="4"/>
      <c r="C114" s="4"/>
      <c r="D114" s="4"/>
      <c r="E114" s="3"/>
    </row>
    <row r="115" spans="1:5" x14ac:dyDescent="0.45">
      <c r="A115" s="4"/>
      <c r="B115" s="4"/>
      <c r="C115" s="4"/>
      <c r="D115" s="4"/>
      <c r="E115" s="3"/>
    </row>
    <row r="116" spans="1:5" x14ac:dyDescent="0.45">
      <c r="A116" s="4"/>
      <c r="B116" s="4"/>
      <c r="C116" s="4"/>
      <c r="D116" s="4"/>
      <c r="E116" s="3"/>
    </row>
    <row r="117" spans="1:5" x14ac:dyDescent="0.45">
      <c r="A117" s="4"/>
      <c r="B117" s="4"/>
      <c r="C117" s="4"/>
      <c r="D117" s="4"/>
      <c r="E117" s="3"/>
    </row>
    <row r="118" spans="1:5" x14ac:dyDescent="0.45">
      <c r="A118" s="4"/>
      <c r="B118" s="4"/>
      <c r="C118" s="4"/>
      <c r="D118" s="4"/>
      <c r="E118" s="3"/>
    </row>
    <row r="119" spans="1:5" x14ac:dyDescent="0.45">
      <c r="A119" s="4"/>
      <c r="B119" s="4"/>
      <c r="C119" s="4"/>
      <c r="D119" s="4"/>
      <c r="E119" s="3"/>
    </row>
    <row r="120" spans="1:5" x14ac:dyDescent="0.45">
      <c r="A120" s="4"/>
      <c r="B120" s="4"/>
      <c r="C120" s="4"/>
      <c r="D120" s="4"/>
      <c r="E120" s="3"/>
    </row>
    <row r="121" spans="1:5" x14ac:dyDescent="0.45">
      <c r="A121" s="4"/>
      <c r="B121" s="4"/>
      <c r="C121" s="4"/>
      <c r="D121" s="4"/>
      <c r="E121" s="3"/>
    </row>
    <row r="122" spans="1:5" x14ac:dyDescent="0.45">
      <c r="A122" s="4"/>
      <c r="B122" s="4"/>
      <c r="C122" s="4"/>
      <c r="D122" s="4"/>
      <c r="E122" s="3"/>
    </row>
    <row r="123" spans="1:5" x14ac:dyDescent="0.45">
      <c r="A123" s="4"/>
      <c r="B123" s="4"/>
      <c r="C123" s="4"/>
      <c r="D123" s="4"/>
      <c r="E123" s="3"/>
    </row>
    <row r="124" spans="1:5" x14ac:dyDescent="0.45">
      <c r="A124" s="4"/>
      <c r="B124" s="4"/>
      <c r="C124" s="4"/>
      <c r="D124" s="4"/>
      <c r="E124" s="3"/>
    </row>
    <row r="125" spans="1:5" x14ac:dyDescent="0.45">
      <c r="A125" s="4"/>
      <c r="B125" s="4"/>
      <c r="C125" s="4"/>
      <c r="D125" s="4"/>
      <c r="E125" s="3"/>
    </row>
    <row r="126" spans="1:5" x14ac:dyDescent="0.45">
      <c r="A126" s="4"/>
      <c r="B126" s="4"/>
      <c r="C126" s="4"/>
      <c r="D126" s="4"/>
      <c r="E126" s="3"/>
    </row>
    <row r="127" spans="1:5" x14ac:dyDescent="0.45">
      <c r="A127" s="4"/>
      <c r="B127" s="4"/>
      <c r="C127" s="4"/>
      <c r="D127" s="4"/>
      <c r="E127" s="3"/>
    </row>
    <row r="128" spans="1:5" x14ac:dyDescent="0.45">
      <c r="A128" s="4"/>
      <c r="B128" s="4"/>
      <c r="C128" s="4"/>
      <c r="D128" s="4"/>
      <c r="E128" s="3"/>
    </row>
    <row r="129" spans="1:5" x14ac:dyDescent="0.45">
      <c r="A129" s="4"/>
      <c r="B129" s="4"/>
      <c r="C129" s="4"/>
      <c r="D129" s="4"/>
      <c r="E129" s="3"/>
    </row>
    <row r="130" spans="1:5" x14ac:dyDescent="0.45">
      <c r="A130" s="4"/>
      <c r="B130" s="4"/>
      <c r="C130" s="4"/>
      <c r="D130" s="4"/>
      <c r="E130" s="3"/>
    </row>
    <row r="131" spans="1:5" x14ac:dyDescent="0.45">
      <c r="A131" s="4"/>
      <c r="B131" s="4"/>
      <c r="C131" s="4"/>
      <c r="D131" s="4"/>
      <c r="E131" s="3"/>
    </row>
    <row r="132" spans="1:5" x14ac:dyDescent="0.45">
      <c r="A132" s="4"/>
      <c r="B132" s="4"/>
      <c r="C132" s="4"/>
      <c r="D132" s="4"/>
      <c r="E132" s="3"/>
    </row>
    <row r="133" spans="1:5" x14ac:dyDescent="0.45">
      <c r="A133" s="4"/>
      <c r="B133" s="4"/>
      <c r="C133" s="4"/>
      <c r="D133" s="4"/>
      <c r="E133" s="3"/>
    </row>
    <row r="134" spans="1:5" x14ac:dyDescent="0.45">
      <c r="A134" s="4"/>
      <c r="B134" s="4"/>
      <c r="C134" s="4"/>
      <c r="D134" s="4"/>
      <c r="E134" s="3"/>
    </row>
    <row r="135" spans="1:5" x14ac:dyDescent="0.45">
      <c r="A135" s="4"/>
      <c r="B135" s="4"/>
      <c r="C135" s="4"/>
      <c r="D135" s="4"/>
      <c r="E135" s="3"/>
    </row>
    <row r="136" spans="1:5" x14ac:dyDescent="0.45">
      <c r="A136" s="4"/>
      <c r="B136" s="4"/>
      <c r="C136" s="4"/>
      <c r="D136" s="4"/>
      <c r="E136" s="3"/>
    </row>
    <row r="137" spans="1:5" x14ac:dyDescent="0.45">
      <c r="A137" s="4"/>
      <c r="B137" s="4"/>
      <c r="C137" s="4"/>
      <c r="D137" s="4"/>
      <c r="E137" s="3"/>
    </row>
    <row r="138" spans="1:5" x14ac:dyDescent="0.45">
      <c r="A138" s="4"/>
      <c r="B138" s="4"/>
      <c r="C138" s="4"/>
      <c r="D138" s="4"/>
      <c r="E138" s="3"/>
    </row>
    <row r="139" spans="1:5" x14ac:dyDescent="0.45">
      <c r="A139" s="4"/>
      <c r="B139" s="4"/>
      <c r="C139" s="4"/>
      <c r="D139" s="4"/>
      <c r="E139" s="3"/>
    </row>
    <row r="140" spans="1:5" x14ac:dyDescent="0.45">
      <c r="A140" s="4"/>
      <c r="B140" s="4"/>
      <c r="C140" s="4"/>
      <c r="D140" s="4"/>
      <c r="E140" s="3"/>
    </row>
    <row r="141" spans="1:5" x14ac:dyDescent="0.45">
      <c r="A141" s="4"/>
      <c r="B141" s="4"/>
      <c r="C141" s="4"/>
      <c r="D141" s="4"/>
      <c r="E141" s="3"/>
    </row>
    <row r="142" spans="1:5" x14ac:dyDescent="0.45">
      <c r="A142" s="4"/>
      <c r="B142" s="4"/>
      <c r="C142" s="4"/>
      <c r="D142" s="4"/>
      <c r="E142" s="3"/>
    </row>
    <row r="143" spans="1:5" x14ac:dyDescent="0.45">
      <c r="A143" s="4"/>
      <c r="B143" s="4"/>
      <c r="C143" s="4"/>
      <c r="D143" s="4"/>
      <c r="E143" s="3"/>
    </row>
    <row r="144" spans="1:5" x14ac:dyDescent="0.45">
      <c r="A144" s="4"/>
      <c r="B144" s="4"/>
      <c r="C144" s="4"/>
      <c r="D144" s="4"/>
      <c r="E144" s="3"/>
    </row>
    <row r="145" spans="1:5" x14ac:dyDescent="0.45">
      <c r="A145" s="4"/>
      <c r="B145" s="4"/>
      <c r="C145" s="4"/>
      <c r="D145" s="4"/>
      <c r="E145" s="3"/>
    </row>
    <row r="146" spans="1:5" x14ac:dyDescent="0.45">
      <c r="A146" s="4"/>
      <c r="B146" s="4"/>
      <c r="C146" s="4"/>
      <c r="D146" s="4"/>
      <c r="E1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dates</vt:lpstr>
      <vt:lpstr>Sheet1</vt:lpstr>
      <vt:lpstr>dates_ee</vt:lpstr>
      <vt:lpstr>genotypes</vt:lpstr>
      <vt:lpstr>dates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Meira</dc:creator>
  <cp:lastModifiedBy>Elvis F. Elli</cp:lastModifiedBy>
  <dcterms:created xsi:type="dcterms:W3CDTF">2025-02-03T21:20:49Z</dcterms:created>
  <dcterms:modified xsi:type="dcterms:W3CDTF">2025-03-06T02:40:15Z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70d0e1-5e3d-4557-a9f8-84d8494b9cc8_Enabled">
    <vt:lpwstr>true</vt:lpwstr>
  </property>
  <property fmtid="{D5CDD505-2E9C-101B-9397-08002B2CF9AE}" pid="3" name="MSIP_Label_0570d0e1-5e3d-4557-a9f8-84d8494b9cc8_SetDate">
    <vt:lpwstr>2025-02-12T22:23:23Z</vt:lpwstr>
  </property>
  <property fmtid="{D5CDD505-2E9C-101B-9397-08002B2CF9AE}" pid="4" name="MSIP_Label_0570d0e1-5e3d-4557-a9f8-84d8494b9cc8_Method">
    <vt:lpwstr>Standard</vt:lpwstr>
  </property>
  <property fmtid="{D5CDD505-2E9C-101B-9397-08002B2CF9AE}" pid="5" name="MSIP_Label_0570d0e1-5e3d-4557-a9f8-84d8494b9cc8_Name">
    <vt:lpwstr>Public Data</vt:lpwstr>
  </property>
  <property fmtid="{D5CDD505-2E9C-101B-9397-08002B2CF9AE}" pid="6" name="MSIP_Label_0570d0e1-5e3d-4557-a9f8-84d8494b9cc8_SiteId">
    <vt:lpwstr>174d954f-585e-40c3-ae1c-01ada5f26723</vt:lpwstr>
  </property>
  <property fmtid="{D5CDD505-2E9C-101B-9397-08002B2CF9AE}" pid="7" name="MSIP_Label_0570d0e1-5e3d-4557-a9f8-84d8494b9cc8_ActionId">
    <vt:lpwstr>7e7b2f73-684a-44ce-8023-1cdaef06ad6a</vt:lpwstr>
  </property>
  <property fmtid="{D5CDD505-2E9C-101B-9397-08002B2CF9AE}" pid="8" name="MSIP_Label_0570d0e1-5e3d-4557-a9f8-84d8494b9cc8_ContentBits">
    <vt:lpwstr>0</vt:lpwstr>
  </property>
  <property fmtid="{D5CDD505-2E9C-101B-9397-08002B2CF9AE}" pid="9" name="MSIP_Label_0570d0e1-5e3d-4557-a9f8-84d8494b9cc8_Tag">
    <vt:lpwstr>50, 3, 0, 1</vt:lpwstr>
  </property>
</Properties>
</file>