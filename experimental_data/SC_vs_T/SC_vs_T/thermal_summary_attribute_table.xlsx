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uario/Library/CloudStorage/Box-Box/Soybean-Transpiration-Efficiency/SC_vs_T/"/>
    </mc:Choice>
  </mc:AlternateContent>
  <xr:revisionPtr revIDLastSave="0" documentId="13_ncr:1_{C518D570-3246-344A-A673-6ED0083AE133}" xr6:coauthVersionLast="47" xr6:coauthVersionMax="47" xr10:uidLastSave="{00000000-0000-0000-0000-000000000000}"/>
  <bookViews>
    <workbookView xWindow="0" yWindow="720" windowWidth="29400" windowHeight="18400" activeTab="3" xr2:uid="{1CF54C26-4FD2-E34F-9F45-8F3CC6EDF109}"/>
  </bookViews>
  <sheets>
    <sheet name="thermal_summary_attribute_table" sheetId="1" r:id="rId1"/>
    <sheet name="Sheet2" sheetId="4" r:id="rId2"/>
    <sheet name="mm" sheetId="2" r:id="rId3"/>
    <sheet name="Sheet1" sheetId="3" r:id="rId4"/>
  </sheets>
  <definedNames>
    <definedName name="_xlnm._FilterDatabase" localSheetId="2" hidden="1">mm!$A$1:$R$85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2" i="3"/>
  <c r="F9" i="3"/>
  <c r="F8" i="3"/>
  <c r="F7" i="3"/>
  <c r="F6" i="3"/>
  <c r="F5" i="3"/>
  <c r="I5" i="3" s="1"/>
  <c r="F4" i="3"/>
  <c r="I4" i="3" s="1"/>
  <c r="F3" i="3"/>
  <c r="I3" i="3" s="1"/>
  <c r="F2" i="3"/>
  <c r="C9" i="3"/>
  <c r="C8" i="3"/>
  <c r="C7" i="3"/>
  <c r="C6" i="3"/>
  <c r="C5" i="3"/>
  <c r="C4" i="3"/>
  <c r="C3" i="3"/>
  <c r="C2" i="3"/>
  <c r="U1" i="2"/>
  <c r="W1" i="2"/>
  <c r="R39" i="2"/>
  <c r="R32" i="2"/>
  <c r="R33" i="2"/>
  <c r="R29" i="2"/>
  <c r="R2" i="2"/>
  <c r="R17" i="2"/>
  <c r="R18" i="2"/>
  <c r="R23" i="2"/>
  <c r="R24" i="2"/>
  <c r="R11" i="2"/>
  <c r="R12" i="2"/>
  <c r="R5" i="2"/>
  <c r="R6" i="2"/>
  <c r="R25" i="2"/>
  <c r="R26" i="2"/>
  <c r="R19" i="2"/>
  <c r="R20" i="2"/>
  <c r="R34" i="2"/>
  <c r="R35" i="2"/>
  <c r="R3" i="2"/>
  <c r="R13" i="2"/>
  <c r="R14" i="2"/>
  <c r="R40" i="2"/>
  <c r="R41" i="2"/>
  <c r="R7" i="2"/>
  <c r="R8" i="2"/>
  <c r="R30" i="2"/>
  <c r="R36" i="2"/>
  <c r="R37" i="2"/>
  <c r="R42" i="2"/>
  <c r="R43" i="2"/>
  <c r="R21" i="2"/>
  <c r="R22" i="2"/>
  <c r="R9" i="2"/>
  <c r="R10" i="2"/>
  <c r="R15" i="2"/>
  <c r="R16" i="2"/>
  <c r="R27" i="2"/>
  <c r="R28" i="2"/>
  <c r="R31" i="2"/>
  <c r="R4" i="2"/>
  <c r="R80" i="2"/>
  <c r="R81" i="2"/>
  <c r="R76" i="2"/>
  <c r="R77" i="2"/>
  <c r="R74" i="2"/>
  <c r="R44" i="2"/>
  <c r="R60" i="2"/>
  <c r="R61" i="2"/>
  <c r="R68" i="2"/>
  <c r="R69" i="2"/>
  <c r="R54" i="2"/>
  <c r="R55" i="2"/>
  <c r="R47" i="2"/>
  <c r="R48" i="2"/>
  <c r="R70" i="2"/>
  <c r="R71" i="2"/>
  <c r="R62" i="2"/>
  <c r="R63" i="2"/>
  <c r="R64" i="2"/>
  <c r="R65" i="2"/>
  <c r="R45" i="2"/>
  <c r="R56" i="2"/>
  <c r="R57" i="2"/>
  <c r="R82" i="2"/>
  <c r="R83" i="2"/>
  <c r="R49" i="2"/>
  <c r="R50" i="2"/>
  <c r="R51" i="2"/>
  <c r="R78" i="2"/>
  <c r="R79" i="2"/>
  <c r="R84" i="2"/>
  <c r="R85" i="2"/>
  <c r="R66" i="2"/>
  <c r="R67" i="2"/>
  <c r="R52" i="2"/>
  <c r="R53" i="2"/>
  <c r="R58" i="2"/>
  <c r="R59" i="2"/>
  <c r="R72" i="2"/>
  <c r="R73" i="2"/>
  <c r="R75" i="2"/>
  <c r="R46" i="2"/>
  <c r="R38" i="2"/>
  <c r="Q49" i="2"/>
  <c r="Q51" i="2"/>
  <c r="Q78" i="2"/>
  <c r="Q84" i="2"/>
  <c r="Q66" i="2"/>
  <c r="Q52" i="2"/>
  <c r="Q58" i="2"/>
  <c r="Q72" i="2"/>
  <c r="Q75" i="2"/>
  <c r="Q46" i="2"/>
  <c r="Q39" i="2"/>
  <c r="Q33" i="2"/>
  <c r="Q18" i="2"/>
  <c r="Q24" i="2"/>
  <c r="Q12" i="2"/>
  <c r="Q6" i="2"/>
  <c r="Q26" i="2"/>
  <c r="Q20" i="2"/>
  <c r="Q35" i="2"/>
  <c r="Q14" i="2"/>
  <c r="Q41" i="2"/>
  <c r="Q8" i="2"/>
  <c r="Q37" i="2"/>
  <c r="Q43" i="2"/>
  <c r="Q22" i="2"/>
  <c r="Q10" i="2"/>
  <c r="Q16" i="2"/>
  <c r="Q28" i="2"/>
  <c r="Q81" i="2"/>
  <c r="Q77" i="2"/>
  <c r="Q61" i="2"/>
  <c r="Q69" i="2"/>
  <c r="Q55" i="2"/>
  <c r="Q48" i="2"/>
  <c r="Q71" i="2"/>
  <c r="Q63" i="2"/>
  <c r="Q64" i="2"/>
  <c r="Q57" i="2"/>
  <c r="Q83" i="2"/>
  <c r="Q50" i="2"/>
  <c r="Q79" i="2"/>
  <c r="Q85" i="2"/>
  <c r="Q67" i="2"/>
  <c r="Q53" i="2"/>
  <c r="Q59" i="2"/>
  <c r="Q73" i="2"/>
  <c r="Q65" i="2"/>
  <c r="Q45" i="2"/>
  <c r="Q56" i="2"/>
  <c r="Q82" i="2"/>
  <c r="Q25" i="2"/>
  <c r="Q19" i="2"/>
  <c r="Q34" i="2"/>
  <c r="Q3" i="2"/>
  <c r="Q13" i="2"/>
  <c r="Q40" i="2"/>
  <c r="Q7" i="2"/>
  <c r="Q30" i="2"/>
  <c r="Q36" i="2"/>
  <c r="Q42" i="2"/>
  <c r="Q21" i="2"/>
  <c r="Q9" i="2"/>
  <c r="Q15" i="2"/>
  <c r="Q27" i="2"/>
  <c r="Q31" i="2"/>
  <c r="Q4" i="2"/>
  <c r="Q80" i="2"/>
  <c r="Q76" i="2"/>
  <c r="Q74" i="2"/>
  <c r="Q44" i="2"/>
  <c r="Q60" i="2"/>
  <c r="Q68" i="2"/>
  <c r="Q54" i="2"/>
  <c r="Q47" i="2"/>
  <c r="Q70" i="2"/>
  <c r="Q62" i="2"/>
  <c r="Q32" i="2"/>
  <c r="Q29" i="2"/>
  <c r="Q2" i="2"/>
  <c r="Q17" i="2"/>
  <c r="Q23" i="2"/>
  <c r="Q11" i="2"/>
  <c r="Q5" i="2"/>
  <c r="Q38" i="2"/>
  <c r="Y1" i="2" l="1"/>
</calcChain>
</file>

<file path=xl/sharedStrings.xml><?xml version="1.0" encoding="utf-8"?>
<sst xmlns="http://schemas.openxmlformats.org/spreadsheetml/2006/main" count="748" uniqueCount="45">
  <si>
    <t>ID</t>
  </si>
  <si>
    <t>genotype</t>
  </si>
  <si>
    <t>phenology</t>
  </si>
  <si>
    <t>conductance</t>
  </si>
  <si>
    <t>leaftemp</t>
  </si>
  <si>
    <t>yield</t>
  </si>
  <si>
    <t>temp.mean</t>
  </si>
  <si>
    <t>temp.median</t>
  </si>
  <si>
    <t>temp.sd</t>
  </si>
  <si>
    <t>temp.se</t>
  </si>
  <si>
    <t>temp.cv</t>
  </si>
  <si>
    <t>temp.min</t>
  </si>
  <si>
    <t>temp.max</t>
  </si>
  <si>
    <t>temp.range</t>
  </si>
  <si>
    <t>date</t>
  </si>
  <si>
    <t>P42A84E</t>
  </si>
  <si>
    <t>R4</t>
  </si>
  <si>
    <t>PI377574</t>
  </si>
  <si>
    <t>R2</t>
  </si>
  <si>
    <t>PI424397</t>
  </si>
  <si>
    <t>PI567488B</t>
  </si>
  <si>
    <t>R3</t>
  </si>
  <si>
    <t>R19-45980</t>
  </si>
  <si>
    <t>PI398245</t>
  </si>
  <si>
    <t>P48A14E</t>
  </si>
  <si>
    <t>R5</t>
  </si>
  <si>
    <t>R19-46252</t>
  </si>
  <si>
    <t>R19C-1012</t>
  </si>
  <si>
    <t>R18-14502</t>
  </si>
  <si>
    <t>R18C-13665</t>
  </si>
  <si>
    <t>P52A14SE</t>
  </si>
  <si>
    <t>R6</t>
  </si>
  <si>
    <t>R5.8</t>
  </si>
  <si>
    <t>Irrig</t>
  </si>
  <si>
    <t>Rainfed</t>
  </si>
  <si>
    <t>Irrigated</t>
  </si>
  <si>
    <t>diftemp</t>
  </si>
  <si>
    <t>yield(bu/ac)</t>
  </si>
  <si>
    <t>Row Labels</t>
  </si>
  <si>
    <t>(blank)</t>
  </si>
  <si>
    <t>Grand Total</t>
  </si>
  <si>
    <t>Average of temp.mean</t>
  </si>
  <si>
    <t>irrigated</t>
  </si>
  <si>
    <t>rainfed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</si>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</sst>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0" fontId="0" fillId="33" borderId="0" xfId="0" applyFill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vis F. Elli" refreshedDate="45721.848971990737" createdVersion="8" refreshedVersion="8" minRefreshableVersion="3" recordCount="85" xr:uid="{A6FDBF85-211F-4339-A525-E3AEB156835D}">
  <cacheSource type="worksheet">
    <worksheetSource ref="A1:R1048576" sheet="mm"/>
  </cacheSource>
  <cacheFields count="18">
    <cacheField name="Irrig" numFmtId="0">
      <sharedItems containsBlank="1" count="3">
        <s v="Rainfed"/>
        <s v="Irrigated"/>
        <m/>
      </sharedItems>
    </cacheField>
    <cacheField name="date" numFmtId="0">
      <sharedItems containsNonDate="0" containsDate="1" containsString="0" containsBlank="1" minDate="2024-08-09T00:00:00" maxDate="2024-08-31T00:00:00" count="3">
        <d v="2024-08-09T00:00:00"/>
        <d v="2024-08-30T00:00:00"/>
        <m/>
      </sharedItems>
    </cacheField>
    <cacheField name="ID" numFmtId="0">
      <sharedItems containsString="0" containsBlank="1" containsNumber="1" containsInteger="1" minValue="1" maxValue="69"/>
    </cacheField>
    <cacheField name="genotype" numFmtId="0">
      <sharedItems containsBlank="1" count="9">
        <s v="P42A84E"/>
        <s v="P48A14E"/>
        <s v="P52A14SE"/>
        <s v="R19C-1012"/>
        <s v="PI398245"/>
        <s v="PI377574"/>
        <s v="PI424397"/>
        <s v="PI567488B"/>
        <m/>
      </sharedItems>
    </cacheField>
    <cacheField name="phenology" numFmtId="0">
      <sharedItems containsBlank="1"/>
    </cacheField>
    <cacheField name="conductance" numFmtId="0">
      <sharedItems containsString="0" containsBlank="1" containsNumber="1" minValue="2.5597999999999999E-2" maxValue="1.534967"/>
    </cacheField>
    <cacheField name="leaftemp" numFmtId="0">
      <sharedItems containsString="0" containsBlank="1" containsNumber="1" minValue="25.7566666666667" maxValue="36.4033333333333"/>
    </cacheField>
    <cacheField name="yield" numFmtId="0">
      <sharedItems containsString="0" containsBlank="1" containsNumber="1" minValue="586.43326039387296" maxValue="5551.9693654267003"/>
    </cacheField>
    <cacheField name="temp.mean" numFmtId="0">
      <sharedItems containsString="0" containsBlank="1" containsNumber="1" minValue="29.9605727474957" maxValue="40.770578570574898"/>
    </cacheField>
    <cacheField name="temp.median" numFmtId="0">
      <sharedItems containsString="0" containsBlank="1" containsNumber="1" minValue="29.916093826293899" maxValue="41.004247665405302"/>
    </cacheField>
    <cacheField name="temp.sd" numFmtId="0">
      <sharedItems containsString="0" containsBlank="1" containsNumber="1" minValue="0.18883573582046201" maxValue="1.6044885040630401"/>
    </cacheField>
    <cacheField name="temp.se" numFmtId="0">
      <sharedItems containsString="0" containsBlank="1" containsNumber="1" minValue="3.1462268010775199E-4" maxValue="2.48272311232452E-3"/>
    </cacheField>
    <cacheField name="temp.cv" numFmtId="0">
      <sharedItems containsString="0" containsBlank="1" containsNumber="1" minValue="0.61858609516322105" maxValue="4.3221565798617396"/>
    </cacheField>
    <cacheField name="temp.min" numFmtId="0">
      <sharedItems containsString="0" containsBlank="1" containsNumber="1" minValue="26.6103515625" maxValue="38.2997856140137"/>
    </cacheField>
    <cacheField name="temp.max" numFmtId="0">
      <sharedItems containsString="0" containsBlank="1" containsNumber="1" minValue="31.037403106689499" maxValue="45.968437194824197"/>
    </cacheField>
    <cacheField name="temp.range" numFmtId="0">
      <sharedItems containsString="0" containsBlank="1" containsNumber="1" minValue="1.0203914642334" maxValue="8.8102531433105504"/>
    </cacheField>
    <cacheField name="diftemp" numFmtId="0">
      <sharedItems containsString="0" containsBlank="1" containsNumber="1" minValue="-10.630056021250002" maxValue="5.6730067007674023"/>
    </cacheField>
    <cacheField name="yield(bu/ac)" numFmtId="0">
      <sharedItems containsString="0" containsBlank="1" containsNumber="1" minValue="8.7279842297049104" maxValue="82.6308880105179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n v="1"/>
    <x v="0"/>
    <s v="R4"/>
    <n v="0.89290066666666701"/>
    <n v="29.24"/>
    <n v="1516.9584245076601"/>
    <n v="39.870056021250001"/>
    <n v="39.572010040283203"/>
    <n v="1.2133071759712499"/>
    <n v="1.8774243383514199E-3"/>
    <n v="3.04315392816248"/>
    <n v="37.72802734375"/>
    <n v="44.525623321533203"/>
    <n v="6.7975959777831996"/>
    <n v="-10.630056021250002"/>
    <n v="22.577145773294539"/>
  </r>
  <r>
    <x v="0"/>
    <x v="1"/>
    <n v="1"/>
    <x v="0"/>
    <s v="R6"/>
    <n v="0.23831533333333299"/>
    <n v="25.7566666666667"/>
    <n v="1516.9584245076601"/>
    <n v="33.461323448224299"/>
    <n v="33.440311431884801"/>
    <n v="0.51924300298402204"/>
    <n v="8.6512028306629798E-4"/>
    <n v="1.5517706697628499"/>
    <n v="32.337265014648402"/>
    <n v="34.719532012939503"/>
    <n v="2.3822669982910201"/>
    <n v="-7.704656781557599"/>
    <n v="22.577145773294539"/>
  </r>
  <r>
    <x v="0"/>
    <x v="0"/>
    <n v="2"/>
    <x v="1"/>
    <s v="R4"/>
    <n v="0.67524366666666702"/>
    <n v="30.19"/>
    <n v="1449.6717724288801"/>
    <n v="39.346141312702599"/>
    <n v="39.2683200836182"/>
    <n v="0.69014458063430395"/>
    <n v="1.0679028842197199E-3"/>
    <n v="1.75403370599774"/>
    <n v="36.869277954101598"/>
    <n v="41.710899353027301"/>
    <n v="4.8416213989257804"/>
    <n v="-9.1561413127025979"/>
    <n v="21.575707284251827"/>
  </r>
  <r>
    <x v="0"/>
    <x v="1"/>
    <n v="2"/>
    <x v="1"/>
    <s v="R5.8"/>
    <n v="0.27213733333333301"/>
    <n v="26.13"/>
    <n v="1449.6717724288801"/>
    <n v="33.291183971882703"/>
    <n v="33.162158966064503"/>
    <n v="0.61818741400072397"/>
    <n v="1.02997337954458E-3"/>
    <n v="1.85691026946604"/>
    <n v="32.117031097412102"/>
    <n v="35.172950744628899"/>
    <n v="3.0559196472168"/>
    <n v="-7.1611839718827035"/>
    <n v="21.575707284251827"/>
  </r>
  <r>
    <x v="0"/>
    <x v="0"/>
    <n v="3"/>
    <x v="2"/>
    <s v="R3"/>
    <n v="0.63957966666666699"/>
    <n v="31.446666666666701"/>
    <n v="1321.11597374179"/>
    <n v="38.646962141660303"/>
    <n v="38.500526428222699"/>
    <n v="1.0475529958420999"/>
    <n v="1.62094276623111E-3"/>
    <n v="2.71057008828351"/>
    <n v="35.162773132324197"/>
    <n v="43.505195617675803"/>
    <n v="8.3424224853515607"/>
    <n v="-7.2002954749936023"/>
    <n v="19.66238984583703"/>
  </r>
  <r>
    <x v="0"/>
    <x v="0"/>
    <n v="4"/>
    <x v="3"/>
    <s v="R3"/>
    <n v="0.55055533333333295"/>
    <n v="32.213333333333303"/>
    <n v="1450.21881838074"/>
    <n v="39.653647826559599"/>
    <n v="39.429872512817397"/>
    <n v="1.3901128600567101"/>
    <n v="2.15100657789863E-3"/>
    <n v="3.5056367730325899"/>
    <n v="36.448673248291001"/>
    <n v="43.627635955810497"/>
    <n v="7.1789627075195304"/>
    <n v="-7.4403144932262961"/>
    <n v="21.583849060585504"/>
  </r>
  <r>
    <x v="0"/>
    <x v="0"/>
    <n v="9"/>
    <x v="4"/>
    <s v="R2"/>
    <n v="0.75610333333333302"/>
    <n v="31.526666666666699"/>
    <n v="952.95404814004405"/>
    <n v="40.770578570574898"/>
    <n v="41.004247665405302"/>
    <n v="0.993549064345429"/>
    <n v="1.5373791828563201E-3"/>
    <n v="2.43692657592673"/>
    <n v="38.2997856140137"/>
    <n v="42.867931365966797"/>
    <n v="4.5681457519531197"/>
    <n v="-9.2439119039081987"/>
    <n v="14.182974373270488"/>
  </r>
  <r>
    <x v="0"/>
    <x v="1"/>
    <n v="9"/>
    <x v="4"/>
    <s v="R5.8"/>
    <n v="0.59535800000000005"/>
    <n v="26.79"/>
    <n v="952.95404814004405"/>
    <n v="32.059040698733902"/>
    <n v="32.019218444824197"/>
    <n v="0.43869186073391703"/>
    <n v="7.3091254876030696E-4"/>
    <n v="1.36838736023452"/>
    <n v="31.0732421875"/>
    <n v="34.228809356689503"/>
    <n v="3.15556716918945"/>
    <n v="-5.2690406987339031"/>
    <n v="14.182974373270488"/>
  </r>
  <r>
    <x v="0"/>
    <x v="0"/>
    <n v="10"/>
    <x v="5"/>
    <s v="R2"/>
    <n v="4.0697333333333002E-2"/>
    <n v="34.063333333333297"/>
    <n v="856.12691466083197"/>
    <n v="39.929108043496903"/>
    <n v="40.036211013793903"/>
    <n v="1.1485817755216401"/>
    <n v="1.7772707708788101E-3"/>
    <n v="2.8765525497600102"/>
    <n v="37.035118103027301"/>
    <n v="42.953319549560497"/>
    <n v="5.9182014465331996"/>
    <n v="-5.8657747101636062"/>
    <n v="12.741879962209138"/>
  </r>
  <r>
    <x v="0"/>
    <x v="1"/>
    <n v="10"/>
    <x v="5"/>
    <s v="R6"/>
    <n v="0.43315700000000001"/>
    <n v="27.38"/>
    <n v="856.12691466083197"/>
    <n v="32.1056874005548"/>
    <n v="32.090166091918903"/>
    <n v="0.23663937144541999"/>
    <n v="3.9426919348548701E-4"/>
    <n v="0.73706371239798096"/>
    <n v="31.500585556030298"/>
    <n v="32.710117340087898"/>
    <n v="1.2095317840576201"/>
    <n v="-4.7256874005548006"/>
    <n v="12.741879962209138"/>
  </r>
  <r>
    <x v="0"/>
    <x v="0"/>
    <n v="11"/>
    <x v="6"/>
    <s v="R4"/>
    <n v="3.5784999999999997E-2"/>
    <n v="33.016666666666701"/>
    <n v="910.83150984682698"/>
    <n v="39.765984165888803"/>
    <n v="39.471935272216797"/>
    <n v="1.12450762430425"/>
    <n v="1.7400193655333299E-3"/>
    <n v="2.8278128855386102"/>
    <n v="38.1816215515137"/>
    <n v="45.968437194824197"/>
    <n v="7.7868156433105504"/>
    <n v="-6.7493174992221014"/>
    <n v="13.556057595577125"/>
  </r>
  <r>
    <x v="0"/>
    <x v="1"/>
    <n v="11"/>
    <x v="6"/>
    <s v="R5"/>
    <n v="0.655673333333333"/>
    <n v="27.52"/>
    <n v="910.83150984682698"/>
    <n v="32.383283447088402"/>
    <n v="32.324764251708999"/>
    <n v="0.378627790754753"/>
    <n v="6.3083870101683095E-4"/>
    <n v="1.1692075368867401"/>
    <n v="31.520391464233398"/>
    <n v="35.114044189453097"/>
    <n v="3.5936527252197301"/>
    <n v="-4.8632834470884028"/>
    <n v="13.556057595577125"/>
  </r>
  <r>
    <x v="0"/>
    <x v="0"/>
    <n v="12"/>
    <x v="7"/>
    <s v="R3"/>
    <n v="5.2778666666667001E-2"/>
    <n v="31.97"/>
    <n v="1498.90590809628"/>
    <n v="38.320972469565"/>
    <n v="38.2878608703613"/>
    <n v="0.79594308229750799"/>
    <n v="1.2316113711695401E-3"/>
    <n v="2.0770430158828899"/>
    <n v="36.3081245422363"/>
    <n v="42.087635040283203"/>
    <n v="5.7795104980468803"/>
    <n v="-6.3509724695650007"/>
    <n v="22.308467154283079"/>
  </r>
  <r>
    <x v="0"/>
    <x v="1"/>
    <n v="12"/>
    <x v="7"/>
    <s v="R6"/>
    <n v="0.73217366666666694"/>
    <n v="27.366666666666699"/>
    <n v="1498.90590809628"/>
    <n v="33.135862036735901"/>
    <n v="33.098007202148402"/>
    <n v="0.46794083839794498"/>
    <n v="7.7964480647140899E-4"/>
    <n v="1.4121885161133401"/>
    <n v="31.996503829956101"/>
    <n v="34.751720428466797"/>
    <n v="2.75521659851074"/>
    <n v="-5.7691953700692018"/>
    <n v="22.308467154283079"/>
  </r>
  <r>
    <x v="0"/>
    <x v="0"/>
    <n v="13"/>
    <x v="5"/>
    <s v="R3"/>
    <n v="4.8692333333332997E-2"/>
    <n v="32.5566666666667"/>
    <n v="586.43326039387296"/>
    <n v="39.013922946648997"/>
    <n v="39.095664978027301"/>
    <n v="0.92015845887630499"/>
    <n v="1.4238174141279799E-3"/>
    <n v="2.3585386687070899"/>
    <n v="36.136894226074197"/>
    <n v="41.70263671875"/>
    <n v="5.5657424926757804"/>
    <n v="-6.4572562799822961"/>
    <n v="8.7279842297049104"/>
  </r>
  <r>
    <x v="0"/>
    <x v="1"/>
    <n v="13"/>
    <x v="5"/>
    <s v="R5"/>
    <n v="0.129979333333333"/>
    <n v="29.24"/>
    <n v="586.43326039387296"/>
    <n v="33.700189934593503"/>
    <n v="33.591377258300803"/>
    <n v="0.65160137706812304"/>
    <n v="1.0856449957649401E-3"/>
    <n v="1.9335243461024201"/>
    <n v="32.467929840087898"/>
    <n v="35.266857147216797"/>
    <n v="2.7989273071289098"/>
    <n v="-4.4601899345935045"/>
    <n v="8.7279842297049104"/>
  </r>
  <r>
    <x v="0"/>
    <x v="0"/>
    <n v="15"/>
    <x v="4"/>
    <s v="R2"/>
    <n v="4.8150999999999999E-2"/>
    <n v="32.770000000000003"/>
    <n v="1360.50328227571"/>
    <n v="38.340820870125697"/>
    <n v="38.065135955810497"/>
    <n v="1.0034678624646101"/>
    <n v="1.5527271453219999E-3"/>
    <n v="2.61723103389915"/>
    <n v="36.349647521972699"/>
    <n v="42.437618255615199"/>
    <n v="6.0879707336425799"/>
    <n v="-5.5708208701256936"/>
    <n v="20.248597741862035"/>
  </r>
  <r>
    <x v="0"/>
    <x v="1"/>
    <n v="15"/>
    <x v="4"/>
    <s v="R5.8"/>
    <n v="0.172064666666667"/>
    <n v="29.78"/>
    <n v="1360.50328227571"/>
    <n v="32.641605913320099"/>
    <n v="32.530017852783203"/>
    <n v="0.61871707351415195"/>
    <n v="1.0308558549665899E-3"/>
    <n v="1.89548600996273"/>
    <n v="31.297948837280298"/>
    <n v="34.7880668640137"/>
    <n v="3.4901180267334002"/>
    <n v="-2.8616059133200977"/>
    <n v="20.248597741862035"/>
  </r>
  <r>
    <x v="0"/>
    <x v="0"/>
    <n v="16"/>
    <x v="1"/>
    <s v="R5"/>
    <n v="2.5597999999999999E-2"/>
    <n v="32.9166666666667"/>
    <n v="1636.2144420131301"/>
    <n v="38.072920134500599"/>
    <n v="38.129119873046903"/>
    <n v="0.89783959061858098"/>
    <n v="1.38928206537101E-3"/>
    <n v="2.35821047465436"/>
    <n v="34.3193359375"/>
    <n v="41.831405639648402"/>
    <n v="7.5120697021484402"/>
    <n v="-5.1562534678338992"/>
    <n v="24.352053014036763"/>
  </r>
  <r>
    <x v="0"/>
    <x v="1"/>
    <n v="16"/>
    <x v="1"/>
    <s v="R5.8"/>
    <n v="0.29994866666666697"/>
    <n v="29.5766666666667"/>
    <n v="1636.2144420131301"/>
    <n v="32.469590929286198"/>
    <n v="32.452081680297901"/>
    <n v="0.54478348974837598"/>
    <n v="9.07673756126597E-4"/>
    <n v="1.67782677316395"/>
    <n v="31.441757202148398"/>
    <n v="34.570137023925803"/>
    <n v="3.1283798217773402"/>
    <n v="-2.8929242626194984"/>
    <n v="24.352053014036763"/>
  </r>
  <r>
    <x v="0"/>
    <x v="0"/>
    <n v="18"/>
    <x v="3"/>
    <s v="R3"/>
    <n v="4.0080333333333003E-2"/>
    <n v="34.116666666666703"/>
    <n v="1684.9015317286701"/>
    <n v="37.513201393013198"/>
    <n v="37.593338012695298"/>
    <n v="0.91990293109601196"/>
    <n v="1.4234220203782799E-3"/>
    <n v="2.4522112134832201"/>
    <n v="32.7832221984863"/>
    <n v="39.960273742675803"/>
    <n v="7.1770515441894496"/>
    <n v="-3.3965347263464949"/>
    <n v="25.076671107734338"/>
  </r>
  <r>
    <x v="0"/>
    <x v="0"/>
    <n v="20"/>
    <x v="6"/>
    <s v="R5"/>
    <n v="4.8795333333333003E-2"/>
    <n v="33.546666666666702"/>
    <n v="894.96717724288806"/>
    <n v="39.615194851014699"/>
    <n v="39.432247161865199"/>
    <n v="1.5569226468178201"/>
    <n v="2.4091215546684901E-3"/>
    <n v="3.93011482758854"/>
    <n v="34.819454193115199"/>
    <n v="43.629707336425803"/>
    <n v="8.8102531433105504"/>
    <n v="-6.068528184347997"/>
    <n v="13.319946081900403"/>
  </r>
  <r>
    <x v="0"/>
    <x v="1"/>
    <n v="20"/>
    <x v="6"/>
    <s v="R5"/>
    <n v="0.32335766666666699"/>
    <n v="29.626666666666701"/>
    <n v="894.96717724288806"/>
    <n v="31.928983769161999"/>
    <n v="31.845293045043899"/>
    <n v="0.399977058337318"/>
    <n v="6.6640910698887899E-4"/>
    <n v="1.2527083894340201"/>
    <n v="30.980781555175799"/>
    <n v="33.243457794189503"/>
    <n v="2.2626762390136701"/>
    <n v="-2.302317102495298"/>
    <n v="13.319946081900403"/>
  </r>
  <r>
    <x v="0"/>
    <x v="0"/>
    <n v="21"/>
    <x v="0"/>
    <s v="R4"/>
    <n v="3.1484333333333003E-2"/>
    <n v="31.793333333333301"/>
    <n v="1430.52516411379"/>
    <n v="38.759491115642398"/>
    <n v="38.7436332702637"/>
    <n v="1.2762721206244301"/>
    <n v="1.9748538449890999E-3"/>
    <n v="3.2927989606895598"/>
    <n v="34.9072265625"/>
    <n v="42.63818359375"/>
    <n v="7.73095703125"/>
    <n v="-6.9661577823090965"/>
    <n v="21.290745112573152"/>
  </r>
  <r>
    <x v="0"/>
    <x v="1"/>
    <n v="21"/>
    <x v="0"/>
    <s v="R5.8"/>
    <n v="0.39602533333333301"/>
    <n v="29.2366666666667"/>
    <n v="1430.52516411379"/>
    <n v="32.262474721283198"/>
    <n v="32.183906555175803"/>
    <n v="0.37571935533220202"/>
    <n v="6.2599290345850605E-4"/>
    <n v="1.1645707856513099"/>
    <n v="31.311817169189499"/>
    <n v="33.896560668945298"/>
    <n v="2.5847434997558598"/>
    <n v="-3.0258080546164976"/>
    <n v="21.290745112573152"/>
  </r>
  <r>
    <x v="0"/>
    <x v="0"/>
    <n v="22"/>
    <x v="7"/>
    <s v="R3"/>
    <n v="4.6344666666666999E-2"/>
    <n v="32.11"/>
    <n v="1812.36323851203"/>
    <n v="37.584205267715497"/>
    <n v="37.554122924804702"/>
    <n v="1.14377893179995"/>
    <n v="1.76983903728738E-3"/>
    <n v="3.0432436276162198"/>
    <n v="34.578964233398402"/>
    <n v="41.348731994628899"/>
    <n v="6.7697677612304696"/>
    <n v="-5.4742052677154973"/>
    <n v="26.973704993481618"/>
  </r>
  <r>
    <x v="0"/>
    <x v="1"/>
    <n v="22"/>
    <x v="7"/>
    <s v="R5.8"/>
    <n v="0.225318666666667"/>
    <n v="30.66"/>
    <n v="1812.36323851203"/>
    <n v="32.5954823834876"/>
    <n v="32.5573921203613"/>
    <n v="0.42157272343197899"/>
    <n v="7.0239004037137996E-4"/>
    <n v="1.29334709169864"/>
    <n v="31.3762111663818"/>
    <n v="33.920291900634801"/>
    <n v="2.5440807342529301"/>
    <n v="-1.9354823834875994"/>
    <n v="26.973704993481618"/>
  </r>
  <r>
    <x v="0"/>
    <x v="0"/>
    <n v="24"/>
    <x v="2"/>
    <s v="R3"/>
    <n v="5.2981333333332999E-2"/>
    <n v="31.726666666666699"/>
    <n v="1613.7855579868699"/>
    <n v="39.687305171889697"/>
    <n v="39.807422637939503"/>
    <n v="1.0618120821802901"/>
    <n v="1.64300672189226E-3"/>
    <n v="2.6754451519987899"/>
    <n v="36.884883880615199"/>
    <n v="42.680389404296903"/>
    <n v="5.7955055236816397"/>
    <n v="-7.9606385052229989"/>
    <n v="24.018240184355857"/>
  </r>
  <r>
    <x v="0"/>
    <x v="0"/>
    <n v="25"/>
    <x v="1"/>
    <s v="R5"/>
    <n v="6.1534666666667001E-2"/>
    <n v="33.163333333333298"/>
    <n v="1796.4989059080999"/>
    <n v="38.555280134149299"/>
    <n v="38.543340682983398"/>
    <n v="0.96087005147578397"/>
    <n v="1.4868129492348499E-3"/>
    <n v="2.49218796526061"/>
    <n v="35.864627838134801"/>
    <n v="41.979373931884801"/>
    <n v="6.11474609375"/>
    <n v="-5.391946800816001"/>
    <n v="26.737593479805032"/>
  </r>
  <r>
    <x v="0"/>
    <x v="1"/>
    <n v="25"/>
    <x v="1"/>
    <s v="R5"/>
    <n v="1.03830466666667"/>
    <n v="30.956666666666699"/>
    <n v="1796.4989059080999"/>
    <n v="33.362519234559301"/>
    <n v="33.344678878784201"/>
    <n v="0.484037305476822"/>
    <n v="8.0646342525994899E-4"/>
    <n v="1.45084159284776"/>
    <n v="32.233787536621101"/>
    <n v="34.962345123291001"/>
    <n v="2.7285575866699201"/>
    <n v="-2.4058525678926017"/>
    <n v="26.737593479805032"/>
  </r>
  <r>
    <x v="0"/>
    <x v="0"/>
    <n v="26"/>
    <x v="0"/>
    <s v="R5"/>
    <n v="6.3075000000000006E-2"/>
    <n v="33.663333333333298"/>
    <n v="1636.76148796499"/>
    <n v="39.3719320299898"/>
    <n v="39.215232849121101"/>
    <n v="1.0892290609511099"/>
    <n v="1.68543068859071E-3"/>
    <n v="2.7665115852619002"/>
    <n v="36.507247924804702"/>
    <n v="42.527694702148402"/>
    <n v="6.02044677734375"/>
    <n v="-5.7085986966565017"/>
    <n v="24.360194790370443"/>
  </r>
  <r>
    <x v="0"/>
    <x v="1"/>
    <n v="26"/>
    <x v="0"/>
    <s v="R5.8"/>
    <n v="0.95992533333333296"/>
    <n v="30.6466666666667"/>
    <n v="1636.76148796499"/>
    <n v="32.5214406353331"/>
    <n v="32.454238891601598"/>
    <n v="0.48428667541096398"/>
    <n v="8.0687890507724798E-4"/>
    <n v="1.48913045040449"/>
    <n v="31.4629096984863"/>
    <n v="34.935840606689503"/>
    <n v="3.4729309082031201"/>
    <n v="-1.8747739686663998"/>
    <n v="24.360194790370443"/>
  </r>
  <r>
    <x v="0"/>
    <x v="0"/>
    <n v="28"/>
    <x v="4"/>
    <s v="R3"/>
    <n v="6.2447000000000003E-2"/>
    <n v="33.876666666666701"/>
    <n v="1736.8708971553599"/>
    <n v="37.722666939858698"/>
    <n v="37.722518920898402"/>
    <n v="0.77984447306708404"/>
    <n v="1.20670100932435E-3"/>
    <n v="2.0673100189612601"/>
    <n v="34.237892150878899"/>
    <n v="39.923885345458999"/>
    <n v="5.6859931945800799"/>
    <n v="-3.8460002731919971"/>
    <n v="25.850139859433845"/>
  </r>
  <r>
    <x v="0"/>
    <x v="1"/>
    <n v="28"/>
    <x v="4"/>
    <s v="R5.8"/>
    <n v="0.368850333333333"/>
    <n v="31.46"/>
    <n v="1736.8708971553599"/>
    <n v="32.296711001344299"/>
    <n v="32.351795196533203"/>
    <n v="0.59716804261595402"/>
    <n v="9.9495261967344896E-4"/>
    <n v="1.8490057473378601"/>
    <n v="30.775547027587901"/>
    <n v="33.744842529296903"/>
    <n v="2.9692955017089799"/>
    <n v="-0.83671100134429821"/>
    <n v="25.850139859433845"/>
  </r>
  <r>
    <x v="0"/>
    <x v="0"/>
    <n v="29"/>
    <x v="7"/>
    <s v="R4"/>
    <n v="5.0952999999999998E-2"/>
    <n v="34.646666666666697"/>
    <n v="1681.0722100656501"/>
    <n v="35.770131541950001"/>
    <n v="35.845615386962898"/>
    <n v="0.937711831354889"/>
    <n v="1.45097882004735E-3"/>
    <n v="2.6214939418245402"/>
    <n v="31.394922256469702"/>
    <n v="38.150821685791001"/>
    <n v="6.75589942932129"/>
    <n v="-1.1234648752833039"/>
    <n v="25.019678673398573"/>
  </r>
  <r>
    <x v="0"/>
    <x v="1"/>
    <n v="29"/>
    <x v="7"/>
    <s v="R5.8"/>
    <n v="0.32994833333333301"/>
    <n v="31.5566666666667"/>
    <n v="1681.0722100656501"/>
    <n v="32.298268482710398"/>
    <n v="32.275508880615199"/>
    <n v="0.39015674402109402"/>
    <n v="6.5004730133675205E-4"/>
    <n v="1.2079803727867"/>
    <n v="31.156660079956101"/>
    <n v="33.479686737060497"/>
    <n v="2.32302665710449"/>
    <n v="-0.74160181604369768"/>
    <n v="25.019678673398573"/>
  </r>
  <r>
    <x v="0"/>
    <x v="0"/>
    <n v="30"/>
    <x v="6"/>
    <s v="R5"/>
    <n v="6.1006333333333003E-2"/>
    <n v="35.049999999999997"/>
    <n v="1155.9080962800899"/>
    <n v="38.669900556076598"/>
    <n v="38.7131538391113"/>
    <n v="1.0119187960795599"/>
    <n v="1.5658037913393601E-3"/>
    <n v="2.6168125118712"/>
    <n v="33.653984069824197"/>
    <n v="41.625118255615199"/>
    <n v="7.9711341857910201"/>
    <n v="-3.6199005560766011"/>
    <n v="17.203573393065781"/>
  </r>
  <r>
    <x v="0"/>
    <x v="1"/>
    <n v="30"/>
    <x v="6"/>
    <s v="R5.8"/>
    <n v="0.27892499999999998"/>
    <n v="31.1033333333333"/>
    <n v="1155.9080962800899"/>
    <n v="32.356588184152002"/>
    <n v="32.36962890625"/>
    <n v="0.41364482279953901"/>
    <n v="6.8918121983871405E-4"/>
    <n v="1.27839443530124"/>
    <n v="31.326522827148398"/>
    <n v="33.956153869628899"/>
    <n v="2.6296310424804701"/>
    <n v="-1.2532548508187027"/>
    <n v="17.203573393065781"/>
  </r>
  <r>
    <x v="0"/>
    <x v="0"/>
    <n v="31"/>
    <x v="5"/>
    <s v="R3"/>
    <n v="9.0889666666666993E-2"/>
    <n v="33.766666666666701"/>
    <n v="691.46608315098501"/>
    <n v="37.122405780920701"/>
    <n v="37.144989013671903"/>
    <n v="1.6044885040630401"/>
    <n v="2.48272311232452E-3"/>
    <n v="4.3221565798617396"/>
    <n v="31.911777496337901"/>
    <n v="40.548282623291001"/>
    <n v="8.6365051269531197"/>
    <n v="-3.3557391142539998"/>
    <n v="10.29120528577147"/>
  </r>
  <r>
    <x v="0"/>
    <x v="1"/>
    <n v="31"/>
    <x v="5"/>
    <s v="R6"/>
    <n v="5.8475333333332997E-2"/>
    <n v="31.823333333333299"/>
    <n v="691.46608315098501"/>
    <n v="30.255547084456499"/>
    <n v="30.254531860351602"/>
    <n v="0.48963100747730198"/>
    <n v="8.1578319467471899E-4"/>
    <n v="1.61831814215928"/>
    <n v="28.315586090087901"/>
    <n v="31.527168273925799"/>
    <n v="3.2115821838378902"/>
    <n v="1.5677862488768"/>
    <n v="10.29120528577147"/>
  </r>
  <r>
    <x v="0"/>
    <x v="0"/>
    <n v="32"/>
    <x v="2"/>
    <s v="R2"/>
    <n v="8.5517999999999997E-2"/>
    <n v="33.5133333333333"/>
    <n v="1548.1400437636801"/>
    <n v="37.246629607682998"/>
    <n v="37.027490615844698"/>
    <n v="1.3392707934415"/>
    <n v="2.0723355412758798E-3"/>
    <n v="3.5956831733447499"/>
    <n v="33.550254821777301"/>
    <n v="42.120567321777301"/>
    <n v="8.5703125"/>
    <n v="-3.7332962743496978"/>
    <n v="23.041227024314335"/>
  </r>
  <r>
    <x v="0"/>
    <x v="0"/>
    <n v="33"/>
    <x v="3"/>
    <s v="R3"/>
    <n v="7.1440000000000003E-2"/>
    <n v="34.06"/>
    <n v="2449.12472647702"/>
    <n v="36.623935543028701"/>
    <n v="36.4131755828857"/>
    <n v="1.2896201678089201"/>
    <n v="1.9955080940942801E-3"/>
    <n v="3.5212495563011399"/>
    <n v="33.930801391601598"/>
    <n v="41.557716369628899"/>
    <n v="7.6269149780273402"/>
    <n v="-2.5639355430286983"/>
    <n v="36.450732645885104"/>
  </r>
  <r>
    <x v="1"/>
    <x v="0"/>
    <n v="37"/>
    <x v="0"/>
    <s v="R4"/>
    <n v="0.173181"/>
    <n v="32.0833333333333"/>
    <n v="3729.7592997811798"/>
    <n v="31.547478327795499"/>
    <n v="31.600819587707502"/>
    <n v="0.76247059153015395"/>
    <n v="1.1798173407076601E-3"/>
    <n v="2.4168986934793"/>
    <n v="29.147031784057599"/>
    <n v="33.570156097412102"/>
    <n v="4.4231243133544904"/>
    <n v="0.53585500553780108"/>
    <n v="55.510631043029917"/>
  </r>
  <r>
    <x v="1"/>
    <x v="1"/>
    <n v="37"/>
    <x v="0"/>
    <s v="R5"/>
    <n v="0.36331466666666701"/>
    <n v="33.203333333333298"/>
    <n v="3729.7592997811798"/>
    <n v="30.2870939671872"/>
    <n v="30.244081497192401"/>
    <n v="0.24776433761358199"/>
    <n v="4.1280470349754902E-4"/>
    <n v="0.81805252719857602"/>
    <n v="29.651035308837901"/>
    <n v="31.210273742675799"/>
    <n v="1.55923843383789"/>
    <n v="2.9162393661460975"/>
    <n v="55.510631043029917"/>
  </r>
  <r>
    <x v="1"/>
    <x v="0"/>
    <n v="38"/>
    <x v="1"/>
    <s v="R3"/>
    <n v="0.174168666666667"/>
    <n v="31.623333333333299"/>
    <n v="5551.9693654267003"/>
    <n v="30.9496337413471"/>
    <n v="30.934629440307599"/>
    <n v="0.64530000137000099"/>
    <n v="9.9851212628033906E-4"/>
    <n v="2.0850004454427999"/>
    <n v="29.387266159057599"/>
    <n v="33.122871398925803"/>
    <n v="3.7356052398681601"/>
    <n v="0.67369959198619966"/>
    <n v="82.630888010517936"/>
  </r>
  <r>
    <x v="1"/>
    <x v="1"/>
    <n v="38"/>
    <x v="1"/>
    <s v="R5.8"/>
    <n v="0.78532966666666704"/>
    <n v="32.586666666666702"/>
    <n v="5551.9693654267003"/>
    <n v="30.9352266025302"/>
    <n v="30.9353218078613"/>
    <n v="0.36361965179779299"/>
    <n v="6.0583336565722603E-4"/>
    <n v="1.17542262246772"/>
    <n v="29.926795959472699"/>
    <n v="31.744823455810501"/>
    <n v="1.81802749633789"/>
    <n v="1.6514400641365015"/>
    <n v="82.630888010517936"/>
  </r>
  <r>
    <x v="1"/>
    <x v="0"/>
    <n v="39"/>
    <x v="2"/>
    <s v="R3"/>
    <n v="0.58261700000000005"/>
    <n v="30.253333333333298"/>
    <n v="3612.1444201312902"/>
    <n v="31.821078054813"/>
    <n v="31.879238128662099"/>
    <n v="0.52932279762016499"/>
    <n v="8.1905351157332096E-4"/>
    <n v="1.6634345219492099"/>
    <n v="30.166816711425799"/>
    <n v="33.251991271972699"/>
    <n v="3.0851745605468799"/>
    <n v="-1.567744721479702"/>
    <n v="53.760149131288735"/>
  </r>
  <r>
    <x v="1"/>
    <x v="0"/>
    <n v="40"/>
    <x v="3"/>
    <s v="R3"/>
    <n v="0.52647100000000002"/>
    <n v="29.316666666666698"/>
    <n v="3928.3369803063401"/>
    <n v="30.742936749291399"/>
    <n v="30.8739557266235"/>
    <n v="0.83231406687068998"/>
    <n v="1.28789041822358E-3"/>
    <n v="2.7073342851342002"/>
    <n v="27.161582946777301"/>
    <n v="32.352657318115199"/>
    <n v="5.1910743713378897"/>
    <n v="-1.4262700826247006"/>
    <n v="58.466095852155682"/>
  </r>
  <r>
    <x v="1"/>
    <x v="0"/>
    <n v="45"/>
    <x v="4"/>
    <s v="R3"/>
    <n v="0.124281666666667"/>
    <n v="30.9166666666667"/>
    <n v="3164.11378555799"/>
    <n v="32.170887347122601"/>
    <n v="32.122734069824197"/>
    <n v="0.81600401031931802"/>
    <n v="1.26265287101719E-3"/>
    <n v="2.5364672149532801"/>
    <n v="28.123985290527301"/>
    <n v="34.504356384277301"/>
    <n v="6.38037109375"/>
    <n v="-1.2542206804559015"/>
    <n v="47.092034314004913"/>
  </r>
  <r>
    <x v="1"/>
    <x v="1"/>
    <n v="45"/>
    <x v="4"/>
    <s v="R5.8"/>
    <n v="0.40412033333333303"/>
    <n v="34.063333333333297"/>
    <n v="3164.11378555799"/>
    <n v="32.6656378532441"/>
    <n v="32.665702819824197"/>
    <n v="0.299920596549477"/>
    <n v="4.9970320234104496E-4"/>
    <n v="0.91815319173291798"/>
    <n v="31.953945159912099"/>
    <n v="33.736717224121101"/>
    <n v="1.7827720642089799"/>
    <n v="1.3976954800891974"/>
    <n v="47.092034314004913"/>
  </r>
  <r>
    <x v="1"/>
    <x v="0"/>
    <n v="46"/>
    <x v="5"/>
    <s v="R3"/>
    <n v="0.24288799999999999"/>
    <n v="30.656666666666698"/>
    <n v="922.86652078774603"/>
    <n v="31.267354838285101"/>
    <n v="31.182656288147001"/>
    <n v="0.681009819188374"/>
    <n v="1.0537681096108901E-3"/>
    <n v="2.1780218464611401"/>
    <n v="29.566679000854499"/>
    <n v="34.032188415527301"/>
    <n v="4.4655094146728498"/>
    <n v="-0.61068817161840272"/>
    <n v="13.735176674918083"/>
  </r>
  <r>
    <x v="1"/>
    <x v="1"/>
    <n v="46"/>
    <x v="5"/>
    <s v="R5"/>
    <n v="0.31040733333333298"/>
    <n v="32.773333333333298"/>
    <n v="922.86652078774603"/>
    <n v="30.5660356915417"/>
    <n v="30.4326171875"/>
    <n v="0.55064348194194102"/>
    <n v="9.1743719651217405E-4"/>
    <n v="1.80148805523484"/>
    <n v="29.6018161773682"/>
    <n v="31.844764709472699"/>
    <n v="2.24294853210449"/>
    <n v="2.2072976417915982"/>
    <n v="13.735176674918083"/>
  </r>
  <r>
    <x v="1"/>
    <x v="0"/>
    <n v="47"/>
    <x v="6"/>
    <s v="R4"/>
    <n v="0.128072666666667"/>
    <n v="32.11"/>
    <n v="2830.9628008752702"/>
    <n v="33.344910426702299"/>
    <n v="33.240087509155302"/>
    <n v="0.85454807019565804"/>
    <n v="1.32229445028403E-3"/>
    <n v="2.5627541332704999"/>
    <n v="31.357851028442401"/>
    <n v="36.431972503662102"/>
    <n v="5.0741214752197301"/>
    <n v="-1.2349104267022994"/>
    <n v="42.133692526793723"/>
  </r>
  <r>
    <x v="1"/>
    <x v="1"/>
    <n v="47"/>
    <x v="6"/>
    <s v="R5.8"/>
    <n v="0.86694066666666703"/>
    <n v="31.0966666666667"/>
    <n v="2830.9628008752702"/>
    <n v="31.0008230249062"/>
    <n v="30.848182678222699"/>
    <n v="0.44044769966814801"/>
    <n v="7.3383798418663203E-4"/>
    <n v="1.4207613111248401"/>
    <n v="30.059257507324201"/>
    <n v="32.524826049804702"/>
    <n v="2.4655685424804701"/>
    <n v="9.584364176049931E-2"/>
    <n v="42.133692526793723"/>
  </r>
  <r>
    <x v="1"/>
    <x v="0"/>
    <n v="48"/>
    <x v="7"/>
    <s v="R3"/>
    <n v="7.3979333333332994E-2"/>
    <n v="32.8333333333333"/>
    <n v="3277.8993435448601"/>
    <n v="31.6462191678045"/>
    <n v="31.569530487060501"/>
    <n v="0.66152848560813005"/>
    <n v="1.0236234516615901E-3"/>
    <n v="2.0903871078575502"/>
    <n v="30.084257125854499"/>
    <n v="34.036483764648402"/>
    <n v="3.9522266387939502"/>
    <n v="1.1871141655288007"/>
    <n v="48.785523791410334"/>
  </r>
  <r>
    <x v="1"/>
    <x v="1"/>
    <n v="48"/>
    <x v="7"/>
    <s v="R5.8"/>
    <n v="0.95822066666666705"/>
    <n v="32.9"/>
    <n v="3277.8993435448601"/>
    <n v="30.3430647422005"/>
    <n v="30.3006544113159"/>
    <n v="0.531950754499114"/>
    <n v="8.8629290075145303E-4"/>
    <n v="1.7531213772196399"/>
    <n v="29.222753524780298"/>
    <n v="31.628847122192401"/>
    <n v="2.4060935974121098"/>
    <n v="2.5569352577994984"/>
    <n v="48.785523791410334"/>
  </r>
  <r>
    <x v="1"/>
    <x v="0"/>
    <n v="49"/>
    <x v="5"/>
    <s v="R4"/>
    <n v="0.52567766666666704"/>
    <n v="31.546666666666699"/>
    <n v="1377.4617067833699"/>
    <n v="31.030384943190501"/>
    <n v="31.072422027587901"/>
    <n v="0.77756734904925395"/>
    <n v="1.20317747617695E-3"/>
    <n v="2.50582566240413"/>
    <n v="29.071445465087901"/>
    <n v="32.953006744384801"/>
    <n v="3.8815612792968799"/>
    <n v="0.51628172347619739"/>
    <n v="20.500992808206131"/>
  </r>
  <r>
    <x v="1"/>
    <x v="1"/>
    <n v="49"/>
    <x v="5"/>
    <s v="R5.8"/>
    <n v="0.55041799999999996"/>
    <n v="33.200000000000003"/>
    <n v="1377.4617067833699"/>
    <n v="29.976345069115698"/>
    <n v="29.916093826293899"/>
    <n v="0.35258110470356302"/>
    <n v="5.8744184004798296E-4"/>
    <n v="1.17619777825024"/>
    <n v="29.300468444824201"/>
    <n v="31.037403106689499"/>
    <n v="1.7369346618652299"/>
    <n v="3.2236549308843045"/>
    <n v="20.500992808206131"/>
  </r>
  <r>
    <x v="1"/>
    <x v="0"/>
    <n v="51"/>
    <x v="4"/>
    <s v="R3"/>
    <n v="0.22336966666666699"/>
    <n v="31.82"/>
    <n v="3196.9365426695799"/>
    <n v="31.824064889632702"/>
    <n v="31.882890701293899"/>
    <n v="0.65988438867515697"/>
    <n v="1.02107944000675E-3"/>
    <n v="2.07353897424376"/>
    <n v="29.627285003662099"/>
    <n v="33.473670959472699"/>
    <n v="3.84638595581055"/>
    <n v="-4.0648896327013517E-3"/>
    <n v="47.580540894025603"/>
  </r>
  <r>
    <x v="1"/>
    <x v="1"/>
    <n v="51"/>
    <x v="4"/>
    <s v="R5.8"/>
    <n v="0.480723333333333"/>
    <n v="31.9233333333333"/>
    <n v="3196.9365426695799"/>
    <n v="30.971926497126201"/>
    <n v="30.928144454956101"/>
    <n v="0.29581572574929899"/>
    <n v="4.9286400187384101E-4"/>
    <n v="0.95510922052829506"/>
    <n v="30.182090759277301"/>
    <n v="31.768360137939499"/>
    <n v="1.58626937866211"/>
    <n v="0.95140683620709865"/>
    <n v="47.580540894025603"/>
  </r>
  <r>
    <x v="1"/>
    <x v="1"/>
    <n v="52"/>
    <x v="4"/>
    <s v="R5.8"/>
    <n v="0.85061933333333295"/>
    <n v="32.593333333333298"/>
    <n v="4379.10284463895"/>
    <n v="31.663964319539001"/>
    <n v="31.666776657104499"/>
    <n v="0.28846377428598102"/>
    <n v="4.8061478080685898E-4"/>
    <n v="0.91101597821084701"/>
    <n v="30.805526733398398"/>
    <n v="32.581230163574197"/>
    <n v="1.7757034301757799"/>
    <n v="0.92936901379429671"/>
    <n v="65.174919551108061"/>
  </r>
  <r>
    <x v="1"/>
    <x v="0"/>
    <n v="52"/>
    <x v="4"/>
    <s v="R3"/>
    <n v="0.18053733333333299"/>
    <n v="32.99"/>
    <n v="4379.10284463895"/>
    <n v="30.158063801338699"/>
    <n v="30.327051162719702"/>
    <n v="0.85109636742064898"/>
    <n v="1.3169534196473499E-3"/>
    <n v="2.8221187309208799"/>
    <n v="26.940605163574201"/>
    <n v="32.292850494384801"/>
    <n v="5.3522453308105504"/>
    <n v="2.8319361986613032"/>
    <n v="65.174919551108061"/>
  </r>
  <r>
    <x v="1"/>
    <x v="0"/>
    <n v="54"/>
    <x v="3"/>
    <s v="R2"/>
    <n v="0.193602"/>
    <n v="31.613333333333301"/>
    <n v="4579.8687089715504"/>
    <n v="29.9605727474957"/>
    <n v="30.0922946929932"/>
    <n v="0.93986496564754196"/>
    <n v="1.4543104963159999E-3"/>
    <n v="3.1370060030848501"/>
    <n v="26.6103515625"/>
    <n v="31.860996246337901"/>
    <n v="5.2506446838378897"/>
    <n v="1.6527605858376013"/>
    <n v="68.16295146556854"/>
  </r>
  <r>
    <x v="1"/>
    <x v="0"/>
    <n v="56"/>
    <x v="6"/>
    <s v="R5"/>
    <n v="0.105501"/>
    <n v="32.336666666666702"/>
    <n v="3094.6389496717702"/>
    <n v="32.246342811458497"/>
    <n v="32.253574371337898"/>
    <n v="0.78855782788974005"/>
    <n v="1.2201837157129001E-3"/>
    <n v="2.4454178649044498"/>
    <n v="27.766796112060501"/>
    <n v="34.31689453125"/>
    <n v="6.5500984191894496"/>
    <n v="9.0323855208204407E-2"/>
    <n v="46.05802871962748"/>
  </r>
  <r>
    <x v="1"/>
    <x v="1"/>
    <n v="56"/>
    <x v="6"/>
    <s v="R6"/>
    <n v="0.164975333333333"/>
    <n v="32.726666666666702"/>
    <n v="3094.6389496717702"/>
    <n v="32.5283203125"/>
    <n v="32.496885299682603"/>
    <n v="0.44341379178282198"/>
    <n v="7.3877984461633505E-4"/>
    <n v="1.36316227681891"/>
    <n v="31.4897651672363"/>
    <n v="34.636581420898402"/>
    <n v="3.1468162536621098"/>
    <n v="0.1983463541667021"/>
    <n v="46.05802871962748"/>
  </r>
  <r>
    <x v="1"/>
    <x v="0"/>
    <n v="57"/>
    <x v="0"/>
    <s v="R5"/>
    <n v="0.74029533333333297"/>
    <n v="30.746666666666702"/>
    <n v="4454.0481400437602"/>
    <n v="30.404515241925498"/>
    <n v="30.3944044113159"/>
    <n v="0.61906377536147295"/>
    <n v="9.5791521048655401E-4"/>
    <n v="2.0360915819102798"/>
    <n v="27.7815036773682"/>
    <n v="32.140449523925803"/>
    <n v="4.3589458465576199"/>
    <n v="0.34215142474120341"/>
    <n v="66.290342908822154"/>
  </r>
  <r>
    <x v="1"/>
    <x v="1"/>
    <n v="57"/>
    <x v="0"/>
    <s v="R5.8"/>
    <n v="0.88494633333333295"/>
    <n v="31.6033333333333"/>
    <n v="4454.0481400437602"/>
    <n v="30.691039449957401"/>
    <n v="30.699863433837901"/>
    <n v="0.20483296134536799"/>
    <n v="3.4127595072449299E-4"/>
    <n v="0.66740314116553301"/>
    <n v="30.183183670043899"/>
    <n v="31.203575134277301"/>
    <n v="1.0203914642334"/>
    <n v="0.91229388337589867"/>
    <n v="66.290342908822154"/>
  </r>
  <r>
    <x v="1"/>
    <x v="0"/>
    <n v="58"/>
    <x v="7"/>
    <s v="R4"/>
    <n v="0.283947333333333"/>
    <n v="30.516666666666701"/>
    <n v="2572.7571115973701"/>
    <n v="30.8648476835567"/>
    <n v="30.843847274780298"/>
    <n v="0.54406017840807996"/>
    <n v="8.4185756146500296E-4"/>
    <n v="1.7627178464837501"/>
    <n v="29.242481231689499"/>
    <n v="32.671581268310497"/>
    <n v="3.4291000366210902"/>
    <n v="-0.34818101688999903"/>
    <n v="38.290774097296776"/>
  </r>
  <r>
    <x v="1"/>
    <x v="1"/>
    <n v="58"/>
    <x v="7"/>
    <s v="R5"/>
    <n v="0.86971200000000004"/>
    <n v="31.58"/>
    <n v="2572.7571115973701"/>
    <n v="30.191766754334299"/>
    <n v="30.057695388793899"/>
    <n v="0.74142208291192202"/>
    <n v="1.23529691985104E-3"/>
    <n v="2.4557094950579001"/>
    <n v="28.481367111206101"/>
    <n v="31.794277191162099"/>
    <n v="3.3129100799560498"/>
    <n v="1.3882332456656989"/>
    <n v="38.290774097296776"/>
  </r>
  <r>
    <x v="1"/>
    <x v="0"/>
    <n v="60"/>
    <x v="7"/>
    <s v="R4"/>
    <n v="8.8678333333332998E-2"/>
    <n v="31.13"/>
    <n v="3242.34135667396"/>
    <n v="31.282309764576901"/>
    <n v="31.108360290527301"/>
    <n v="0.65191121933747198"/>
    <n v="1.00874206785168E-3"/>
    <n v="2.0839612683449502"/>
    <n v="29.709257125854499"/>
    <n v="33.205448150634801"/>
    <n v="3.4961910247802699"/>
    <n v="-0.15230976457690204"/>
    <n v="48.256308329721094"/>
  </r>
  <r>
    <x v="1"/>
    <x v="0"/>
    <n v="61"/>
    <x v="1"/>
    <s v="R4"/>
    <n v="0.51009866666666703"/>
    <n v="28.876666666666701"/>
    <n v="4652.6258205689301"/>
    <n v="31.013139791278999"/>
    <n v="31.0073432922363"/>
    <n v="0.740364755925355"/>
    <n v="1.1456116303929301E-3"/>
    <n v="2.3872615314285199"/>
    <n v="29.083164215087901"/>
    <n v="32.995861053466797"/>
    <n v="3.9126968383789098"/>
    <n v="-2.1364731246122979"/>
    <n v="69.245807717948054"/>
  </r>
  <r>
    <x v="1"/>
    <x v="1"/>
    <n v="61"/>
    <x v="1"/>
    <s v="R5.8"/>
    <n v="1.08236"/>
    <n v="34.163333333333298"/>
    <n v="4652.6258205689301"/>
    <n v="30.8596321312078"/>
    <n v="30.805370330810501"/>
    <n v="0.57035839456069004"/>
    <n v="9.5028457372735601E-4"/>
    <n v="1.84823458729405"/>
    <n v="29.790918350219702"/>
    <n v="32.146171569824197"/>
    <n v="2.35525321960449"/>
    <n v="3.3037012021254988"/>
    <n v="69.245807717948054"/>
  </r>
  <r>
    <x v="1"/>
    <x v="0"/>
    <n v="62"/>
    <x v="0"/>
    <s v="R4"/>
    <n v="0.481659"/>
    <n v="28.62"/>
    <n v="4184.9015317286603"/>
    <n v="30.781848433508902"/>
    <n v="30.914257049560501"/>
    <n v="0.67249878712876898"/>
    <n v="1.04059846959751E-3"/>
    <n v="2.1847251589891199"/>
    <n v="28.834297180175799"/>
    <n v="32.725685119628899"/>
    <n v="3.8913879394531201"/>
    <n v="-2.1618484335089008"/>
    <n v="62.284588952651589"/>
  </r>
  <r>
    <x v="1"/>
    <x v="1"/>
    <n v="62"/>
    <x v="0"/>
    <s v="R5.8"/>
    <n v="1.534967"/>
    <n v="34.223333333333301"/>
    <n v="4184.9015317286603"/>
    <n v="31.125223870938299"/>
    <n v="31.065507888793899"/>
    <n v="0.37139633880913397"/>
    <n v="6.1879024640459402E-4"/>
    <n v="1.1932326666922599"/>
    <n v="30.2890815734863"/>
    <n v="32.122482299804702"/>
    <n v="1.83340072631836"/>
    <n v="3.0981094623950014"/>
    <n v="62.284588952651589"/>
  </r>
  <r>
    <x v="1"/>
    <x v="0"/>
    <n v="64"/>
    <x v="4"/>
    <s v="R4"/>
    <n v="5.9706000000000002E-2"/>
    <n v="30.973333333333301"/>
    <n v="2958.4245076586399"/>
    <n v="31.4535752455369"/>
    <n v="31.696601867675799"/>
    <n v="0.984300560128193"/>
    <n v="1.52306840710666E-3"/>
    <n v="3.1293757623558598"/>
    <n v="27.848182678222699"/>
    <n v="33.548770904541001"/>
    <n v="5.7005882263183603"/>
    <n v="-0.48024191220359924"/>
    <n v="44.030726412541149"/>
  </r>
  <r>
    <x v="1"/>
    <x v="1"/>
    <n v="64"/>
    <x v="4"/>
    <s v="R5"/>
    <n v="0.64451233333333302"/>
    <n v="35.6"/>
    <n v="2958.4245076586399"/>
    <n v="31.213076103387699"/>
    <n v="31.2332811355591"/>
    <n v="0.35475507386942701"/>
    <n v="5.9106392991600495E-4"/>
    <n v="1.1365591545490901"/>
    <n v="30.269725799560501"/>
    <n v="32.304763793945298"/>
    <n v="2.0350379943847701"/>
    <n v="4.3869238966123021"/>
    <n v="44.030726412541149"/>
  </r>
  <r>
    <x v="1"/>
    <x v="0"/>
    <n v="65"/>
    <x v="7"/>
    <s v="R5"/>
    <n v="0.27680633333333299"/>
    <n v="29.66"/>
    <n v="4041.5754923413601"/>
    <n v="30.244688375381202"/>
    <n v="30.389101028442401"/>
    <n v="1.09991147116495"/>
    <n v="1.70196023471465E-3"/>
    <n v="3.6367095521482198"/>
    <n v="26.871854782104499"/>
    <n v="34.120742797851598"/>
    <n v="7.2488880157470703"/>
    <n v="-0.58468837538120155"/>
    <n v="60.151443553227566"/>
  </r>
  <r>
    <x v="1"/>
    <x v="1"/>
    <n v="65"/>
    <x v="7"/>
    <s v="R5.8"/>
    <n v="0.35928300000000002"/>
    <n v="36.4033333333333"/>
    <n v="4041.5754923413601"/>
    <n v="30.774999870605701"/>
    <n v="30.747001647949201"/>
    <n v="0.20702305543184599"/>
    <n v="3.4492490661825902E-4"/>
    <n v="0.67269880195704201"/>
    <n v="30.309354782104499"/>
    <n v="31.436307907104499"/>
    <n v="1.126953125"/>
    <n v="5.6283334627275998"/>
    <n v="60.151443553227566"/>
  </r>
  <r>
    <x v="1"/>
    <x v="0"/>
    <n v="66"/>
    <x v="6"/>
    <s v="R2"/>
    <n v="0.239960333333333"/>
    <n v="30.043333333333301"/>
    <n v="2670.6783369803102"/>
    <n v="31.9801782062592"/>
    <n v="32.206249237060497"/>
    <n v="1.1743064826842999"/>
    <n v="1.81707618230357E-3"/>
    <n v="3.6719822982551902"/>
    <n v="27.52099609375"/>
    <n v="34.543418884277301"/>
    <n v="7.0224227905273402"/>
    <n v="-1.9368448729258994"/>
    <n v="39.7481520610256"/>
  </r>
  <r>
    <x v="1"/>
    <x v="1"/>
    <n v="66"/>
    <x v="6"/>
    <s v="R5.8"/>
    <n v="1.0779983333333301"/>
    <n v="36.200000000000003"/>
    <n v="2670.6783369803102"/>
    <n v="30.526993299232601"/>
    <n v="30.5090236663818"/>
    <n v="0.18883573582046201"/>
    <n v="3.1462268010775199E-4"/>
    <n v="0.61858609516322105"/>
    <n v="30.028282165527301"/>
    <n v="31.052539825439499"/>
    <n v="1.02425765991211"/>
    <n v="5.6730067007674023"/>
    <n v="39.7481520610256"/>
  </r>
  <r>
    <x v="1"/>
    <x v="0"/>
    <n v="67"/>
    <x v="5"/>
    <s v="R3"/>
    <n v="0.12636333333333299"/>
    <n v="29.3"/>
    <n v="2442.5601750546998"/>
    <n v="30.509121345947001"/>
    <n v="30.654960632324201"/>
    <n v="0.74938094628783303"/>
    <n v="1.15956293271848E-3"/>
    <n v="2.45625214109086"/>
    <n v="27.108848571777301"/>
    <n v="32.048183441162102"/>
    <n v="4.9393348693847701"/>
    <n v="-1.2091213459470005"/>
    <n v="36.353031329880935"/>
  </r>
  <r>
    <x v="1"/>
    <x v="1"/>
    <n v="67"/>
    <x v="5"/>
    <s v="R5"/>
    <n v="0.50997233333333303"/>
    <n v="34.196666666666701"/>
    <n v="2442.5601750546998"/>
    <n v="32.5243625407644"/>
    <n v="32.496856689453097"/>
    <n v="0.34086579020058699"/>
    <n v="5.6792273985639696E-4"/>
    <n v="1.0480321936313499"/>
    <n v="31.638477325439499"/>
    <n v="34.3866996765137"/>
    <n v="2.7482223510742201"/>
    <n v="1.6723041259023006"/>
    <n v="36.353031329880935"/>
  </r>
  <r>
    <x v="1"/>
    <x v="0"/>
    <n v="68"/>
    <x v="2"/>
    <s v="R3"/>
    <n v="0.15356266666666701"/>
    <n v="30.07"/>
    <n v="4363.23851203501"/>
    <n v="31.481762564759599"/>
    <n v="31.5600395202637"/>
    <n v="0.88471704637606696"/>
    <n v="1.36897675074838E-3"/>
    <n v="2.81025258530605"/>
    <n v="27.728105545043899"/>
    <n v="33.569492340087898"/>
    <n v="5.8413867950439498"/>
    <n v="-1.4117625647595986"/>
    <n v="64.938808037431315"/>
  </r>
  <r>
    <x v="1"/>
    <x v="0"/>
    <n v="69"/>
    <x v="3"/>
    <s v="R3"/>
    <n v="3.3495666666667E-2"/>
    <n v="30.566666666666698"/>
    <n v="3097.3741794310699"/>
    <n v="31.951800453536801"/>
    <n v="32.027490615844698"/>
    <n v="0.959446327611854"/>
    <n v="1.4846099342966999E-3"/>
    <n v="3.0027926877142601"/>
    <n v="28.342226028442401"/>
    <n v="33.956485748291001"/>
    <n v="5.6142597198486301"/>
    <n v="-1.385133786870103"/>
    <n v="46.09873760129588"/>
  </r>
  <r>
    <x v="2"/>
    <x v="2"/>
    <m/>
    <x v="8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5C25A0-575A-46D5-9065-825BF52B597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8">
    <pivotField axis="axisRow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>
      <items count="10">
        <item x="0"/>
        <item x="1"/>
        <item x="2"/>
        <item x="5"/>
        <item x="4"/>
        <item x="6"/>
        <item x="7"/>
        <item x="3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0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 t="grand">
      <x/>
    </i>
  </rowItems>
  <colItems count="1">
    <i/>
  </colItems>
  <dataFields count="1">
    <dataField name="Average of temp.mean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6C9C-FA8E-4D41-96F7-A92D57E26779}">
  <dimension ref="A1:P145"/>
  <sheetViews>
    <sheetView workbookViewId="0">
      <pane ySplit="1" topLeftCell="A2" activePane="bottomLeft" state="frozen"/>
      <selection pane="bottomLeft" sqref="A1:P1048576"/>
    </sheetView>
  </sheetViews>
  <sheetFormatPr baseColWidth="10" defaultColWidth="10.6640625" defaultRowHeight="16" x14ac:dyDescent="0.2"/>
  <cols>
    <col min="6" max="6" width="12.1640625" bestFit="1" customWidth="1"/>
    <col min="9" max="9" width="12.5" customWidth="1"/>
  </cols>
  <sheetData>
    <row r="1" spans="1:16" x14ac:dyDescent="0.2">
      <c r="A1" t="s">
        <v>33</v>
      </c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">
      <c r="A2" t="s">
        <v>34</v>
      </c>
      <c r="B2" s="4">
        <v>45513</v>
      </c>
      <c r="C2">
        <v>1</v>
      </c>
      <c r="D2" t="s">
        <v>15</v>
      </c>
      <c r="E2" t="s">
        <v>16</v>
      </c>
      <c r="F2" s="2">
        <v>0.89290066666666701</v>
      </c>
      <c r="G2" s="3">
        <v>29.24</v>
      </c>
      <c r="H2" s="3">
        <v>1516.9584245076601</v>
      </c>
      <c r="I2" s="3">
        <v>39.870056021250001</v>
      </c>
      <c r="J2" s="3">
        <v>39.572010040283203</v>
      </c>
      <c r="K2" s="3">
        <v>1.2133071759712499</v>
      </c>
      <c r="L2" s="1">
        <v>1.8774243383514199E-3</v>
      </c>
      <c r="M2" s="3">
        <v>3.04315392816248</v>
      </c>
      <c r="N2" s="3">
        <v>37.72802734375</v>
      </c>
      <c r="O2" s="3">
        <v>44.525623321533203</v>
      </c>
      <c r="P2" s="3">
        <v>6.7975959777831996</v>
      </c>
    </row>
    <row r="3" spans="1:16" x14ac:dyDescent="0.2">
      <c r="A3" t="s">
        <v>34</v>
      </c>
      <c r="B3" s="4">
        <v>45513</v>
      </c>
      <c r="C3">
        <v>2</v>
      </c>
      <c r="D3" t="s">
        <v>24</v>
      </c>
      <c r="E3" t="s">
        <v>16</v>
      </c>
      <c r="F3" s="2">
        <v>0.67524366666666702</v>
      </c>
      <c r="G3" s="3">
        <v>30.19</v>
      </c>
      <c r="H3" s="3">
        <v>1449.6717724288801</v>
      </c>
      <c r="I3" s="3">
        <v>39.346141312702599</v>
      </c>
      <c r="J3" s="3">
        <v>39.2683200836182</v>
      </c>
      <c r="K3" s="3">
        <v>0.69014458063430395</v>
      </c>
      <c r="L3" s="1">
        <v>1.0679028842197199E-3</v>
      </c>
      <c r="M3" s="3">
        <v>1.75403370599774</v>
      </c>
      <c r="N3" s="3">
        <v>36.869277954101598</v>
      </c>
      <c r="O3" s="3">
        <v>41.710899353027301</v>
      </c>
      <c r="P3" s="3">
        <v>4.8416213989257804</v>
      </c>
    </row>
    <row r="4" spans="1:16" x14ac:dyDescent="0.2">
      <c r="A4" t="s">
        <v>34</v>
      </c>
      <c r="B4" s="4">
        <v>45513</v>
      </c>
      <c r="C4">
        <v>3</v>
      </c>
      <c r="D4" t="s">
        <v>30</v>
      </c>
      <c r="E4" t="s">
        <v>21</v>
      </c>
      <c r="F4" s="2">
        <v>0.63957966666666699</v>
      </c>
      <c r="G4" s="3">
        <v>31.446666666666701</v>
      </c>
      <c r="H4" s="3">
        <v>1321.11597374179</v>
      </c>
      <c r="I4" s="3">
        <v>38.646962141660303</v>
      </c>
      <c r="J4" s="3">
        <v>38.500526428222699</v>
      </c>
      <c r="K4" s="3">
        <v>1.0475529958420999</v>
      </c>
      <c r="L4" s="1">
        <v>1.62094276623111E-3</v>
      </c>
      <c r="M4" s="3">
        <v>2.71057008828351</v>
      </c>
      <c r="N4" s="3">
        <v>35.162773132324197</v>
      </c>
      <c r="O4" s="3">
        <v>43.505195617675803</v>
      </c>
      <c r="P4" s="3">
        <v>8.3424224853515607</v>
      </c>
    </row>
    <row r="5" spans="1:16" x14ac:dyDescent="0.2">
      <c r="A5" t="s">
        <v>34</v>
      </c>
      <c r="B5" s="4">
        <v>45513</v>
      </c>
      <c r="C5">
        <v>4</v>
      </c>
      <c r="D5" t="s">
        <v>27</v>
      </c>
      <c r="E5" t="s">
        <v>21</v>
      </c>
      <c r="F5" s="2">
        <v>0.55055533333333295</v>
      </c>
      <c r="G5" s="3">
        <v>32.213333333333303</v>
      </c>
      <c r="H5" s="3">
        <v>1450.21881838074</v>
      </c>
      <c r="I5" s="3">
        <v>39.653647826559599</v>
      </c>
      <c r="J5" s="3">
        <v>39.429872512817397</v>
      </c>
      <c r="K5" s="3">
        <v>1.3901128600567101</v>
      </c>
      <c r="L5" s="1">
        <v>2.15100657789863E-3</v>
      </c>
      <c r="M5" s="3">
        <v>3.5056367730325899</v>
      </c>
      <c r="N5" s="3">
        <v>36.448673248291001</v>
      </c>
      <c r="O5" s="3">
        <v>43.627635955810497</v>
      </c>
      <c r="P5" s="3">
        <v>7.1789627075195304</v>
      </c>
    </row>
    <row r="6" spans="1:16" x14ac:dyDescent="0.2">
      <c r="A6" t="s">
        <v>34</v>
      </c>
      <c r="B6" s="4">
        <v>45513</v>
      </c>
      <c r="C6">
        <v>5</v>
      </c>
      <c r="D6" t="s">
        <v>28</v>
      </c>
      <c r="E6" t="s">
        <v>21</v>
      </c>
      <c r="F6" s="2"/>
      <c r="G6" s="3"/>
      <c r="H6" s="3">
        <v>271.33479212253798</v>
      </c>
      <c r="I6" s="3">
        <v>38.9962620702793</v>
      </c>
      <c r="J6" s="3">
        <v>38.919727325439503</v>
      </c>
      <c r="K6" s="3">
        <v>1.11962791532405</v>
      </c>
      <c r="L6" s="1">
        <v>1.73246869363018E-3</v>
      </c>
      <c r="M6" s="3">
        <v>2.87111598877412</v>
      </c>
      <c r="N6" s="3">
        <v>34.788944244384801</v>
      </c>
      <c r="O6" s="3">
        <v>42.557342529296903</v>
      </c>
      <c r="P6" s="3">
        <v>7.7683982849121103</v>
      </c>
    </row>
    <row r="7" spans="1:16" x14ac:dyDescent="0.2">
      <c r="A7" t="s">
        <v>34</v>
      </c>
      <c r="B7" s="4">
        <v>45513</v>
      </c>
      <c r="C7">
        <v>6</v>
      </c>
      <c r="D7" t="s">
        <v>29</v>
      </c>
      <c r="E7" t="s">
        <v>18</v>
      </c>
      <c r="F7" s="2"/>
      <c r="G7" s="3"/>
      <c r="H7" s="3">
        <v>2586.9803063457298</v>
      </c>
      <c r="I7" s="3">
        <v>38.929242425620302</v>
      </c>
      <c r="J7" s="3">
        <v>38.906904220581097</v>
      </c>
      <c r="K7" s="3">
        <v>1.0734033738615201</v>
      </c>
      <c r="L7" s="1">
        <v>1.6609426358522601E-3</v>
      </c>
      <c r="M7" s="3">
        <v>2.7573189381026499</v>
      </c>
      <c r="N7" s="3">
        <v>33.199474334716797</v>
      </c>
      <c r="O7" s="3">
        <v>42.15771484375</v>
      </c>
      <c r="P7" s="3">
        <v>8.9582405090331996</v>
      </c>
    </row>
    <row r="8" spans="1:16" x14ac:dyDescent="0.2">
      <c r="A8" t="s">
        <v>34</v>
      </c>
      <c r="B8" s="4">
        <v>45513</v>
      </c>
      <c r="C8">
        <v>7</v>
      </c>
      <c r="D8" t="s">
        <v>26</v>
      </c>
      <c r="E8" t="s">
        <v>18</v>
      </c>
      <c r="F8" s="2"/>
      <c r="G8" s="3"/>
      <c r="H8" s="3">
        <v>1771.8818380744001</v>
      </c>
      <c r="I8" s="3">
        <v>38.927009589878097</v>
      </c>
      <c r="J8" s="3">
        <v>38.936933517456097</v>
      </c>
      <c r="K8" s="3">
        <v>0.92182666737539498</v>
      </c>
      <c r="L8" s="1">
        <v>1.4263987350825299E-3</v>
      </c>
      <c r="M8" s="3">
        <v>2.36809011811452</v>
      </c>
      <c r="N8" s="3">
        <v>35.063201904296903</v>
      </c>
      <c r="O8" s="3">
        <v>41.064685821533203</v>
      </c>
      <c r="P8" s="3">
        <v>6.0014839172363299</v>
      </c>
    </row>
    <row r="9" spans="1:16" x14ac:dyDescent="0.2">
      <c r="A9" t="s">
        <v>34</v>
      </c>
      <c r="B9" s="4">
        <v>45513</v>
      </c>
      <c r="C9">
        <v>8</v>
      </c>
      <c r="D9" t="s">
        <v>22</v>
      </c>
      <c r="E9" t="s">
        <v>21</v>
      </c>
      <c r="F9" s="2"/>
      <c r="G9" s="3"/>
      <c r="H9" s="3">
        <v>1237.9649890590799</v>
      </c>
      <c r="I9" s="3">
        <v>37.891695039436598</v>
      </c>
      <c r="J9" s="3">
        <v>37.767578125</v>
      </c>
      <c r="K9" s="3">
        <v>1.1816540268593001</v>
      </c>
      <c r="L9" s="1">
        <v>1.8284454864125701E-3</v>
      </c>
      <c r="M9" s="3">
        <v>3.1185040036595502</v>
      </c>
      <c r="N9" s="3">
        <v>33.694374084472699</v>
      </c>
      <c r="O9" s="3">
        <v>42.486465454101598</v>
      </c>
      <c r="P9" s="3">
        <v>8.7920913696289098</v>
      </c>
    </row>
    <row r="10" spans="1:16" x14ac:dyDescent="0.2">
      <c r="A10" t="s">
        <v>34</v>
      </c>
      <c r="B10" s="4">
        <v>45513</v>
      </c>
      <c r="C10">
        <v>9</v>
      </c>
      <c r="D10" t="s">
        <v>23</v>
      </c>
      <c r="E10" t="s">
        <v>18</v>
      </c>
      <c r="F10" s="2">
        <v>0.75610333333333302</v>
      </c>
      <c r="G10" s="3">
        <v>31.526666666666699</v>
      </c>
      <c r="H10" s="3">
        <v>952.95404814004405</v>
      </c>
      <c r="I10" s="3">
        <v>40.770578570574898</v>
      </c>
      <c r="J10" s="3">
        <v>41.004247665405302</v>
      </c>
      <c r="K10" s="3">
        <v>0.993549064345429</v>
      </c>
      <c r="L10" s="1">
        <v>1.5373791828563201E-3</v>
      </c>
      <c r="M10" s="3">
        <v>2.43692657592673</v>
      </c>
      <c r="N10" s="3">
        <v>38.2997856140137</v>
      </c>
      <c r="O10" s="3">
        <v>42.867931365966797</v>
      </c>
      <c r="P10" s="3">
        <v>4.5681457519531197</v>
      </c>
    </row>
    <row r="11" spans="1:16" x14ac:dyDescent="0.2">
      <c r="A11" t="s">
        <v>34</v>
      </c>
      <c r="B11" s="4">
        <v>45513</v>
      </c>
      <c r="C11">
        <v>10</v>
      </c>
      <c r="D11" t="s">
        <v>17</v>
      </c>
      <c r="E11" t="s">
        <v>18</v>
      </c>
      <c r="F11" s="2">
        <v>4.0697333333333002E-2</v>
      </c>
      <c r="G11" s="3">
        <v>34.063333333333297</v>
      </c>
      <c r="H11" s="3">
        <v>856.12691466083197</v>
      </c>
      <c r="I11" s="3">
        <v>39.929108043496903</v>
      </c>
      <c r="J11" s="3">
        <v>40.036211013793903</v>
      </c>
      <c r="K11" s="3">
        <v>1.1485817755216401</v>
      </c>
      <c r="L11" s="1">
        <v>1.7772707708788101E-3</v>
      </c>
      <c r="M11" s="3">
        <v>2.8765525497600102</v>
      </c>
      <c r="N11" s="3">
        <v>37.035118103027301</v>
      </c>
      <c r="O11" s="3">
        <v>42.953319549560497</v>
      </c>
      <c r="P11" s="3">
        <v>5.9182014465331996</v>
      </c>
    </row>
    <row r="12" spans="1:16" x14ac:dyDescent="0.2">
      <c r="A12" t="s">
        <v>34</v>
      </c>
      <c r="B12" s="4">
        <v>45513</v>
      </c>
      <c r="C12">
        <v>11</v>
      </c>
      <c r="D12" t="s">
        <v>19</v>
      </c>
      <c r="E12" t="s">
        <v>16</v>
      </c>
      <c r="F12" s="2">
        <v>3.5784999999999997E-2</v>
      </c>
      <c r="G12" s="3">
        <v>33.016666666666701</v>
      </c>
      <c r="H12" s="3">
        <v>910.83150984682698</v>
      </c>
      <c r="I12" s="3">
        <v>39.765984165888803</v>
      </c>
      <c r="J12" s="3">
        <v>39.471935272216797</v>
      </c>
      <c r="K12" s="3">
        <v>1.12450762430425</v>
      </c>
      <c r="L12" s="1">
        <v>1.7400193655333299E-3</v>
      </c>
      <c r="M12" s="3">
        <v>2.8278128855386102</v>
      </c>
      <c r="N12" s="3">
        <v>38.1816215515137</v>
      </c>
      <c r="O12" s="3">
        <v>45.968437194824197</v>
      </c>
      <c r="P12" s="3">
        <v>7.7868156433105504</v>
      </c>
    </row>
    <row r="13" spans="1:16" x14ac:dyDescent="0.2">
      <c r="A13" t="s">
        <v>34</v>
      </c>
      <c r="B13" s="4">
        <v>45513</v>
      </c>
      <c r="C13">
        <v>12</v>
      </c>
      <c r="D13" t="s">
        <v>20</v>
      </c>
      <c r="E13" t="s">
        <v>21</v>
      </c>
      <c r="F13" s="2">
        <v>5.2778666666667001E-2</v>
      </c>
      <c r="G13" s="3">
        <v>31.97</v>
      </c>
      <c r="H13" s="3">
        <v>1498.90590809628</v>
      </c>
      <c r="I13" s="3">
        <v>38.320972469565</v>
      </c>
      <c r="J13" s="3">
        <v>38.2878608703613</v>
      </c>
      <c r="K13" s="3">
        <v>0.79594308229750799</v>
      </c>
      <c r="L13" s="1">
        <v>1.2316113711695401E-3</v>
      </c>
      <c r="M13" s="3">
        <v>2.0770430158828899</v>
      </c>
      <c r="N13" s="3">
        <v>36.3081245422363</v>
      </c>
      <c r="O13" s="3">
        <v>42.087635040283203</v>
      </c>
      <c r="P13" s="3">
        <v>5.7795104980468803</v>
      </c>
    </row>
    <row r="14" spans="1:16" x14ac:dyDescent="0.2">
      <c r="A14" t="s">
        <v>34</v>
      </c>
      <c r="B14" s="4">
        <v>45513</v>
      </c>
      <c r="C14">
        <v>13</v>
      </c>
      <c r="D14" t="s">
        <v>17</v>
      </c>
      <c r="E14" t="s">
        <v>21</v>
      </c>
      <c r="F14" s="2">
        <v>4.8692333333332997E-2</v>
      </c>
      <c r="G14" s="3">
        <v>32.5566666666667</v>
      </c>
      <c r="H14" s="3">
        <v>586.43326039387296</v>
      </c>
      <c r="I14" s="3">
        <v>39.013922946648997</v>
      </c>
      <c r="J14" s="3">
        <v>39.095664978027301</v>
      </c>
      <c r="K14" s="3">
        <v>0.92015845887630499</v>
      </c>
      <c r="L14" s="1">
        <v>1.4238174141279799E-3</v>
      </c>
      <c r="M14" s="3">
        <v>2.3585386687070899</v>
      </c>
      <c r="N14" s="3">
        <v>36.136894226074197</v>
      </c>
      <c r="O14" s="3">
        <v>41.70263671875</v>
      </c>
      <c r="P14" s="3">
        <v>5.5657424926757804</v>
      </c>
    </row>
    <row r="15" spans="1:16" x14ac:dyDescent="0.2">
      <c r="A15" t="s">
        <v>34</v>
      </c>
      <c r="B15" s="4">
        <v>45513</v>
      </c>
      <c r="C15">
        <v>14</v>
      </c>
      <c r="D15" t="s">
        <v>22</v>
      </c>
      <c r="E15" t="s">
        <v>18</v>
      </c>
      <c r="F15" s="2"/>
      <c r="G15" s="3"/>
      <c r="H15" s="3">
        <v>1647.1553610503299</v>
      </c>
      <c r="I15" s="3">
        <v>37.678905496716403</v>
      </c>
      <c r="J15" s="3">
        <v>37.564178466796903</v>
      </c>
      <c r="K15" s="3">
        <v>0.87752746898530398</v>
      </c>
      <c r="L15" s="1">
        <v>1.35785187829794E-3</v>
      </c>
      <c r="M15" s="3">
        <v>2.32896220688199</v>
      </c>
      <c r="N15" s="3">
        <v>35.255546569824197</v>
      </c>
      <c r="O15" s="3">
        <v>42.784530639648402</v>
      </c>
      <c r="P15" s="3">
        <v>7.5289840698242196</v>
      </c>
    </row>
    <row r="16" spans="1:16" x14ac:dyDescent="0.2">
      <c r="A16" t="s">
        <v>34</v>
      </c>
      <c r="B16" s="4">
        <v>45513</v>
      </c>
      <c r="C16">
        <v>15</v>
      </c>
      <c r="D16" t="s">
        <v>23</v>
      </c>
      <c r="E16" t="s">
        <v>18</v>
      </c>
      <c r="F16" s="2">
        <v>4.8150999999999999E-2</v>
      </c>
      <c r="G16" s="3">
        <v>32.770000000000003</v>
      </c>
      <c r="H16" s="3">
        <v>1360.50328227571</v>
      </c>
      <c r="I16" s="3">
        <v>38.340820870125697</v>
      </c>
      <c r="J16" s="3">
        <v>38.065135955810497</v>
      </c>
      <c r="K16" s="3">
        <v>1.0034678624646101</v>
      </c>
      <c r="L16" s="1">
        <v>1.5527271453219999E-3</v>
      </c>
      <c r="M16" s="3">
        <v>2.61723103389915</v>
      </c>
      <c r="N16" s="3">
        <v>36.349647521972699</v>
      </c>
      <c r="O16" s="3">
        <v>42.437618255615199</v>
      </c>
      <c r="P16" s="3">
        <v>6.0879707336425799</v>
      </c>
    </row>
    <row r="17" spans="1:16" x14ac:dyDescent="0.2">
      <c r="A17" t="s">
        <v>34</v>
      </c>
      <c r="B17" s="4">
        <v>45513</v>
      </c>
      <c r="C17">
        <v>16</v>
      </c>
      <c r="D17" t="s">
        <v>24</v>
      </c>
      <c r="E17" t="s">
        <v>25</v>
      </c>
      <c r="F17" s="2">
        <v>2.5597999999999999E-2</v>
      </c>
      <c r="G17" s="3">
        <v>32.9166666666667</v>
      </c>
      <c r="H17" s="3">
        <v>1636.2144420131301</v>
      </c>
      <c r="I17" s="3">
        <v>38.072920134500599</v>
      </c>
      <c r="J17" s="3">
        <v>38.129119873046903</v>
      </c>
      <c r="K17" s="3">
        <v>0.89783959061858098</v>
      </c>
      <c r="L17" s="1">
        <v>1.38928206537101E-3</v>
      </c>
      <c r="M17" s="3">
        <v>2.35821047465436</v>
      </c>
      <c r="N17" s="3">
        <v>34.3193359375</v>
      </c>
      <c r="O17" s="3">
        <v>41.831405639648402</v>
      </c>
      <c r="P17" s="3">
        <v>7.5120697021484402</v>
      </c>
    </row>
    <row r="18" spans="1:16" x14ac:dyDescent="0.2">
      <c r="A18" t="s">
        <v>34</v>
      </c>
      <c r="B18" s="4">
        <v>45513</v>
      </c>
      <c r="C18">
        <v>17</v>
      </c>
      <c r="D18" t="s">
        <v>26</v>
      </c>
      <c r="E18" t="s">
        <v>18</v>
      </c>
      <c r="F18" s="2"/>
      <c r="G18" s="3"/>
      <c r="H18" s="3">
        <v>1438.1838074398199</v>
      </c>
      <c r="I18" s="3">
        <v>38.0974386908592</v>
      </c>
      <c r="J18" s="3">
        <v>38.166378021240199</v>
      </c>
      <c r="K18" s="3">
        <v>1.0318184903104499</v>
      </c>
      <c r="L18" s="1">
        <v>1.5965958042893501E-3</v>
      </c>
      <c r="M18" s="3">
        <v>2.7083670865202198</v>
      </c>
      <c r="N18" s="3">
        <v>33.535900115966797</v>
      </c>
      <c r="O18" s="3">
        <v>40.989002227783203</v>
      </c>
      <c r="P18" s="3">
        <v>7.4531021118164098</v>
      </c>
    </row>
    <row r="19" spans="1:16" x14ac:dyDescent="0.2">
      <c r="A19" t="s">
        <v>34</v>
      </c>
      <c r="B19" s="4">
        <v>45513</v>
      </c>
      <c r="C19">
        <v>18</v>
      </c>
      <c r="D19" t="s">
        <v>27</v>
      </c>
      <c r="E19" t="s">
        <v>21</v>
      </c>
      <c r="F19" s="2">
        <v>4.0080333333333003E-2</v>
      </c>
      <c r="G19" s="3">
        <v>34.116666666666703</v>
      </c>
      <c r="H19" s="3">
        <v>1684.9015317286701</v>
      </c>
      <c r="I19" s="3">
        <v>37.513201393013198</v>
      </c>
      <c r="J19" s="3">
        <v>37.593338012695298</v>
      </c>
      <c r="K19" s="3">
        <v>0.91990293109601196</v>
      </c>
      <c r="L19" s="1">
        <v>1.4234220203782799E-3</v>
      </c>
      <c r="M19" s="3">
        <v>2.4522112134832201</v>
      </c>
      <c r="N19" s="3">
        <v>32.7832221984863</v>
      </c>
      <c r="O19" s="3">
        <v>39.960273742675803</v>
      </c>
      <c r="P19" s="3">
        <v>7.1770515441894496</v>
      </c>
    </row>
    <row r="20" spans="1:16" x14ac:dyDescent="0.2">
      <c r="A20" t="s">
        <v>34</v>
      </c>
      <c r="B20" s="4">
        <v>45513</v>
      </c>
      <c r="C20">
        <v>19</v>
      </c>
      <c r="D20" t="s">
        <v>28</v>
      </c>
      <c r="E20" t="s">
        <v>16</v>
      </c>
      <c r="F20" s="2"/>
      <c r="G20" s="3"/>
      <c r="H20" s="3">
        <v>1712.2538293216601</v>
      </c>
      <c r="I20" s="3">
        <v>38.007534673679601</v>
      </c>
      <c r="J20" s="3">
        <v>37.807451248168903</v>
      </c>
      <c r="K20" s="3">
        <v>0.99032426107207505</v>
      </c>
      <c r="L20" s="1">
        <v>1.5323892476843399E-3</v>
      </c>
      <c r="M20" s="3">
        <v>2.6055998358606498</v>
      </c>
      <c r="N20" s="3">
        <v>35.157089233398402</v>
      </c>
      <c r="O20" s="3">
        <v>41.316600799560497</v>
      </c>
      <c r="P20" s="3">
        <v>6.1595115661621103</v>
      </c>
    </row>
    <row r="21" spans="1:16" x14ac:dyDescent="0.2">
      <c r="A21" t="s">
        <v>34</v>
      </c>
      <c r="B21" s="4">
        <v>45513</v>
      </c>
      <c r="C21">
        <v>20</v>
      </c>
      <c r="D21" t="s">
        <v>19</v>
      </c>
      <c r="E21" t="s">
        <v>25</v>
      </c>
      <c r="F21" s="2">
        <v>4.8795333333333003E-2</v>
      </c>
      <c r="G21" s="3">
        <v>33.546666666666702</v>
      </c>
      <c r="H21" s="3">
        <v>894.96717724288806</v>
      </c>
      <c r="I21" s="3">
        <v>39.615194851014699</v>
      </c>
      <c r="J21" s="3">
        <v>39.432247161865199</v>
      </c>
      <c r="K21" s="3">
        <v>1.5569226468178201</v>
      </c>
      <c r="L21" s="1">
        <v>2.4091215546684901E-3</v>
      </c>
      <c r="M21" s="3">
        <v>3.93011482758854</v>
      </c>
      <c r="N21" s="3">
        <v>34.819454193115199</v>
      </c>
      <c r="O21" s="3">
        <v>43.629707336425803</v>
      </c>
      <c r="P21" s="3">
        <v>8.8102531433105504</v>
      </c>
    </row>
    <row r="22" spans="1:16" x14ac:dyDescent="0.2">
      <c r="A22" t="s">
        <v>34</v>
      </c>
      <c r="B22" s="4">
        <v>45513</v>
      </c>
      <c r="C22">
        <v>21</v>
      </c>
      <c r="D22" t="s">
        <v>15</v>
      </c>
      <c r="E22" t="s">
        <v>16</v>
      </c>
      <c r="F22" s="2">
        <v>3.1484333333333003E-2</v>
      </c>
      <c r="G22" s="3">
        <v>31.793333333333301</v>
      </c>
      <c r="H22" s="3">
        <v>1430.52516411379</v>
      </c>
      <c r="I22" s="3">
        <v>38.759491115642398</v>
      </c>
      <c r="J22" s="3">
        <v>38.7436332702637</v>
      </c>
      <c r="K22" s="3">
        <v>1.2762721206244301</v>
      </c>
      <c r="L22" s="1">
        <v>1.9748538449890999E-3</v>
      </c>
      <c r="M22" s="3">
        <v>3.2927989606895598</v>
      </c>
      <c r="N22" s="3">
        <v>34.9072265625</v>
      </c>
      <c r="O22" s="3">
        <v>42.63818359375</v>
      </c>
      <c r="P22" s="3">
        <v>7.73095703125</v>
      </c>
    </row>
    <row r="23" spans="1:16" x14ac:dyDescent="0.2">
      <c r="A23" t="s">
        <v>34</v>
      </c>
      <c r="B23" s="4">
        <v>45513</v>
      </c>
      <c r="C23">
        <v>22</v>
      </c>
      <c r="D23" t="s">
        <v>20</v>
      </c>
      <c r="E23" t="s">
        <v>21</v>
      </c>
      <c r="F23" s="2">
        <v>4.6344666666666999E-2</v>
      </c>
      <c r="G23" s="3">
        <v>32.11</v>
      </c>
      <c r="H23" s="3">
        <v>1812.36323851203</v>
      </c>
      <c r="I23" s="3">
        <v>37.584205267715497</v>
      </c>
      <c r="J23" s="3">
        <v>37.554122924804702</v>
      </c>
      <c r="K23" s="3">
        <v>1.14377893179995</v>
      </c>
      <c r="L23" s="1">
        <v>1.76983903728738E-3</v>
      </c>
      <c r="M23" s="3">
        <v>3.0432436276162198</v>
      </c>
      <c r="N23" s="3">
        <v>34.578964233398402</v>
      </c>
      <c r="O23" s="3">
        <v>41.348731994628899</v>
      </c>
      <c r="P23" s="3">
        <v>6.7697677612304696</v>
      </c>
    </row>
    <row r="24" spans="1:16" x14ac:dyDescent="0.2">
      <c r="A24" t="s">
        <v>34</v>
      </c>
      <c r="B24" s="4">
        <v>45513</v>
      </c>
      <c r="C24">
        <v>23</v>
      </c>
      <c r="D24" t="s">
        <v>29</v>
      </c>
      <c r="E24" t="s">
        <v>18</v>
      </c>
      <c r="F24" s="2"/>
      <c r="G24" s="3"/>
      <c r="H24" s="3">
        <v>1802.51641137856</v>
      </c>
      <c r="I24" s="3">
        <v>38.194434357763797</v>
      </c>
      <c r="J24" s="3">
        <v>38.096328735351598</v>
      </c>
      <c r="K24" s="3">
        <v>1.08517988037732</v>
      </c>
      <c r="L24" s="1">
        <v>1.6791651440442399E-3</v>
      </c>
      <c r="M24" s="3">
        <v>2.8411989825861599</v>
      </c>
      <c r="N24" s="3">
        <v>35.630603790283203</v>
      </c>
      <c r="O24" s="3">
        <v>42.211601257324197</v>
      </c>
      <c r="P24" s="3">
        <v>6.5809974670410201</v>
      </c>
    </row>
    <row r="25" spans="1:16" x14ac:dyDescent="0.2">
      <c r="A25" t="s">
        <v>34</v>
      </c>
      <c r="B25" s="4">
        <v>45513</v>
      </c>
      <c r="C25">
        <v>24</v>
      </c>
      <c r="D25" t="s">
        <v>30</v>
      </c>
      <c r="E25" t="s">
        <v>21</v>
      </c>
      <c r="F25" s="2">
        <v>5.2981333333332999E-2</v>
      </c>
      <c r="G25" s="3">
        <v>31.726666666666699</v>
      </c>
      <c r="H25" s="3">
        <v>1613.7855579868699</v>
      </c>
      <c r="I25" s="3">
        <v>39.687305171889697</v>
      </c>
      <c r="J25" s="3">
        <v>39.807422637939503</v>
      </c>
      <c r="K25" s="3">
        <v>1.0618120821802901</v>
      </c>
      <c r="L25" s="1">
        <v>1.64300672189226E-3</v>
      </c>
      <c r="M25" s="3">
        <v>2.6754451519987899</v>
      </c>
      <c r="N25" s="3">
        <v>36.884883880615199</v>
      </c>
      <c r="O25" s="3">
        <v>42.680389404296903</v>
      </c>
      <c r="P25" s="3">
        <v>5.7955055236816397</v>
      </c>
    </row>
    <row r="26" spans="1:16" x14ac:dyDescent="0.2">
      <c r="A26" t="s">
        <v>34</v>
      </c>
      <c r="B26" s="4">
        <v>45513</v>
      </c>
      <c r="C26">
        <v>25</v>
      </c>
      <c r="D26" t="s">
        <v>24</v>
      </c>
      <c r="E26" t="s">
        <v>25</v>
      </c>
      <c r="F26" s="2">
        <v>6.1534666666667001E-2</v>
      </c>
      <c r="G26" s="3">
        <v>33.163333333333298</v>
      </c>
      <c r="H26" s="3">
        <v>1796.4989059080999</v>
      </c>
      <c r="I26" s="3">
        <v>38.555280134149299</v>
      </c>
      <c r="J26" s="3">
        <v>38.543340682983398</v>
      </c>
      <c r="K26" s="3">
        <v>0.96087005147578397</v>
      </c>
      <c r="L26" s="1">
        <v>1.4868129492348499E-3</v>
      </c>
      <c r="M26" s="3">
        <v>2.49218796526061</v>
      </c>
      <c r="N26" s="3">
        <v>35.864627838134801</v>
      </c>
      <c r="O26" s="3">
        <v>41.979373931884801</v>
      </c>
      <c r="P26" s="3">
        <v>6.11474609375</v>
      </c>
    </row>
    <row r="27" spans="1:16" x14ac:dyDescent="0.2">
      <c r="A27" t="s">
        <v>34</v>
      </c>
      <c r="B27" s="4">
        <v>45513</v>
      </c>
      <c r="C27">
        <v>26</v>
      </c>
      <c r="D27" t="s">
        <v>15</v>
      </c>
      <c r="E27" t="s">
        <v>25</v>
      </c>
      <c r="F27" s="2">
        <v>6.3075000000000006E-2</v>
      </c>
      <c r="G27" s="3">
        <v>33.663333333333298</v>
      </c>
      <c r="H27" s="3">
        <v>1636.76148796499</v>
      </c>
      <c r="I27" s="3">
        <v>39.3719320299898</v>
      </c>
      <c r="J27" s="3">
        <v>39.215232849121101</v>
      </c>
      <c r="K27" s="3">
        <v>1.0892290609511099</v>
      </c>
      <c r="L27" s="1">
        <v>1.68543068859071E-3</v>
      </c>
      <c r="M27" s="3">
        <v>2.7665115852619002</v>
      </c>
      <c r="N27" s="3">
        <v>36.507247924804702</v>
      </c>
      <c r="O27" s="3">
        <v>42.527694702148402</v>
      </c>
      <c r="P27" s="3">
        <v>6.02044677734375</v>
      </c>
    </row>
    <row r="28" spans="1:16" x14ac:dyDescent="0.2">
      <c r="A28" t="s">
        <v>34</v>
      </c>
      <c r="B28" s="4">
        <v>45513</v>
      </c>
      <c r="C28">
        <v>27</v>
      </c>
      <c r="D28" t="s">
        <v>22</v>
      </c>
      <c r="E28" t="s">
        <v>18</v>
      </c>
      <c r="F28" s="2"/>
      <c r="G28" s="3"/>
      <c r="H28" s="3">
        <v>1442.5601750547</v>
      </c>
      <c r="I28" s="3">
        <v>37.281907023925797</v>
      </c>
      <c r="J28" s="3">
        <v>37.213027954101598</v>
      </c>
      <c r="K28" s="3">
        <v>0.78630951586471598</v>
      </c>
      <c r="L28" s="1">
        <v>1.21670476512266E-3</v>
      </c>
      <c r="M28" s="3">
        <v>2.10909145650758</v>
      </c>
      <c r="N28" s="3">
        <v>34.4233207702637</v>
      </c>
      <c r="O28" s="3">
        <v>39.803829193115199</v>
      </c>
      <c r="P28" s="3">
        <v>5.3805084228515598</v>
      </c>
    </row>
    <row r="29" spans="1:16" x14ac:dyDescent="0.2">
      <c r="A29" t="s">
        <v>34</v>
      </c>
      <c r="B29" s="4">
        <v>45513</v>
      </c>
      <c r="C29">
        <v>28</v>
      </c>
      <c r="D29" t="s">
        <v>23</v>
      </c>
      <c r="E29" t="s">
        <v>21</v>
      </c>
      <c r="F29" s="2">
        <v>6.2447000000000003E-2</v>
      </c>
      <c r="G29" s="3">
        <v>33.876666666666701</v>
      </c>
      <c r="H29" s="3">
        <v>1736.8708971553599</v>
      </c>
      <c r="I29" s="3">
        <v>37.722666939858698</v>
      </c>
      <c r="J29" s="3">
        <v>37.722518920898402</v>
      </c>
      <c r="K29" s="3">
        <v>0.77984447306708404</v>
      </c>
      <c r="L29" s="1">
        <v>1.20670100932435E-3</v>
      </c>
      <c r="M29" s="3">
        <v>2.0673100189612601</v>
      </c>
      <c r="N29" s="3">
        <v>34.237892150878899</v>
      </c>
      <c r="O29" s="3">
        <v>39.923885345458999</v>
      </c>
      <c r="P29" s="3">
        <v>5.6859931945800799</v>
      </c>
    </row>
    <row r="30" spans="1:16" x14ac:dyDescent="0.2">
      <c r="A30" t="s">
        <v>34</v>
      </c>
      <c r="B30" s="4">
        <v>45513</v>
      </c>
      <c r="C30">
        <v>29</v>
      </c>
      <c r="D30" t="s">
        <v>20</v>
      </c>
      <c r="E30" t="s">
        <v>16</v>
      </c>
      <c r="F30" s="2">
        <v>5.0952999999999998E-2</v>
      </c>
      <c r="G30" s="3">
        <v>34.646666666666697</v>
      </c>
      <c r="H30" s="3">
        <v>1681.0722100656501</v>
      </c>
      <c r="I30" s="3">
        <v>35.770131541950001</v>
      </c>
      <c r="J30" s="3">
        <v>35.845615386962898</v>
      </c>
      <c r="K30" s="3">
        <v>0.937711831354889</v>
      </c>
      <c r="L30" s="1">
        <v>1.45097882004735E-3</v>
      </c>
      <c r="M30" s="3">
        <v>2.6214939418245402</v>
      </c>
      <c r="N30" s="3">
        <v>31.394922256469702</v>
      </c>
      <c r="O30" s="3">
        <v>38.150821685791001</v>
      </c>
      <c r="P30" s="3">
        <v>6.75589942932129</v>
      </c>
    </row>
    <row r="31" spans="1:16" x14ac:dyDescent="0.2">
      <c r="A31" t="s">
        <v>34</v>
      </c>
      <c r="B31" s="4">
        <v>45513</v>
      </c>
      <c r="C31">
        <v>30</v>
      </c>
      <c r="D31" t="s">
        <v>19</v>
      </c>
      <c r="E31" t="s">
        <v>25</v>
      </c>
      <c r="F31" s="2">
        <v>6.1006333333333003E-2</v>
      </c>
      <c r="G31" s="3">
        <v>35.049999999999997</v>
      </c>
      <c r="H31" s="3">
        <v>1155.9080962800899</v>
      </c>
      <c r="I31" s="3">
        <v>38.669900556076598</v>
      </c>
      <c r="J31" s="3">
        <v>38.7131538391113</v>
      </c>
      <c r="K31" s="3">
        <v>1.0119187960795599</v>
      </c>
      <c r="L31" s="1">
        <v>1.5658037913393601E-3</v>
      </c>
      <c r="M31" s="3">
        <v>2.6168125118712</v>
      </c>
      <c r="N31" s="3">
        <v>33.653984069824197</v>
      </c>
      <c r="O31" s="3">
        <v>41.625118255615199</v>
      </c>
      <c r="P31" s="3">
        <v>7.9711341857910201</v>
      </c>
    </row>
    <row r="32" spans="1:16" x14ac:dyDescent="0.2">
      <c r="A32" t="s">
        <v>34</v>
      </c>
      <c r="B32" s="4">
        <v>45513</v>
      </c>
      <c r="C32">
        <v>31</v>
      </c>
      <c r="D32" t="s">
        <v>17</v>
      </c>
      <c r="E32" t="s">
        <v>21</v>
      </c>
      <c r="F32" s="2">
        <v>9.0889666666666993E-2</v>
      </c>
      <c r="G32" s="3">
        <v>33.766666666666701</v>
      </c>
      <c r="H32" s="3">
        <v>691.46608315098501</v>
      </c>
      <c r="I32" s="3">
        <v>37.122405780920701</v>
      </c>
      <c r="J32" s="3">
        <v>37.144989013671903</v>
      </c>
      <c r="K32" s="3">
        <v>1.6044885040630401</v>
      </c>
      <c r="L32" s="1">
        <v>2.48272311232452E-3</v>
      </c>
      <c r="M32" s="3">
        <v>4.3221565798617396</v>
      </c>
      <c r="N32" s="3">
        <v>31.911777496337901</v>
      </c>
      <c r="O32" s="3">
        <v>40.548282623291001</v>
      </c>
      <c r="P32" s="3">
        <v>8.6365051269531197</v>
      </c>
    </row>
    <row r="33" spans="1:16" x14ac:dyDescent="0.2">
      <c r="A33" t="s">
        <v>34</v>
      </c>
      <c r="B33" s="4">
        <v>45513</v>
      </c>
      <c r="C33">
        <v>32</v>
      </c>
      <c r="D33" t="s">
        <v>30</v>
      </c>
      <c r="E33" t="s">
        <v>18</v>
      </c>
      <c r="F33" s="2">
        <v>8.5517999999999997E-2</v>
      </c>
      <c r="G33" s="3">
        <v>33.5133333333333</v>
      </c>
      <c r="H33" s="3">
        <v>1548.1400437636801</v>
      </c>
      <c r="I33" s="3">
        <v>37.246629607682998</v>
      </c>
      <c r="J33" s="3">
        <v>37.027490615844698</v>
      </c>
      <c r="K33" s="3">
        <v>1.3392707934415</v>
      </c>
      <c r="L33" s="1">
        <v>2.0723355412758798E-3</v>
      </c>
      <c r="M33" s="3">
        <v>3.5956831733447499</v>
      </c>
      <c r="N33" s="3">
        <v>33.550254821777301</v>
      </c>
      <c r="O33" s="3">
        <v>42.120567321777301</v>
      </c>
      <c r="P33" s="3">
        <v>8.5703125</v>
      </c>
    </row>
    <row r="34" spans="1:16" x14ac:dyDescent="0.2">
      <c r="A34" t="s">
        <v>34</v>
      </c>
      <c r="B34" s="4">
        <v>45513</v>
      </c>
      <c r="C34">
        <v>33</v>
      </c>
      <c r="D34" t="s">
        <v>27</v>
      </c>
      <c r="E34" t="s">
        <v>21</v>
      </c>
      <c r="F34" s="2">
        <v>7.1440000000000003E-2</v>
      </c>
      <c r="G34" s="3">
        <v>34.06</v>
      </c>
      <c r="H34" s="3">
        <v>2449.12472647702</v>
      </c>
      <c r="I34" s="3">
        <v>36.623935543028701</v>
      </c>
      <c r="J34" s="3">
        <v>36.4131755828857</v>
      </c>
      <c r="K34" s="3">
        <v>1.2896201678089201</v>
      </c>
      <c r="L34" s="1">
        <v>1.9955080940942801E-3</v>
      </c>
      <c r="M34" s="3">
        <v>3.5212495563011399</v>
      </c>
      <c r="N34" s="3">
        <v>33.930801391601598</v>
      </c>
      <c r="O34" s="3">
        <v>41.557716369628899</v>
      </c>
      <c r="P34" s="3">
        <v>7.6269149780273402</v>
      </c>
    </row>
    <row r="35" spans="1:16" x14ac:dyDescent="0.2">
      <c r="A35" t="s">
        <v>34</v>
      </c>
      <c r="B35" s="4">
        <v>45513</v>
      </c>
      <c r="C35">
        <v>34</v>
      </c>
      <c r="D35" t="s">
        <v>29</v>
      </c>
      <c r="E35" t="s">
        <v>21</v>
      </c>
      <c r="F35" s="2"/>
      <c r="G35" s="3"/>
      <c r="H35" s="3">
        <v>1916.84901531729</v>
      </c>
      <c r="I35" s="3">
        <v>38.073994695917897</v>
      </c>
      <c r="J35" s="3">
        <v>37.786289215087898</v>
      </c>
      <c r="K35" s="3">
        <v>1.4412496995302899</v>
      </c>
      <c r="L35" s="1">
        <v>2.2301337345786401E-3</v>
      </c>
      <c r="M35" s="3">
        <v>3.78539134398947</v>
      </c>
      <c r="N35" s="3">
        <v>34.933029174804702</v>
      </c>
      <c r="O35" s="3">
        <v>42.855194091796903</v>
      </c>
      <c r="P35" s="3">
        <v>7.9221649169921902</v>
      </c>
    </row>
    <row r="36" spans="1:16" x14ac:dyDescent="0.2">
      <c r="A36" t="s">
        <v>34</v>
      </c>
      <c r="B36" s="4">
        <v>45513</v>
      </c>
      <c r="C36">
        <v>35</v>
      </c>
      <c r="D36" t="s">
        <v>28</v>
      </c>
      <c r="E36" t="s">
        <v>16</v>
      </c>
      <c r="F36" s="2"/>
      <c r="G36" s="3"/>
      <c r="H36" s="3">
        <v>2071.1159737417902</v>
      </c>
      <c r="I36" s="3">
        <v>37.356876070604599</v>
      </c>
      <c r="J36" s="3">
        <v>37.321485519409201</v>
      </c>
      <c r="K36" s="3">
        <v>1.0788198007377201</v>
      </c>
      <c r="L36" s="1">
        <v>1.66932380415462E-3</v>
      </c>
      <c r="M36" s="3">
        <v>2.8878747749109102</v>
      </c>
      <c r="N36" s="3">
        <v>34.730213165283203</v>
      </c>
      <c r="O36" s="3">
        <v>42.785099029541001</v>
      </c>
      <c r="P36" s="3">
        <v>8.0548858642578107</v>
      </c>
    </row>
    <row r="37" spans="1:16" x14ac:dyDescent="0.2">
      <c r="A37" t="s">
        <v>34</v>
      </c>
      <c r="B37" s="4">
        <v>45513</v>
      </c>
      <c r="C37">
        <v>36</v>
      </c>
      <c r="D37" t="s">
        <v>26</v>
      </c>
      <c r="E37" t="s">
        <v>18</v>
      </c>
      <c r="F37" s="2"/>
      <c r="G37" s="3"/>
      <c r="H37" s="3">
        <v>1861.0503282275699</v>
      </c>
      <c r="I37" s="3">
        <v>38.107753883501502</v>
      </c>
      <c r="J37" s="3">
        <v>37.9133491516113</v>
      </c>
      <c r="K37" s="3">
        <v>1.2698400492072199</v>
      </c>
      <c r="L37" s="1">
        <v>1.9649011078225901E-3</v>
      </c>
      <c r="M37" s="3">
        <v>3.3322353584239699</v>
      </c>
      <c r="N37" s="3">
        <v>35.706932067871101</v>
      </c>
      <c r="O37" s="3">
        <v>45.072460174560497</v>
      </c>
      <c r="P37" s="3">
        <v>9.3655281066894496</v>
      </c>
    </row>
    <row r="38" spans="1:16" x14ac:dyDescent="0.2">
      <c r="A38" t="s">
        <v>35</v>
      </c>
      <c r="B38" s="4">
        <v>45513</v>
      </c>
      <c r="C38">
        <v>37</v>
      </c>
      <c r="D38" t="s">
        <v>15</v>
      </c>
      <c r="E38" t="s">
        <v>16</v>
      </c>
      <c r="F38" s="2">
        <v>0.173181</v>
      </c>
      <c r="G38" s="3">
        <v>32.0833333333333</v>
      </c>
      <c r="H38" s="3">
        <v>3729.7592997811798</v>
      </c>
      <c r="I38" s="3">
        <v>31.547478327795499</v>
      </c>
      <c r="J38" s="3">
        <v>31.600819587707502</v>
      </c>
      <c r="K38" s="3">
        <v>0.76247059153015395</v>
      </c>
      <c r="L38" s="1">
        <v>1.1798173407076601E-3</v>
      </c>
      <c r="M38" s="3">
        <v>2.4168986934793</v>
      </c>
      <c r="N38" s="3">
        <v>29.147031784057599</v>
      </c>
      <c r="O38" s="3">
        <v>33.570156097412102</v>
      </c>
      <c r="P38" s="3">
        <v>4.4231243133544904</v>
      </c>
    </row>
    <row r="39" spans="1:16" x14ac:dyDescent="0.2">
      <c r="A39" t="s">
        <v>35</v>
      </c>
      <c r="B39" s="4">
        <v>45513</v>
      </c>
      <c r="C39">
        <v>38</v>
      </c>
      <c r="D39" t="s">
        <v>24</v>
      </c>
      <c r="E39" t="s">
        <v>21</v>
      </c>
      <c r="F39" s="2">
        <v>0.174168666666667</v>
      </c>
      <c r="G39" s="3">
        <v>31.623333333333299</v>
      </c>
      <c r="H39" s="3">
        <v>5551.9693654267003</v>
      </c>
      <c r="I39" s="3">
        <v>30.9496337413471</v>
      </c>
      <c r="J39" s="3">
        <v>30.934629440307599</v>
      </c>
      <c r="K39" s="3">
        <v>0.64530000137000099</v>
      </c>
      <c r="L39" s="1">
        <v>9.9851212628033906E-4</v>
      </c>
      <c r="M39" s="3">
        <v>2.0850004454427999</v>
      </c>
      <c r="N39" s="3">
        <v>29.387266159057599</v>
      </c>
      <c r="O39" s="3">
        <v>33.122871398925803</v>
      </c>
      <c r="P39" s="3">
        <v>3.7356052398681601</v>
      </c>
    </row>
    <row r="40" spans="1:16" x14ac:dyDescent="0.2">
      <c r="A40" t="s">
        <v>35</v>
      </c>
      <c r="B40" s="4">
        <v>45513</v>
      </c>
      <c r="C40">
        <v>39</v>
      </c>
      <c r="D40" t="s">
        <v>30</v>
      </c>
      <c r="E40" t="s">
        <v>21</v>
      </c>
      <c r="F40" s="2">
        <v>0.58261700000000005</v>
      </c>
      <c r="G40" s="3">
        <v>30.253333333333298</v>
      </c>
      <c r="H40" s="3">
        <v>3612.1444201312902</v>
      </c>
      <c r="I40" s="3">
        <v>31.821078054813</v>
      </c>
      <c r="J40" s="3">
        <v>31.879238128662099</v>
      </c>
      <c r="K40" s="3">
        <v>0.52932279762016499</v>
      </c>
      <c r="L40" s="1">
        <v>8.1905351157332096E-4</v>
      </c>
      <c r="M40" s="3">
        <v>1.6634345219492099</v>
      </c>
      <c r="N40" s="3">
        <v>30.166816711425799</v>
      </c>
      <c r="O40" s="3">
        <v>33.251991271972699</v>
      </c>
      <c r="P40" s="3">
        <v>3.0851745605468799</v>
      </c>
    </row>
    <row r="41" spans="1:16" x14ac:dyDescent="0.2">
      <c r="A41" t="s">
        <v>35</v>
      </c>
      <c r="B41" s="4">
        <v>45513</v>
      </c>
      <c r="C41">
        <v>40</v>
      </c>
      <c r="D41" t="s">
        <v>27</v>
      </c>
      <c r="E41" t="s">
        <v>21</v>
      </c>
      <c r="F41" s="2">
        <v>0.52647100000000002</v>
      </c>
      <c r="G41" s="3">
        <v>29.316666666666698</v>
      </c>
      <c r="H41" s="3">
        <v>3928.3369803063401</v>
      </c>
      <c r="I41" s="3">
        <v>30.742936749291399</v>
      </c>
      <c r="J41" s="3">
        <v>30.8739557266235</v>
      </c>
      <c r="K41" s="3">
        <v>0.83231406687068998</v>
      </c>
      <c r="L41" s="1">
        <v>1.28789041822358E-3</v>
      </c>
      <c r="M41" s="3">
        <v>2.7073342851342002</v>
      </c>
      <c r="N41" s="3">
        <v>27.161582946777301</v>
      </c>
      <c r="O41" s="3">
        <v>32.352657318115199</v>
      </c>
      <c r="P41" s="3">
        <v>5.1910743713378897</v>
      </c>
    </row>
    <row r="42" spans="1:16" x14ac:dyDescent="0.2">
      <c r="A42" t="s">
        <v>35</v>
      </c>
      <c r="B42" s="4">
        <v>45513</v>
      </c>
      <c r="C42">
        <v>41</v>
      </c>
      <c r="D42" t="s">
        <v>28</v>
      </c>
      <c r="E42" t="s">
        <v>21</v>
      </c>
      <c r="F42" s="2"/>
      <c r="G42" s="3"/>
      <c r="H42" s="3">
        <v>2659.7374179431099</v>
      </c>
      <c r="I42" s="3">
        <v>30.860116600243099</v>
      </c>
      <c r="J42" s="3">
        <v>30.9182224273682</v>
      </c>
      <c r="K42" s="3">
        <v>0.81452749634132005</v>
      </c>
      <c r="L42" s="1">
        <v>1.26036817070954E-3</v>
      </c>
      <c r="M42" s="3">
        <v>2.6394180776844598</v>
      </c>
      <c r="N42" s="3">
        <v>27.7763481140137</v>
      </c>
      <c r="O42" s="3">
        <v>32.7880668640137</v>
      </c>
      <c r="P42" s="3">
        <v>5.01171875</v>
      </c>
    </row>
    <row r="43" spans="1:16" x14ac:dyDescent="0.2">
      <c r="A43" t="s">
        <v>35</v>
      </c>
      <c r="B43" s="4">
        <v>45513</v>
      </c>
      <c r="C43">
        <v>42</v>
      </c>
      <c r="D43" t="s">
        <v>29</v>
      </c>
      <c r="E43" t="s">
        <v>21</v>
      </c>
      <c r="F43" s="2"/>
      <c r="G43" s="3"/>
      <c r="H43" s="3">
        <v>4312.36323851203</v>
      </c>
      <c r="I43" s="3">
        <v>30.483395382451899</v>
      </c>
      <c r="J43" s="3">
        <v>30.6310939788818</v>
      </c>
      <c r="K43" s="3">
        <v>1.0582849147792699</v>
      </c>
      <c r="L43" s="1">
        <v>1.63754892022813E-3</v>
      </c>
      <c r="M43" s="3">
        <v>3.4716766341209002</v>
      </c>
      <c r="N43" s="3">
        <v>27.315977096557599</v>
      </c>
      <c r="O43" s="3">
        <v>32.892810821533203</v>
      </c>
      <c r="P43" s="3">
        <v>5.5768337249755904</v>
      </c>
    </row>
    <row r="44" spans="1:16" x14ac:dyDescent="0.2">
      <c r="A44" t="s">
        <v>35</v>
      </c>
      <c r="B44" s="4">
        <v>45513</v>
      </c>
      <c r="C44">
        <v>43</v>
      </c>
      <c r="D44" t="s">
        <v>26</v>
      </c>
      <c r="E44" t="s">
        <v>18</v>
      </c>
      <c r="F44" s="2"/>
      <c r="G44" s="3"/>
      <c r="H44" s="3">
        <v>2979.2122538293202</v>
      </c>
      <c r="I44" s="3">
        <v>31.130671378129001</v>
      </c>
      <c r="J44" s="3">
        <v>31.298202514648398</v>
      </c>
      <c r="K44" s="3">
        <v>1.1158523605075501</v>
      </c>
      <c r="L44" s="1">
        <v>1.7266265469391699E-3</v>
      </c>
      <c r="M44" s="3">
        <v>3.5844146981407401</v>
      </c>
      <c r="N44" s="3">
        <v>27.165605545043899</v>
      </c>
      <c r="O44" s="3">
        <v>34.556407928466797</v>
      </c>
      <c r="P44" s="3">
        <v>7.3908023834228498</v>
      </c>
    </row>
    <row r="45" spans="1:16" x14ac:dyDescent="0.2">
      <c r="A45" t="s">
        <v>35</v>
      </c>
      <c r="B45" s="4">
        <v>45513</v>
      </c>
      <c r="C45">
        <v>44</v>
      </c>
      <c r="D45" t="s">
        <v>22</v>
      </c>
      <c r="E45" t="s">
        <v>18</v>
      </c>
      <c r="F45" s="2"/>
      <c r="G45" s="3"/>
      <c r="H45" s="3">
        <v>4120.3501094091898</v>
      </c>
      <c r="I45" s="3">
        <v>31.5040925788166</v>
      </c>
      <c r="J45" s="3">
        <v>31.4810647964478</v>
      </c>
      <c r="K45" s="3">
        <v>0.93474147452007095</v>
      </c>
      <c r="L45" s="1">
        <v>1.4463826053989E-3</v>
      </c>
      <c r="M45" s="3">
        <v>2.9670477642913999</v>
      </c>
      <c r="N45" s="3">
        <v>27.5546875</v>
      </c>
      <c r="O45" s="3">
        <v>34.530529022216797</v>
      </c>
      <c r="P45" s="3">
        <v>6.9758415222168004</v>
      </c>
    </row>
    <row r="46" spans="1:16" x14ac:dyDescent="0.2">
      <c r="A46" t="s">
        <v>35</v>
      </c>
      <c r="B46" s="4">
        <v>45513</v>
      </c>
      <c r="C46">
        <v>45</v>
      </c>
      <c r="D46" t="s">
        <v>23</v>
      </c>
      <c r="E46" t="s">
        <v>21</v>
      </c>
      <c r="F46" s="2">
        <v>0.124281666666667</v>
      </c>
      <c r="G46" s="3">
        <v>30.9166666666667</v>
      </c>
      <c r="H46" s="3">
        <v>3164.11378555799</v>
      </c>
      <c r="I46" s="3">
        <v>32.170887347122601</v>
      </c>
      <c r="J46" s="3">
        <v>32.122734069824197</v>
      </c>
      <c r="K46" s="3">
        <v>0.81600401031931802</v>
      </c>
      <c r="L46" s="1">
        <v>1.26265287101719E-3</v>
      </c>
      <c r="M46" s="3">
        <v>2.5364672149532801</v>
      </c>
      <c r="N46" s="3">
        <v>28.123985290527301</v>
      </c>
      <c r="O46" s="3">
        <v>34.504356384277301</v>
      </c>
      <c r="P46" s="3">
        <v>6.38037109375</v>
      </c>
    </row>
    <row r="47" spans="1:16" x14ac:dyDescent="0.2">
      <c r="A47" t="s">
        <v>35</v>
      </c>
      <c r="B47" s="4">
        <v>45513</v>
      </c>
      <c r="C47">
        <v>46</v>
      </c>
      <c r="D47" t="s">
        <v>17</v>
      </c>
      <c r="E47" t="s">
        <v>21</v>
      </c>
      <c r="F47" s="2">
        <v>0.24288799999999999</v>
      </c>
      <c r="G47" s="3">
        <v>30.656666666666698</v>
      </c>
      <c r="H47" s="3">
        <v>922.86652078774603</v>
      </c>
      <c r="I47" s="3">
        <v>31.267354838285101</v>
      </c>
      <c r="J47" s="3">
        <v>31.182656288147001</v>
      </c>
      <c r="K47" s="3">
        <v>0.681009819188374</v>
      </c>
      <c r="L47" s="1">
        <v>1.0537681096108901E-3</v>
      </c>
      <c r="M47" s="3">
        <v>2.1780218464611401</v>
      </c>
      <c r="N47" s="3">
        <v>29.566679000854499</v>
      </c>
      <c r="O47" s="3">
        <v>34.032188415527301</v>
      </c>
      <c r="P47" s="3">
        <v>4.4655094146728498</v>
      </c>
    </row>
    <row r="48" spans="1:16" x14ac:dyDescent="0.2">
      <c r="A48" t="s">
        <v>35</v>
      </c>
      <c r="B48" s="4">
        <v>45513</v>
      </c>
      <c r="C48">
        <v>47</v>
      </c>
      <c r="D48" t="s">
        <v>19</v>
      </c>
      <c r="E48" t="s">
        <v>16</v>
      </c>
      <c r="F48" s="2">
        <v>0.128072666666667</v>
      </c>
      <c r="G48" s="3">
        <v>32.11</v>
      </c>
      <c r="H48" s="3">
        <v>2830.9628008752702</v>
      </c>
      <c r="I48" s="3">
        <v>33.344910426702299</v>
      </c>
      <c r="J48" s="3">
        <v>33.240087509155302</v>
      </c>
      <c r="K48" s="3">
        <v>0.85454807019565804</v>
      </c>
      <c r="L48" s="1">
        <v>1.32229445028403E-3</v>
      </c>
      <c r="M48" s="3">
        <v>2.5627541332704999</v>
      </c>
      <c r="N48" s="3">
        <v>31.357851028442401</v>
      </c>
      <c r="O48" s="3">
        <v>36.431972503662102</v>
      </c>
      <c r="P48" s="3">
        <v>5.0741214752197301</v>
      </c>
    </row>
    <row r="49" spans="1:16" x14ac:dyDescent="0.2">
      <c r="A49" t="s">
        <v>35</v>
      </c>
      <c r="B49" s="4">
        <v>45513</v>
      </c>
      <c r="C49">
        <v>48</v>
      </c>
      <c r="D49" t="s">
        <v>20</v>
      </c>
      <c r="E49" t="s">
        <v>21</v>
      </c>
      <c r="F49" s="2">
        <v>7.3979333333332994E-2</v>
      </c>
      <c r="G49" s="3">
        <v>32.8333333333333</v>
      </c>
      <c r="H49" s="3">
        <v>3277.8993435448601</v>
      </c>
      <c r="I49" s="3">
        <v>31.6462191678045</v>
      </c>
      <c r="J49" s="3">
        <v>31.569530487060501</v>
      </c>
      <c r="K49" s="3">
        <v>0.66152848560813005</v>
      </c>
      <c r="L49" s="1">
        <v>1.0236234516615901E-3</v>
      </c>
      <c r="M49" s="3">
        <v>2.0903871078575502</v>
      </c>
      <c r="N49" s="3">
        <v>30.084257125854499</v>
      </c>
      <c r="O49" s="3">
        <v>34.036483764648402</v>
      </c>
      <c r="P49" s="3">
        <v>3.9522266387939502</v>
      </c>
    </row>
    <row r="50" spans="1:16" x14ac:dyDescent="0.2">
      <c r="A50" t="s">
        <v>35</v>
      </c>
      <c r="B50" s="4">
        <v>45513</v>
      </c>
      <c r="C50">
        <v>49</v>
      </c>
      <c r="D50" t="s">
        <v>17</v>
      </c>
      <c r="E50" t="s">
        <v>16</v>
      </c>
      <c r="F50" s="2">
        <v>0.52567766666666704</v>
      </c>
      <c r="G50" s="3">
        <v>31.546666666666699</v>
      </c>
      <c r="H50" s="3">
        <v>1377.4617067833699</v>
      </c>
      <c r="I50" s="3">
        <v>31.030384943190501</v>
      </c>
      <c r="J50" s="3">
        <v>31.072422027587901</v>
      </c>
      <c r="K50" s="3">
        <v>0.77756734904925395</v>
      </c>
      <c r="L50" s="1">
        <v>1.20317747617695E-3</v>
      </c>
      <c r="M50" s="3">
        <v>2.50582566240413</v>
      </c>
      <c r="N50" s="3">
        <v>29.071445465087901</v>
      </c>
      <c r="O50" s="3">
        <v>32.953006744384801</v>
      </c>
      <c r="P50" s="3">
        <v>3.8815612792968799</v>
      </c>
    </row>
    <row r="51" spans="1:16" x14ac:dyDescent="0.2">
      <c r="A51" t="s">
        <v>35</v>
      </c>
      <c r="B51" s="4">
        <v>45513</v>
      </c>
      <c r="C51">
        <v>50</v>
      </c>
      <c r="D51" t="s">
        <v>22</v>
      </c>
      <c r="E51" t="s">
        <v>18</v>
      </c>
      <c r="F51" s="2"/>
      <c r="G51" s="3"/>
      <c r="H51" s="3">
        <v>5253.2822757111599</v>
      </c>
      <c r="I51" s="3">
        <v>31.111208772449899</v>
      </c>
      <c r="J51" s="3">
        <v>31.138349533081101</v>
      </c>
      <c r="K51" s="3">
        <v>0.59766584904206599</v>
      </c>
      <c r="L51" s="1">
        <v>9.2480489146932305E-4</v>
      </c>
      <c r="M51" s="3">
        <v>1.92106277005644</v>
      </c>
      <c r="N51" s="3">
        <v>29.5734958648682</v>
      </c>
      <c r="O51" s="3">
        <v>32.715118408203097</v>
      </c>
      <c r="P51" s="3">
        <v>3.14162254333496</v>
      </c>
    </row>
    <row r="52" spans="1:16" x14ac:dyDescent="0.2">
      <c r="A52" t="s">
        <v>35</v>
      </c>
      <c r="B52" s="4">
        <v>45513</v>
      </c>
      <c r="C52">
        <v>51</v>
      </c>
      <c r="D52" t="s">
        <v>23</v>
      </c>
      <c r="E52" t="s">
        <v>21</v>
      </c>
      <c r="F52" s="2">
        <v>0.22336966666666699</v>
      </c>
      <c r="G52" s="3">
        <v>31.82</v>
      </c>
      <c r="H52" s="3">
        <v>3196.9365426695799</v>
      </c>
      <c r="I52" s="3">
        <v>31.824064889632702</v>
      </c>
      <c r="J52" s="3">
        <v>31.882890701293899</v>
      </c>
      <c r="K52" s="3">
        <v>0.65988438867515697</v>
      </c>
      <c r="L52" s="1">
        <v>1.02107944000675E-3</v>
      </c>
      <c r="M52" s="3">
        <v>2.07353897424376</v>
      </c>
      <c r="N52" s="3">
        <v>29.627285003662099</v>
      </c>
      <c r="O52" s="3">
        <v>33.473670959472699</v>
      </c>
      <c r="P52" s="3">
        <v>3.84638595581055</v>
      </c>
    </row>
    <row r="53" spans="1:16" x14ac:dyDescent="0.2">
      <c r="A53" t="s">
        <v>35</v>
      </c>
      <c r="B53" s="4">
        <v>45513</v>
      </c>
      <c r="C53">
        <v>52</v>
      </c>
      <c r="D53" t="s">
        <v>23</v>
      </c>
      <c r="E53" t="s">
        <v>21</v>
      </c>
      <c r="F53" s="2">
        <v>0.18053733333333299</v>
      </c>
      <c r="G53" s="3">
        <v>32.99</v>
      </c>
      <c r="H53" s="3">
        <v>4379.10284463895</v>
      </c>
      <c r="I53" s="3">
        <v>30.158063801338699</v>
      </c>
      <c r="J53" s="3">
        <v>30.327051162719702</v>
      </c>
      <c r="K53" s="3">
        <v>0.85109636742064898</v>
      </c>
      <c r="L53" s="1">
        <v>1.3169534196473499E-3</v>
      </c>
      <c r="M53" s="3">
        <v>2.8221187309208799</v>
      </c>
      <c r="N53" s="3">
        <v>26.940605163574201</v>
      </c>
      <c r="O53" s="3">
        <v>32.292850494384801</v>
      </c>
      <c r="P53" s="3">
        <v>5.3522453308105504</v>
      </c>
    </row>
    <row r="54" spans="1:16" x14ac:dyDescent="0.2">
      <c r="A54" t="s">
        <v>35</v>
      </c>
      <c r="B54" s="4">
        <v>45513</v>
      </c>
      <c r="C54">
        <v>53</v>
      </c>
      <c r="D54" t="s">
        <v>26</v>
      </c>
      <c r="E54" t="s">
        <v>18</v>
      </c>
      <c r="F54" s="2"/>
      <c r="G54" s="3"/>
      <c r="H54" s="3">
        <v>4084.2450765864301</v>
      </c>
      <c r="I54" s="3">
        <v>30.020689597158398</v>
      </c>
      <c r="J54" s="3">
        <v>30.109725952148398</v>
      </c>
      <c r="K54" s="3">
        <v>0.86350121727592399</v>
      </c>
      <c r="L54" s="1">
        <v>1.33614820188644E-3</v>
      </c>
      <c r="M54" s="3">
        <v>2.8763537042722001</v>
      </c>
      <c r="N54" s="3">
        <v>27.415586471557599</v>
      </c>
      <c r="O54" s="3">
        <v>32.374843597412102</v>
      </c>
      <c r="P54" s="3">
        <v>4.9592571258544904</v>
      </c>
    </row>
    <row r="55" spans="1:16" x14ac:dyDescent="0.2">
      <c r="A55" t="s">
        <v>35</v>
      </c>
      <c r="B55" s="4">
        <v>45513</v>
      </c>
      <c r="C55">
        <v>54</v>
      </c>
      <c r="D55" t="s">
        <v>27</v>
      </c>
      <c r="E55" t="s">
        <v>18</v>
      </c>
      <c r="F55" s="2">
        <v>0.193602</v>
      </c>
      <c r="G55" s="3">
        <v>31.613333333333301</v>
      </c>
      <c r="H55" s="3">
        <v>4579.8687089715504</v>
      </c>
      <c r="I55" s="3">
        <v>29.9605727474957</v>
      </c>
      <c r="J55" s="3">
        <v>30.0922946929932</v>
      </c>
      <c r="K55" s="3">
        <v>0.93986496564754196</v>
      </c>
      <c r="L55" s="1">
        <v>1.4543104963159999E-3</v>
      </c>
      <c r="M55" s="3">
        <v>3.1370060030848501</v>
      </c>
      <c r="N55" s="3">
        <v>26.6103515625</v>
      </c>
      <c r="O55" s="3">
        <v>31.860996246337901</v>
      </c>
      <c r="P55" s="3">
        <v>5.2506446838378897</v>
      </c>
    </row>
    <row r="56" spans="1:16" x14ac:dyDescent="0.2">
      <c r="A56" t="s">
        <v>35</v>
      </c>
      <c r="B56" s="4">
        <v>45513</v>
      </c>
      <c r="C56">
        <v>55</v>
      </c>
      <c r="D56" t="s">
        <v>28</v>
      </c>
      <c r="E56" t="s">
        <v>21</v>
      </c>
      <c r="F56" s="2"/>
      <c r="G56" s="3"/>
      <c r="H56" s="3">
        <v>3208.4245076586399</v>
      </c>
      <c r="I56" s="3">
        <v>30.376721365064402</v>
      </c>
      <c r="J56" s="3">
        <v>30.553789138793899</v>
      </c>
      <c r="K56" s="3">
        <v>0.81776388082696305</v>
      </c>
      <c r="L56" s="1">
        <v>1.2653760261990201E-3</v>
      </c>
      <c r="M56" s="3">
        <v>2.6920742070849499</v>
      </c>
      <c r="N56" s="3">
        <v>26.847383499145501</v>
      </c>
      <c r="O56" s="3">
        <v>31.931484222412099</v>
      </c>
      <c r="P56" s="3">
        <v>5.0841007232665998</v>
      </c>
    </row>
    <row r="57" spans="1:16" x14ac:dyDescent="0.2">
      <c r="A57" t="s">
        <v>35</v>
      </c>
      <c r="B57" s="4">
        <v>45513</v>
      </c>
      <c r="C57">
        <v>56</v>
      </c>
      <c r="D57" t="s">
        <v>19</v>
      </c>
      <c r="E57" t="s">
        <v>25</v>
      </c>
      <c r="F57" s="2">
        <v>0.105501</v>
      </c>
      <c r="G57" s="3">
        <v>32.336666666666702</v>
      </c>
      <c r="H57" s="3">
        <v>3094.6389496717702</v>
      </c>
      <c r="I57" s="3">
        <v>32.246342811458497</v>
      </c>
      <c r="J57" s="3">
        <v>32.253574371337898</v>
      </c>
      <c r="K57" s="3">
        <v>0.78855782788974005</v>
      </c>
      <c r="L57" s="1">
        <v>1.2201837157129001E-3</v>
      </c>
      <c r="M57" s="3">
        <v>2.4454178649044498</v>
      </c>
      <c r="N57" s="3">
        <v>27.766796112060501</v>
      </c>
      <c r="O57" s="3">
        <v>34.31689453125</v>
      </c>
      <c r="P57" s="3">
        <v>6.5500984191894496</v>
      </c>
    </row>
    <row r="58" spans="1:16" x14ac:dyDescent="0.2">
      <c r="A58" t="s">
        <v>35</v>
      </c>
      <c r="B58" s="4">
        <v>45513</v>
      </c>
      <c r="C58">
        <v>57</v>
      </c>
      <c r="D58" t="s">
        <v>15</v>
      </c>
      <c r="E58" t="s">
        <v>25</v>
      </c>
      <c r="F58" s="2">
        <v>0.74029533333333297</v>
      </c>
      <c r="G58" s="3">
        <v>30.746666666666702</v>
      </c>
      <c r="H58" s="3">
        <v>4454.0481400437602</v>
      </c>
      <c r="I58" s="3">
        <v>30.404515241925498</v>
      </c>
      <c r="J58" s="3">
        <v>30.3944044113159</v>
      </c>
      <c r="K58" s="3">
        <v>0.61906377536147295</v>
      </c>
      <c r="L58" s="1">
        <v>9.5791521048655401E-4</v>
      </c>
      <c r="M58" s="3">
        <v>2.0360915819102798</v>
      </c>
      <c r="N58" s="3">
        <v>27.7815036773682</v>
      </c>
      <c r="O58" s="3">
        <v>32.140449523925803</v>
      </c>
      <c r="P58" s="3">
        <v>4.3589458465576199</v>
      </c>
    </row>
    <row r="59" spans="1:16" x14ac:dyDescent="0.2">
      <c r="A59" t="s">
        <v>35</v>
      </c>
      <c r="B59" s="4">
        <v>45513</v>
      </c>
      <c r="C59">
        <v>58</v>
      </c>
      <c r="D59" t="s">
        <v>20</v>
      </c>
      <c r="E59" t="s">
        <v>16</v>
      </c>
      <c r="F59" s="2">
        <v>0.283947333333333</v>
      </c>
      <c r="G59" s="3">
        <v>30.516666666666701</v>
      </c>
      <c r="H59" s="3">
        <v>2572.7571115973701</v>
      </c>
      <c r="I59" s="3">
        <v>30.8648476835567</v>
      </c>
      <c r="J59" s="3">
        <v>30.843847274780298</v>
      </c>
      <c r="K59" s="3">
        <v>0.54406017840807996</v>
      </c>
      <c r="L59" s="1">
        <v>8.4185756146500296E-4</v>
      </c>
      <c r="M59" s="3">
        <v>1.7627178464837501</v>
      </c>
      <c r="N59" s="3">
        <v>29.242481231689499</v>
      </c>
      <c r="O59" s="3">
        <v>32.671581268310497</v>
      </c>
      <c r="P59" s="3">
        <v>3.4291000366210902</v>
      </c>
    </row>
    <row r="60" spans="1:16" x14ac:dyDescent="0.2">
      <c r="A60" t="s">
        <v>35</v>
      </c>
      <c r="B60" s="4">
        <v>45513</v>
      </c>
      <c r="C60">
        <v>59</v>
      </c>
      <c r="D60" t="s">
        <v>29</v>
      </c>
      <c r="E60" t="s">
        <v>21</v>
      </c>
      <c r="F60" s="2"/>
      <c r="G60" s="3"/>
      <c r="H60" s="3">
        <v>3689.27789934354</v>
      </c>
      <c r="I60" s="3">
        <v>31.545039264975699</v>
      </c>
      <c r="J60" s="3">
        <v>31.371171951293899</v>
      </c>
      <c r="K60" s="3">
        <v>0.64760596723498198</v>
      </c>
      <c r="L60" s="1">
        <v>1.00208028818036E-3</v>
      </c>
      <c r="M60" s="3">
        <v>2.0529566053005799</v>
      </c>
      <c r="N60" s="3">
        <v>30.196836471557599</v>
      </c>
      <c r="O60" s="3">
        <v>33.422950744628899</v>
      </c>
      <c r="P60" s="3">
        <v>3.22611427307129</v>
      </c>
    </row>
    <row r="61" spans="1:16" x14ac:dyDescent="0.2">
      <c r="A61" t="s">
        <v>35</v>
      </c>
      <c r="B61" s="4">
        <v>45513</v>
      </c>
      <c r="C61">
        <v>60</v>
      </c>
      <c r="D61" t="s">
        <v>20</v>
      </c>
      <c r="E61" t="s">
        <v>16</v>
      </c>
      <c r="F61" s="2">
        <v>8.8678333333332998E-2</v>
      </c>
      <c r="G61" s="3">
        <v>31.13</v>
      </c>
      <c r="H61" s="3">
        <v>3242.34135667396</v>
      </c>
      <c r="I61" s="3">
        <v>31.282309764576901</v>
      </c>
      <c r="J61" s="3">
        <v>31.108360290527301</v>
      </c>
      <c r="K61" s="3">
        <v>0.65191121933747198</v>
      </c>
      <c r="L61" s="1">
        <v>1.00874206785168E-3</v>
      </c>
      <c r="M61" s="3">
        <v>2.0839612683449502</v>
      </c>
      <c r="N61" s="3">
        <v>29.709257125854499</v>
      </c>
      <c r="O61" s="3">
        <v>33.205448150634801</v>
      </c>
      <c r="P61" s="3">
        <v>3.4961910247802699</v>
      </c>
    </row>
    <row r="62" spans="1:16" x14ac:dyDescent="0.2">
      <c r="A62" t="s">
        <v>35</v>
      </c>
      <c r="B62" s="4">
        <v>45513</v>
      </c>
      <c r="C62">
        <v>61</v>
      </c>
      <c r="D62" t="s">
        <v>24</v>
      </c>
      <c r="E62" t="s">
        <v>16</v>
      </c>
      <c r="F62" s="2">
        <v>0.51009866666666703</v>
      </c>
      <c r="G62" s="3">
        <v>28.876666666666701</v>
      </c>
      <c r="H62" s="3">
        <v>4652.6258205689301</v>
      </c>
      <c r="I62" s="3">
        <v>31.013139791278999</v>
      </c>
      <c r="J62" s="3">
        <v>31.0073432922363</v>
      </c>
      <c r="K62" s="3">
        <v>0.740364755925355</v>
      </c>
      <c r="L62" s="1">
        <v>1.1456116303929301E-3</v>
      </c>
      <c r="M62" s="3">
        <v>2.3872615314285199</v>
      </c>
      <c r="N62" s="3">
        <v>29.083164215087901</v>
      </c>
      <c r="O62" s="3">
        <v>32.995861053466797</v>
      </c>
      <c r="P62" s="3">
        <v>3.9126968383789098</v>
      </c>
    </row>
    <row r="63" spans="1:16" x14ac:dyDescent="0.2">
      <c r="A63" t="s">
        <v>35</v>
      </c>
      <c r="B63" s="4">
        <v>45513</v>
      </c>
      <c r="C63">
        <v>62</v>
      </c>
      <c r="D63" t="s">
        <v>15</v>
      </c>
      <c r="E63" t="s">
        <v>16</v>
      </c>
      <c r="F63" s="2">
        <v>0.481659</v>
      </c>
      <c r="G63" s="3">
        <v>28.62</v>
      </c>
      <c r="H63" s="3">
        <v>4184.9015317286603</v>
      </c>
      <c r="I63" s="3">
        <v>30.781848433508902</v>
      </c>
      <c r="J63" s="3">
        <v>30.914257049560501</v>
      </c>
      <c r="K63" s="3">
        <v>0.67249878712876898</v>
      </c>
      <c r="L63" s="1">
        <v>1.04059846959751E-3</v>
      </c>
      <c r="M63" s="3">
        <v>2.1847251589891199</v>
      </c>
      <c r="N63" s="3">
        <v>28.834297180175799</v>
      </c>
      <c r="O63" s="3">
        <v>32.725685119628899</v>
      </c>
      <c r="P63" s="3">
        <v>3.8913879394531201</v>
      </c>
    </row>
    <row r="64" spans="1:16" x14ac:dyDescent="0.2">
      <c r="A64" t="s">
        <v>35</v>
      </c>
      <c r="B64" s="4">
        <v>45513</v>
      </c>
      <c r="C64">
        <v>63</v>
      </c>
      <c r="D64" t="s">
        <v>22</v>
      </c>
      <c r="E64" t="s">
        <v>18</v>
      </c>
      <c r="F64" s="2"/>
      <c r="G64" s="3"/>
      <c r="H64" s="3">
        <v>4450.2188183807402</v>
      </c>
      <c r="I64" s="3">
        <v>31.365088841091399</v>
      </c>
      <c r="J64" s="3">
        <v>31.398593902587901</v>
      </c>
      <c r="K64" s="3">
        <v>0.63747339053010799</v>
      </c>
      <c r="L64" s="1">
        <v>9.8640153304506992E-4</v>
      </c>
      <c r="M64" s="3">
        <v>2.0324297302641599</v>
      </c>
      <c r="N64" s="3">
        <v>29.193065643310501</v>
      </c>
      <c r="O64" s="3">
        <v>32.980056762695298</v>
      </c>
      <c r="P64" s="3">
        <v>3.7869911193847701</v>
      </c>
    </row>
    <row r="65" spans="1:16" x14ac:dyDescent="0.2">
      <c r="A65" t="s">
        <v>35</v>
      </c>
      <c r="B65" s="4">
        <v>45513</v>
      </c>
      <c r="C65">
        <v>64</v>
      </c>
      <c r="D65" t="s">
        <v>23</v>
      </c>
      <c r="E65" t="s">
        <v>16</v>
      </c>
      <c r="F65" s="2">
        <v>5.9706000000000002E-2</v>
      </c>
      <c r="G65" s="3">
        <v>30.973333333333301</v>
      </c>
      <c r="H65" s="3">
        <v>2958.4245076586399</v>
      </c>
      <c r="I65" s="3">
        <v>31.4535752455369</v>
      </c>
      <c r="J65" s="3">
        <v>31.696601867675799</v>
      </c>
      <c r="K65" s="3">
        <v>0.984300560128193</v>
      </c>
      <c r="L65" s="1">
        <v>1.52306840710666E-3</v>
      </c>
      <c r="M65" s="3">
        <v>3.1293757623558598</v>
      </c>
      <c r="N65" s="3">
        <v>27.848182678222699</v>
      </c>
      <c r="O65" s="3">
        <v>33.548770904541001</v>
      </c>
      <c r="P65" s="3">
        <v>5.7005882263183603</v>
      </c>
    </row>
    <row r="66" spans="1:16" x14ac:dyDescent="0.2">
      <c r="A66" t="s">
        <v>35</v>
      </c>
      <c r="B66" s="4">
        <v>45513</v>
      </c>
      <c r="C66">
        <v>65</v>
      </c>
      <c r="D66" t="s">
        <v>20</v>
      </c>
      <c r="E66" t="s">
        <v>25</v>
      </c>
      <c r="F66" s="2">
        <v>0.27680633333333299</v>
      </c>
      <c r="G66" s="3">
        <v>29.66</v>
      </c>
      <c r="H66" s="3">
        <v>4041.5754923413601</v>
      </c>
      <c r="I66" s="3">
        <v>30.244688375381202</v>
      </c>
      <c r="J66" s="3">
        <v>30.389101028442401</v>
      </c>
      <c r="K66" s="3">
        <v>1.09991147116495</v>
      </c>
      <c r="L66" s="1">
        <v>1.70196023471465E-3</v>
      </c>
      <c r="M66" s="3">
        <v>3.6367095521482198</v>
      </c>
      <c r="N66" s="3">
        <v>26.871854782104499</v>
      </c>
      <c r="O66" s="3">
        <v>34.120742797851598</v>
      </c>
      <c r="P66" s="3">
        <v>7.2488880157470703</v>
      </c>
    </row>
    <row r="67" spans="1:16" x14ac:dyDescent="0.2">
      <c r="A67" t="s">
        <v>35</v>
      </c>
      <c r="B67" s="4">
        <v>45513</v>
      </c>
      <c r="C67">
        <v>66</v>
      </c>
      <c r="D67" t="s">
        <v>19</v>
      </c>
      <c r="E67" t="s">
        <v>18</v>
      </c>
      <c r="F67" s="2">
        <v>0.239960333333333</v>
      </c>
      <c r="G67" s="3">
        <v>30.043333333333301</v>
      </c>
      <c r="H67" s="3">
        <v>2670.6783369803102</v>
      </c>
      <c r="I67" s="3">
        <v>31.9801782062592</v>
      </c>
      <c r="J67" s="3">
        <v>32.206249237060497</v>
      </c>
      <c r="K67" s="3">
        <v>1.1743064826842999</v>
      </c>
      <c r="L67" s="1">
        <v>1.81707618230357E-3</v>
      </c>
      <c r="M67" s="3">
        <v>3.6719822982551902</v>
      </c>
      <c r="N67" s="3">
        <v>27.52099609375</v>
      </c>
      <c r="O67" s="3">
        <v>34.543418884277301</v>
      </c>
      <c r="P67" s="3">
        <v>7.0224227905273402</v>
      </c>
    </row>
    <row r="68" spans="1:16" x14ac:dyDescent="0.2">
      <c r="A68" t="s">
        <v>35</v>
      </c>
      <c r="B68" s="4">
        <v>45513</v>
      </c>
      <c r="C68">
        <v>67</v>
      </c>
      <c r="D68" t="s">
        <v>17</v>
      </c>
      <c r="E68" t="s">
        <v>21</v>
      </c>
      <c r="F68" s="2">
        <v>0.12636333333333299</v>
      </c>
      <c r="G68" s="3">
        <v>29.3</v>
      </c>
      <c r="H68" s="3">
        <v>2442.5601750546998</v>
      </c>
      <c r="I68" s="3">
        <v>30.509121345947001</v>
      </c>
      <c r="J68" s="3">
        <v>30.654960632324201</v>
      </c>
      <c r="K68" s="3">
        <v>0.74938094628783303</v>
      </c>
      <c r="L68" s="1">
        <v>1.15956293271848E-3</v>
      </c>
      <c r="M68" s="3">
        <v>2.45625214109086</v>
      </c>
      <c r="N68" s="3">
        <v>27.108848571777301</v>
      </c>
      <c r="O68" s="3">
        <v>32.048183441162102</v>
      </c>
      <c r="P68" s="3">
        <v>4.9393348693847701</v>
      </c>
    </row>
    <row r="69" spans="1:16" x14ac:dyDescent="0.2">
      <c r="A69" t="s">
        <v>35</v>
      </c>
      <c r="B69" s="4">
        <v>45513</v>
      </c>
      <c r="C69">
        <v>68</v>
      </c>
      <c r="D69" t="s">
        <v>30</v>
      </c>
      <c r="E69" t="s">
        <v>21</v>
      </c>
      <c r="F69" s="2">
        <v>0.15356266666666701</v>
      </c>
      <c r="G69" s="3">
        <v>30.07</v>
      </c>
      <c r="H69" s="3">
        <v>4363.23851203501</v>
      </c>
      <c r="I69" s="3">
        <v>31.481762564759599</v>
      </c>
      <c r="J69" s="3">
        <v>31.5600395202637</v>
      </c>
      <c r="K69" s="3">
        <v>0.88471704637606696</v>
      </c>
      <c r="L69" s="1">
        <v>1.36897675074838E-3</v>
      </c>
      <c r="M69" s="3">
        <v>2.81025258530605</v>
      </c>
      <c r="N69" s="3">
        <v>27.728105545043899</v>
      </c>
      <c r="O69" s="3">
        <v>33.569492340087898</v>
      </c>
      <c r="P69" s="3">
        <v>5.8413867950439498</v>
      </c>
    </row>
    <row r="70" spans="1:16" x14ac:dyDescent="0.2">
      <c r="A70" t="s">
        <v>35</v>
      </c>
      <c r="B70" s="4">
        <v>45513</v>
      </c>
      <c r="C70">
        <v>69</v>
      </c>
      <c r="D70" t="s">
        <v>27</v>
      </c>
      <c r="E70" t="s">
        <v>21</v>
      </c>
      <c r="F70" s="2">
        <v>3.3495666666667E-2</v>
      </c>
      <c r="G70" s="3">
        <v>30.566666666666698</v>
      </c>
      <c r="H70" s="3">
        <v>3097.3741794310699</v>
      </c>
      <c r="I70" s="3">
        <v>31.951800453536801</v>
      </c>
      <c r="J70" s="3">
        <v>32.027490615844698</v>
      </c>
      <c r="K70" s="3">
        <v>0.959446327611854</v>
      </c>
      <c r="L70" s="1">
        <v>1.4846099342966999E-3</v>
      </c>
      <c r="M70" s="3">
        <v>3.0027926877142601</v>
      </c>
      <c r="N70" s="3">
        <v>28.342226028442401</v>
      </c>
      <c r="O70" s="3">
        <v>33.956485748291001</v>
      </c>
      <c r="P70" s="3">
        <v>5.6142597198486301</v>
      </c>
    </row>
    <row r="71" spans="1:16" x14ac:dyDescent="0.2">
      <c r="A71" t="s">
        <v>35</v>
      </c>
      <c r="B71" s="4">
        <v>45513</v>
      </c>
      <c r="C71">
        <v>70</v>
      </c>
      <c r="D71" t="s">
        <v>29</v>
      </c>
      <c r="E71" t="s">
        <v>18</v>
      </c>
      <c r="G71" s="3"/>
      <c r="H71" s="3">
        <v>3602.2975929978102</v>
      </c>
      <c r="I71" s="3">
        <v>33.1055839502217</v>
      </c>
      <c r="J71" s="3">
        <v>33.188047409057603</v>
      </c>
      <c r="K71" s="3">
        <v>0.89938495273851704</v>
      </c>
      <c r="L71" s="1">
        <v>1.39167329861597E-3</v>
      </c>
      <c r="M71" s="3">
        <v>2.7167167753054899</v>
      </c>
      <c r="N71" s="3">
        <v>31.055742263793899</v>
      </c>
      <c r="O71" s="3">
        <v>35.26220703125</v>
      </c>
      <c r="P71" s="3">
        <v>4.2064647674560502</v>
      </c>
    </row>
    <row r="72" spans="1:16" x14ac:dyDescent="0.2">
      <c r="A72" t="s">
        <v>35</v>
      </c>
      <c r="B72" s="4">
        <v>45513</v>
      </c>
      <c r="C72">
        <v>71</v>
      </c>
      <c r="D72" t="s">
        <v>28</v>
      </c>
      <c r="E72" t="s">
        <v>21</v>
      </c>
      <c r="G72" s="3"/>
      <c r="H72" s="3">
        <v>4084.7921225382902</v>
      </c>
      <c r="I72" s="3">
        <v>33.157230549971899</v>
      </c>
      <c r="J72" s="3">
        <v>33.2697944641113</v>
      </c>
      <c r="K72" s="3">
        <v>0.91171526575379103</v>
      </c>
      <c r="L72" s="1">
        <v>1.4107527454475901E-3</v>
      </c>
      <c r="M72" s="3">
        <v>2.7496725469267602</v>
      </c>
      <c r="N72" s="3">
        <v>31.322870254516602</v>
      </c>
      <c r="O72" s="3">
        <v>35.426055908203097</v>
      </c>
      <c r="P72" s="3">
        <v>4.1031856536865199</v>
      </c>
    </row>
    <row r="73" spans="1:16" x14ac:dyDescent="0.2">
      <c r="A73" t="s">
        <v>35</v>
      </c>
      <c r="B73" s="4">
        <v>45513</v>
      </c>
      <c r="C73">
        <v>72</v>
      </c>
      <c r="D73" t="s">
        <v>26</v>
      </c>
      <c r="E73" t="s">
        <v>18</v>
      </c>
      <c r="G73" s="3"/>
      <c r="H73" s="3">
        <v>3345.1859956236299</v>
      </c>
      <c r="I73" s="3">
        <v>33.297882964624797</v>
      </c>
      <c r="J73" s="3">
        <v>33.271209716796903</v>
      </c>
      <c r="K73" s="3">
        <v>1.1916784791897901</v>
      </c>
      <c r="L73" s="1">
        <v>1.8439569340959201E-3</v>
      </c>
      <c r="M73" s="3">
        <v>3.5788415751710598</v>
      </c>
      <c r="N73" s="3">
        <v>30.723047256469702</v>
      </c>
      <c r="O73" s="3">
        <v>41.144824981689503</v>
      </c>
      <c r="P73" s="3">
        <v>10.4217777252197</v>
      </c>
    </row>
    <row r="74" spans="1:16" x14ac:dyDescent="0.2">
      <c r="A74" t="s">
        <v>34</v>
      </c>
      <c r="B74" s="4">
        <v>45534</v>
      </c>
      <c r="C74">
        <v>1</v>
      </c>
      <c r="D74" t="s">
        <v>15</v>
      </c>
      <c r="E74" t="s">
        <v>31</v>
      </c>
      <c r="F74" s="2">
        <v>0.23831533333333299</v>
      </c>
      <c r="G74" s="3">
        <v>25.7566666666667</v>
      </c>
      <c r="H74" s="3">
        <v>1516.9584245076601</v>
      </c>
      <c r="I74" s="3">
        <v>33.461323448224299</v>
      </c>
      <c r="J74" s="3">
        <v>33.440311431884801</v>
      </c>
      <c r="K74" s="3">
        <v>0.51924300298402204</v>
      </c>
      <c r="L74" s="1">
        <v>8.6512028306629798E-4</v>
      </c>
      <c r="M74" s="3">
        <v>1.5517706697628499</v>
      </c>
      <c r="N74" s="3">
        <v>32.337265014648402</v>
      </c>
      <c r="O74" s="3">
        <v>34.719532012939503</v>
      </c>
      <c r="P74" s="3">
        <v>2.3822669982910201</v>
      </c>
    </row>
    <row r="75" spans="1:16" x14ac:dyDescent="0.2">
      <c r="A75" t="s">
        <v>34</v>
      </c>
      <c r="B75" s="4">
        <v>45534</v>
      </c>
      <c r="C75">
        <v>2</v>
      </c>
      <c r="D75" t="s">
        <v>24</v>
      </c>
      <c r="E75" t="s">
        <v>32</v>
      </c>
      <c r="F75" s="2">
        <v>0.27213733333333301</v>
      </c>
      <c r="G75" s="3">
        <v>26.13</v>
      </c>
      <c r="H75" s="3">
        <v>1449.6717724288801</v>
      </c>
      <c r="I75" s="3">
        <v>33.291183971882703</v>
      </c>
      <c r="J75" s="3">
        <v>33.162158966064503</v>
      </c>
      <c r="K75" s="3">
        <v>0.61818741400072397</v>
      </c>
      <c r="L75" s="1">
        <v>1.02997337954458E-3</v>
      </c>
      <c r="M75" s="3">
        <v>1.85691026946604</v>
      </c>
      <c r="N75" s="3">
        <v>32.117031097412102</v>
      </c>
      <c r="O75" s="3">
        <v>35.172950744628899</v>
      </c>
      <c r="P75" s="3">
        <v>3.0559196472168</v>
      </c>
    </row>
    <row r="76" spans="1:16" x14ac:dyDescent="0.2">
      <c r="A76" t="s">
        <v>34</v>
      </c>
      <c r="B76" s="4">
        <v>45534</v>
      </c>
      <c r="C76">
        <v>3</v>
      </c>
      <c r="D76" t="s">
        <v>30</v>
      </c>
      <c r="E76" t="s">
        <v>25</v>
      </c>
      <c r="F76" s="2"/>
      <c r="G76" s="3"/>
      <c r="H76" s="3">
        <v>1321.11597374179</v>
      </c>
      <c r="I76" s="3">
        <v>33.705896016252701</v>
      </c>
      <c r="J76" s="3">
        <v>33.62841796875</v>
      </c>
      <c r="K76" s="3">
        <v>0.62745451261126295</v>
      </c>
      <c r="L76" s="1">
        <v>1.04541346237108E-3</v>
      </c>
      <c r="M76" s="3">
        <v>1.8615571362016601</v>
      </c>
      <c r="N76" s="3">
        <v>32.462207794189503</v>
      </c>
      <c r="O76" s="3">
        <v>35.2001762390137</v>
      </c>
      <c r="P76" s="3">
        <v>2.7379684448242201</v>
      </c>
    </row>
    <row r="77" spans="1:16" x14ac:dyDescent="0.2">
      <c r="A77" t="s">
        <v>34</v>
      </c>
      <c r="B77" s="4">
        <v>45534</v>
      </c>
      <c r="C77">
        <v>4</v>
      </c>
      <c r="D77" t="s">
        <v>27</v>
      </c>
      <c r="E77" t="s">
        <v>32</v>
      </c>
      <c r="F77" s="2"/>
      <c r="G77" s="3"/>
      <c r="H77" s="3">
        <v>1450.21881838074</v>
      </c>
      <c r="I77" s="3">
        <v>32.7118302558331</v>
      </c>
      <c r="J77" s="3">
        <v>32.686435699462898</v>
      </c>
      <c r="K77" s="3">
        <v>0.48650233252160802</v>
      </c>
      <c r="L77" s="1">
        <v>8.1057045199405301E-4</v>
      </c>
      <c r="M77" s="3">
        <v>1.48723666244525</v>
      </c>
      <c r="N77" s="3">
        <v>31.696874618530298</v>
      </c>
      <c r="O77" s="3">
        <v>34.0546684265137</v>
      </c>
      <c r="P77" s="3">
        <v>2.3577938079834002</v>
      </c>
    </row>
    <row r="78" spans="1:16" x14ac:dyDescent="0.2">
      <c r="A78" t="s">
        <v>34</v>
      </c>
      <c r="B78" s="4">
        <v>45534</v>
      </c>
      <c r="C78">
        <v>5</v>
      </c>
      <c r="D78" t="s">
        <v>28</v>
      </c>
      <c r="E78" t="s">
        <v>32</v>
      </c>
      <c r="F78" s="2"/>
      <c r="G78" s="3"/>
      <c r="H78" s="3">
        <v>271.33479212253798</v>
      </c>
      <c r="I78" s="3">
        <v>33.215023100983103</v>
      </c>
      <c r="J78" s="3">
        <v>33.185380935668903</v>
      </c>
      <c r="K78" s="3">
        <v>0.42949018189665999</v>
      </c>
      <c r="L78" s="1">
        <v>7.1558146301697499E-4</v>
      </c>
      <c r="M78" s="3">
        <v>1.2930600126060099</v>
      </c>
      <c r="N78" s="3">
        <v>32.379470825195298</v>
      </c>
      <c r="O78" s="3">
        <v>34.543338775634801</v>
      </c>
      <c r="P78" s="3">
        <v>2.16386795043945</v>
      </c>
    </row>
    <row r="79" spans="1:16" x14ac:dyDescent="0.2">
      <c r="A79" t="s">
        <v>34</v>
      </c>
      <c r="B79" s="4">
        <v>45534</v>
      </c>
      <c r="C79">
        <v>6</v>
      </c>
      <c r="D79" t="s">
        <v>29</v>
      </c>
      <c r="E79" t="s">
        <v>25</v>
      </c>
      <c r="F79" s="2"/>
      <c r="G79" s="3"/>
      <c r="H79" s="3">
        <v>2586.9803063457298</v>
      </c>
      <c r="I79" s="3">
        <v>32.001855025544799</v>
      </c>
      <c r="J79" s="3">
        <v>31.989560127258301</v>
      </c>
      <c r="K79" s="3">
        <v>0.247973733357222</v>
      </c>
      <c r="L79" s="1">
        <v>4.1315358158347201E-4</v>
      </c>
      <c r="M79" s="3">
        <v>0.77487299770367002</v>
      </c>
      <c r="N79" s="3">
        <v>31.373926162719702</v>
      </c>
      <c r="O79" s="3">
        <v>33.171268463134801</v>
      </c>
      <c r="P79" s="3">
        <v>1.79734230041504</v>
      </c>
    </row>
    <row r="80" spans="1:16" x14ac:dyDescent="0.2">
      <c r="A80" t="s">
        <v>34</v>
      </c>
      <c r="B80" s="4">
        <v>45534</v>
      </c>
      <c r="C80">
        <v>7</v>
      </c>
      <c r="D80" t="s">
        <v>26</v>
      </c>
      <c r="E80" t="s">
        <v>25</v>
      </c>
      <c r="F80" s="2"/>
      <c r="G80" s="3"/>
      <c r="H80" s="3">
        <v>1771.8818380744001</v>
      </c>
      <c r="I80" s="3">
        <v>32.478736872761601</v>
      </c>
      <c r="J80" s="3">
        <v>32.374610900878899</v>
      </c>
      <c r="K80" s="3">
        <v>0.425205922606679</v>
      </c>
      <c r="L80" s="1">
        <v>7.0844338009938698E-4</v>
      </c>
      <c r="M80" s="3">
        <v>1.3091824484199099</v>
      </c>
      <c r="N80" s="3">
        <v>31.634609222412099</v>
      </c>
      <c r="O80" s="3">
        <v>33.990779876708999</v>
      </c>
      <c r="P80" s="3">
        <v>2.3561706542968799</v>
      </c>
    </row>
    <row r="81" spans="1:16" x14ac:dyDescent="0.2">
      <c r="A81" t="s">
        <v>34</v>
      </c>
      <c r="B81" s="4">
        <v>45534</v>
      </c>
      <c r="C81">
        <v>8</v>
      </c>
      <c r="D81" t="s">
        <v>22</v>
      </c>
      <c r="E81" t="s">
        <v>32</v>
      </c>
      <c r="F81" s="2"/>
      <c r="G81" s="3"/>
      <c r="H81" s="3">
        <v>1237.9649890590799</v>
      </c>
      <c r="I81" s="3">
        <v>32.397896404432601</v>
      </c>
      <c r="J81" s="3">
        <v>32.396816253662102</v>
      </c>
      <c r="K81" s="3">
        <v>0.28641941400124399</v>
      </c>
      <c r="L81" s="1">
        <v>4.7720863467093198E-4</v>
      </c>
      <c r="M81" s="3">
        <v>0.88406793584924503</v>
      </c>
      <c r="N81" s="3">
        <v>31.438047409057599</v>
      </c>
      <c r="O81" s="3">
        <v>33.5483207702637</v>
      </c>
      <c r="P81" s="3">
        <v>2.1102733612060498</v>
      </c>
    </row>
    <row r="82" spans="1:16" x14ac:dyDescent="0.2">
      <c r="A82" t="s">
        <v>34</v>
      </c>
      <c r="B82" s="4">
        <v>45534</v>
      </c>
      <c r="C82">
        <v>9</v>
      </c>
      <c r="D82" t="s">
        <v>23</v>
      </c>
      <c r="E82" t="s">
        <v>32</v>
      </c>
      <c r="F82" s="2">
        <v>0.59535800000000005</v>
      </c>
      <c r="G82" s="3">
        <v>26.79</v>
      </c>
      <c r="H82" s="3">
        <v>952.95404814004405</v>
      </c>
      <c r="I82" s="3">
        <v>32.059040698733902</v>
      </c>
      <c r="J82" s="3">
        <v>32.019218444824197</v>
      </c>
      <c r="K82" s="3">
        <v>0.43869186073391703</v>
      </c>
      <c r="L82" s="1">
        <v>7.3091254876030696E-4</v>
      </c>
      <c r="M82" s="3">
        <v>1.36838736023452</v>
      </c>
      <c r="N82" s="3">
        <v>31.0732421875</v>
      </c>
      <c r="O82" s="3">
        <v>34.228809356689503</v>
      </c>
      <c r="P82" s="3">
        <v>3.15556716918945</v>
      </c>
    </row>
    <row r="83" spans="1:16" x14ac:dyDescent="0.2">
      <c r="A83" t="s">
        <v>34</v>
      </c>
      <c r="B83" s="4">
        <v>45534</v>
      </c>
      <c r="C83">
        <v>10</v>
      </c>
      <c r="D83" t="s">
        <v>17</v>
      </c>
      <c r="E83" t="s">
        <v>31</v>
      </c>
      <c r="F83" s="2">
        <v>0.43315700000000001</v>
      </c>
      <c r="G83" s="3">
        <v>27.38</v>
      </c>
      <c r="H83" s="3">
        <v>856.12691466083197</v>
      </c>
      <c r="I83" s="3">
        <v>32.1056874005548</v>
      </c>
      <c r="J83" s="3">
        <v>32.090166091918903</v>
      </c>
      <c r="K83" s="3">
        <v>0.23663937144541999</v>
      </c>
      <c r="L83" s="1">
        <v>3.9426919348548701E-4</v>
      </c>
      <c r="M83" s="3">
        <v>0.73706371239798096</v>
      </c>
      <c r="N83" s="3">
        <v>31.500585556030298</v>
      </c>
      <c r="O83" s="3">
        <v>32.710117340087898</v>
      </c>
      <c r="P83" s="3">
        <v>1.2095317840576201</v>
      </c>
    </row>
    <row r="84" spans="1:16" x14ac:dyDescent="0.2">
      <c r="A84" t="s">
        <v>34</v>
      </c>
      <c r="B84" s="4">
        <v>45534</v>
      </c>
      <c r="C84">
        <v>11</v>
      </c>
      <c r="D84" t="s">
        <v>19</v>
      </c>
      <c r="E84" t="s">
        <v>25</v>
      </c>
      <c r="F84" s="2">
        <v>0.655673333333333</v>
      </c>
      <c r="G84" s="3">
        <v>27.52</v>
      </c>
      <c r="H84" s="3">
        <v>910.83150984682698</v>
      </c>
      <c r="I84" s="3">
        <v>32.383283447088402</v>
      </c>
      <c r="J84" s="3">
        <v>32.324764251708999</v>
      </c>
      <c r="K84" s="3">
        <v>0.378627790754753</v>
      </c>
      <c r="L84" s="1">
        <v>6.3083870101683095E-4</v>
      </c>
      <c r="M84" s="3">
        <v>1.1692075368867401</v>
      </c>
      <c r="N84" s="3">
        <v>31.520391464233398</v>
      </c>
      <c r="O84" s="3">
        <v>35.114044189453097</v>
      </c>
      <c r="P84" s="3">
        <v>3.5936527252197301</v>
      </c>
    </row>
    <row r="85" spans="1:16" x14ac:dyDescent="0.2">
      <c r="A85" t="s">
        <v>34</v>
      </c>
      <c r="B85" s="4">
        <v>45534</v>
      </c>
      <c r="C85">
        <v>12</v>
      </c>
      <c r="D85" t="s">
        <v>20</v>
      </c>
      <c r="E85" t="s">
        <v>31</v>
      </c>
      <c r="F85" s="2">
        <v>0.73217366666666694</v>
      </c>
      <c r="G85" s="3">
        <v>27.366666666666699</v>
      </c>
      <c r="H85" s="3">
        <v>1498.90590809628</v>
      </c>
      <c r="I85" s="3">
        <v>33.135862036735901</v>
      </c>
      <c r="J85" s="3">
        <v>33.098007202148402</v>
      </c>
      <c r="K85" s="3">
        <v>0.46794083839794498</v>
      </c>
      <c r="L85" s="1">
        <v>7.7964480647140899E-4</v>
      </c>
      <c r="M85" s="3">
        <v>1.4121885161133401</v>
      </c>
      <c r="N85" s="3">
        <v>31.996503829956101</v>
      </c>
      <c r="O85" s="3">
        <v>34.751720428466797</v>
      </c>
      <c r="P85" s="3">
        <v>2.75521659851074</v>
      </c>
    </row>
    <row r="86" spans="1:16" x14ac:dyDescent="0.2">
      <c r="A86" t="s">
        <v>34</v>
      </c>
      <c r="B86" s="4">
        <v>45534</v>
      </c>
      <c r="C86">
        <v>13</v>
      </c>
      <c r="D86" t="s">
        <v>17</v>
      </c>
      <c r="E86" t="s">
        <v>25</v>
      </c>
      <c r="F86" s="2">
        <v>0.129979333333333</v>
      </c>
      <c r="G86" s="3">
        <v>29.24</v>
      </c>
      <c r="H86" s="3">
        <v>586.43326039387296</v>
      </c>
      <c r="I86" s="3">
        <v>33.700189934593503</v>
      </c>
      <c r="J86" s="3">
        <v>33.591377258300803</v>
      </c>
      <c r="K86" s="3">
        <v>0.65160137706812304</v>
      </c>
      <c r="L86" s="1">
        <v>1.0856449957649401E-3</v>
      </c>
      <c r="M86" s="3">
        <v>1.9335243461024201</v>
      </c>
      <c r="N86" s="3">
        <v>32.467929840087898</v>
      </c>
      <c r="O86" s="3">
        <v>35.266857147216797</v>
      </c>
      <c r="P86" s="3">
        <v>2.7989273071289098</v>
      </c>
    </row>
    <row r="87" spans="1:16" x14ac:dyDescent="0.2">
      <c r="A87" t="s">
        <v>34</v>
      </c>
      <c r="B87" s="4">
        <v>45534</v>
      </c>
      <c r="C87">
        <v>14</v>
      </c>
      <c r="D87" t="s">
        <v>22</v>
      </c>
      <c r="E87" t="s">
        <v>32</v>
      </c>
      <c r="F87" s="2"/>
      <c r="G87" s="3"/>
      <c r="H87" s="3">
        <v>1647.1553610503299</v>
      </c>
      <c r="I87" s="3">
        <v>32.690459118094502</v>
      </c>
      <c r="J87" s="3">
        <v>32.602607727050803</v>
      </c>
      <c r="K87" s="3">
        <v>0.73354896692481297</v>
      </c>
      <c r="L87" s="1">
        <v>1.2221793770199601E-3</v>
      </c>
      <c r="M87" s="3">
        <v>2.2439237218261798</v>
      </c>
      <c r="N87" s="3">
        <v>31.432460784912099</v>
      </c>
      <c r="O87" s="3">
        <v>35.008007049560497</v>
      </c>
      <c r="P87" s="3">
        <v>3.5755462646484402</v>
      </c>
    </row>
    <row r="88" spans="1:16" x14ac:dyDescent="0.2">
      <c r="A88" t="s">
        <v>34</v>
      </c>
      <c r="B88" s="4">
        <v>45534</v>
      </c>
      <c r="C88">
        <v>15</v>
      </c>
      <c r="D88" t="s">
        <v>23</v>
      </c>
      <c r="E88" t="s">
        <v>32</v>
      </c>
      <c r="F88" s="2">
        <v>0.172064666666667</v>
      </c>
      <c r="G88" s="3">
        <v>29.78</v>
      </c>
      <c r="H88" s="3">
        <v>1360.50328227571</v>
      </c>
      <c r="I88" s="3">
        <v>32.641605913320099</v>
      </c>
      <c r="J88" s="3">
        <v>32.530017852783203</v>
      </c>
      <c r="K88" s="3">
        <v>0.61871707351415195</v>
      </c>
      <c r="L88" s="1">
        <v>1.0308558549665899E-3</v>
      </c>
      <c r="M88" s="3">
        <v>1.89548600996273</v>
      </c>
      <c r="N88" s="3">
        <v>31.297948837280298</v>
      </c>
      <c r="O88" s="3">
        <v>34.7880668640137</v>
      </c>
      <c r="P88" s="3">
        <v>3.4901180267334002</v>
      </c>
    </row>
    <row r="89" spans="1:16" x14ac:dyDescent="0.2">
      <c r="A89" t="s">
        <v>34</v>
      </c>
      <c r="B89" s="4">
        <v>45534</v>
      </c>
      <c r="C89">
        <v>16</v>
      </c>
      <c r="D89" t="s">
        <v>24</v>
      </c>
      <c r="E89" t="s">
        <v>32</v>
      </c>
      <c r="F89" s="2">
        <v>0.29994866666666697</v>
      </c>
      <c r="G89" s="3">
        <v>29.5766666666667</v>
      </c>
      <c r="H89" s="3">
        <v>1636.2144420131301</v>
      </c>
      <c r="I89" s="3">
        <v>32.469590929286198</v>
      </c>
      <c r="J89" s="3">
        <v>32.452081680297901</v>
      </c>
      <c r="K89" s="3">
        <v>0.54478348974837598</v>
      </c>
      <c r="L89" s="1">
        <v>9.07673756126597E-4</v>
      </c>
      <c r="M89" s="3">
        <v>1.67782677316395</v>
      </c>
      <c r="N89" s="3">
        <v>31.441757202148398</v>
      </c>
      <c r="O89" s="3">
        <v>34.570137023925803</v>
      </c>
      <c r="P89" s="3">
        <v>3.1283798217773402</v>
      </c>
    </row>
    <row r="90" spans="1:16" x14ac:dyDescent="0.2">
      <c r="A90" t="s">
        <v>34</v>
      </c>
      <c r="B90" s="4">
        <v>45534</v>
      </c>
      <c r="C90">
        <v>17</v>
      </c>
      <c r="D90" t="s">
        <v>26</v>
      </c>
      <c r="E90" t="s">
        <v>25</v>
      </c>
      <c r="F90" s="2"/>
      <c r="G90" s="3"/>
      <c r="H90" s="3">
        <v>1438.1838074398199</v>
      </c>
      <c r="I90" s="3">
        <v>33.248216756184902</v>
      </c>
      <c r="J90" s="3">
        <v>33.218162536621101</v>
      </c>
      <c r="K90" s="3">
        <v>0.51229772329370704</v>
      </c>
      <c r="L90" s="1">
        <v>8.5354862529309701E-4</v>
      </c>
      <c r="M90" s="3">
        <v>1.54082766919645</v>
      </c>
      <c r="N90" s="3">
        <v>32.033634185791001</v>
      </c>
      <c r="O90" s="3">
        <v>34.576427459716797</v>
      </c>
      <c r="P90" s="3">
        <v>2.5427932739257799</v>
      </c>
    </row>
    <row r="91" spans="1:16" x14ac:dyDescent="0.2">
      <c r="A91" t="s">
        <v>34</v>
      </c>
      <c r="B91" s="4">
        <v>45534</v>
      </c>
      <c r="C91">
        <v>18</v>
      </c>
      <c r="D91" t="s">
        <v>27</v>
      </c>
      <c r="E91" t="s">
        <v>32</v>
      </c>
      <c r="F91" s="2"/>
      <c r="G91" s="3"/>
      <c r="H91" s="3">
        <v>1684.9015317286701</v>
      </c>
      <c r="I91" s="3">
        <v>32.201022766192999</v>
      </c>
      <c r="J91" s="3">
        <v>32.144346237182603</v>
      </c>
      <c r="K91" s="3">
        <v>0.45749273482156499</v>
      </c>
      <c r="L91" s="1">
        <v>7.6223702962789196E-4</v>
      </c>
      <c r="M91" s="3">
        <v>1.42073976389928</v>
      </c>
      <c r="N91" s="3">
        <v>30.763788223266602</v>
      </c>
      <c r="O91" s="3">
        <v>33.599044799804702</v>
      </c>
      <c r="P91" s="3">
        <v>2.8352565765380899</v>
      </c>
    </row>
    <row r="92" spans="1:16" x14ac:dyDescent="0.2">
      <c r="A92" t="s">
        <v>34</v>
      </c>
      <c r="B92" s="4">
        <v>45534</v>
      </c>
      <c r="C92">
        <v>19</v>
      </c>
      <c r="D92" t="s">
        <v>28</v>
      </c>
      <c r="E92" t="s">
        <v>32</v>
      </c>
      <c r="F92" s="2"/>
      <c r="G92" s="3"/>
      <c r="H92" s="3">
        <v>1712.2538293216601</v>
      </c>
      <c r="I92" s="3">
        <v>32.646042121543097</v>
      </c>
      <c r="J92" s="3">
        <v>32.573341369628899</v>
      </c>
      <c r="K92" s="3">
        <v>0.58159235695653599</v>
      </c>
      <c r="L92" s="1">
        <v>9.6900168435185799E-4</v>
      </c>
      <c r="M92" s="3">
        <v>1.7815095465209301</v>
      </c>
      <c r="N92" s="3">
        <v>31.522422790527301</v>
      </c>
      <c r="O92" s="3">
        <v>34.344100952148402</v>
      </c>
      <c r="P92" s="3">
        <v>2.8216781616210902</v>
      </c>
    </row>
    <row r="93" spans="1:16" x14ac:dyDescent="0.2">
      <c r="A93" t="s">
        <v>34</v>
      </c>
      <c r="B93" s="4">
        <v>45534</v>
      </c>
      <c r="C93">
        <v>20</v>
      </c>
      <c r="D93" t="s">
        <v>19</v>
      </c>
      <c r="E93" t="s">
        <v>25</v>
      </c>
      <c r="F93" s="2">
        <v>0.32335766666666699</v>
      </c>
      <c r="G93" s="3">
        <v>29.626666666666701</v>
      </c>
      <c r="H93" s="3">
        <v>894.96717724288806</v>
      </c>
      <c r="I93" s="3">
        <v>31.928983769161999</v>
      </c>
      <c r="J93" s="3">
        <v>31.845293045043899</v>
      </c>
      <c r="K93" s="3">
        <v>0.399977058337318</v>
      </c>
      <c r="L93" s="1">
        <v>6.6640910698887899E-4</v>
      </c>
      <c r="M93" s="3">
        <v>1.2527083894340201</v>
      </c>
      <c r="N93" s="3">
        <v>30.980781555175799</v>
      </c>
      <c r="O93" s="3">
        <v>33.243457794189503</v>
      </c>
      <c r="P93" s="3">
        <v>2.2626762390136701</v>
      </c>
    </row>
    <row r="94" spans="1:16" x14ac:dyDescent="0.2">
      <c r="A94" t="s">
        <v>34</v>
      </c>
      <c r="B94" s="4">
        <v>45534</v>
      </c>
      <c r="C94">
        <v>21</v>
      </c>
      <c r="D94" t="s">
        <v>15</v>
      </c>
      <c r="E94" t="s">
        <v>32</v>
      </c>
      <c r="F94" s="2">
        <v>0.39602533333333301</v>
      </c>
      <c r="G94" s="3">
        <v>29.2366666666667</v>
      </c>
      <c r="H94" s="3">
        <v>1430.52516411379</v>
      </c>
      <c r="I94" s="3">
        <v>32.262474721283198</v>
      </c>
      <c r="J94" s="3">
        <v>32.183906555175803</v>
      </c>
      <c r="K94" s="3">
        <v>0.37571935533220202</v>
      </c>
      <c r="L94" s="1">
        <v>6.2599290345850605E-4</v>
      </c>
      <c r="M94" s="3">
        <v>1.1645707856513099</v>
      </c>
      <c r="N94" s="3">
        <v>31.311817169189499</v>
      </c>
      <c r="O94" s="3">
        <v>33.896560668945298</v>
      </c>
      <c r="P94" s="3">
        <v>2.5847434997558598</v>
      </c>
    </row>
    <row r="95" spans="1:16" x14ac:dyDescent="0.2">
      <c r="A95" t="s">
        <v>34</v>
      </c>
      <c r="B95" s="4">
        <v>45534</v>
      </c>
      <c r="C95">
        <v>22</v>
      </c>
      <c r="D95" t="s">
        <v>20</v>
      </c>
      <c r="E95" t="s">
        <v>32</v>
      </c>
      <c r="F95" s="2">
        <v>0.225318666666667</v>
      </c>
      <c r="G95" s="3">
        <v>30.66</v>
      </c>
      <c r="H95" s="3">
        <v>1812.36323851203</v>
      </c>
      <c r="I95" s="3">
        <v>32.5954823834876</v>
      </c>
      <c r="J95" s="3">
        <v>32.5573921203613</v>
      </c>
      <c r="K95" s="3">
        <v>0.42157272343197899</v>
      </c>
      <c r="L95" s="1">
        <v>7.0239004037137996E-4</v>
      </c>
      <c r="M95" s="3">
        <v>1.29334709169864</v>
      </c>
      <c r="N95" s="3">
        <v>31.3762111663818</v>
      </c>
      <c r="O95" s="3">
        <v>33.920291900634801</v>
      </c>
      <c r="P95" s="3">
        <v>2.5440807342529301</v>
      </c>
    </row>
    <row r="96" spans="1:16" x14ac:dyDescent="0.2">
      <c r="A96" t="s">
        <v>34</v>
      </c>
      <c r="B96" s="4">
        <v>45534</v>
      </c>
      <c r="C96">
        <v>23</v>
      </c>
      <c r="D96" t="s">
        <v>29</v>
      </c>
      <c r="E96" t="s">
        <v>25</v>
      </c>
      <c r="F96" s="2"/>
      <c r="G96" s="3"/>
      <c r="H96" s="3">
        <v>1802.51641137856</v>
      </c>
      <c r="I96" s="3">
        <v>32.528232226519698</v>
      </c>
      <c r="J96" s="3">
        <v>32.528448104858398</v>
      </c>
      <c r="K96" s="3">
        <v>0.34962827476714198</v>
      </c>
      <c r="L96" s="1">
        <v>5.8252207597651298E-4</v>
      </c>
      <c r="M96" s="3">
        <v>1.0748456059106</v>
      </c>
      <c r="N96" s="3">
        <v>31.708436965942401</v>
      </c>
      <c r="O96" s="3">
        <v>34.057655334472699</v>
      </c>
      <c r="P96" s="3">
        <v>2.3492183685302699</v>
      </c>
    </row>
    <row r="97" spans="1:16" x14ac:dyDescent="0.2">
      <c r="A97" t="s">
        <v>34</v>
      </c>
      <c r="B97" s="4">
        <v>45534</v>
      </c>
      <c r="C97">
        <v>24</v>
      </c>
      <c r="D97" t="s">
        <v>30</v>
      </c>
      <c r="E97" t="s">
        <v>25</v>
      </c>
      <c r="F97" s="2"/>
      <c r="G97" s="3"/>
      <c r="H97" s="3">
        <v>1613.7855579868699</v>
      </c>
      <c r="I97" s="3">
        <v>33.050469663368098</v>
      </c>
      <c r="J97" s="3">
        <v>33.050148010253899</v>
      </c>
      <c r="K97" s="3">
        <v>0.44007052926528201</v>
      </c>
      <c r="L97" s="1">
        <v>7.3320957366628404E-4</v>
      </c>
      <c r="M97" s="3">
        <v>1.3315106676170501</v>
      </c>
      <c r="N97" s="3">
        <v>31.962108612060501</v>
      </c>
      <c r="O97" s="3">
        <v>34.952968597412102</v>
      </c>
      <c r="P97" s="3">
        <v>2.9908599853515598</v>
      </c>
    </row>
    <row r="98" spans="1:16" x14ac:dyDescent="0.2">
      <c r="A98" t="s">
        <v>34</v>
      </c>
      <c r="B98" s="4">
        <v>45534</v>
      </c>
      <c r="C98">
        <v>25</v>
      </c>
      <c r="D98" t="s">
        <v>24</v>
      </c>
      <c r="E98" t="s">
        <v>25</v>
      </c>
      <c r="F98" s="2">
        <v>1.03830466666667</v>
      </c>
      <c r="G98" s="3">
        <v>30.956666666666699</v>
      </c>
      <c r="H98" s="3">
        <v>1796.4989059080999</v>
      </c>
      <c r="I98" s="3">
        <v>33.362519234559301</v>
      </c>
      <c r="J98" s="3">
        <v>33.344678878784201</v>
      </c>
      <c r="K98" s="3">
        <v>0.484037305476822</v>
      </c>
      <c r="L98" s="1">
        <v>8.0646342525994899E-4</v>
      </c>
      <c r="M98" s="3">
        <v>1.45084159284776</v>
      </c>
      <c r="N98" s="3">
        <v>32.233787536621101</v>
      </c>
      <c r="O98" s="3">
        <v>34.962345123291001</v>
      </c>
      <c r="P98" s="3">
        <v>2.7285575866699201</v>
      </c>
    </row>
    <row r="99" spans="1:16" x14ac:dyDescent="0.2">
      <c r="A99" t="s">
        <v>34</v>
      </c>
      <c r="B99" s="4">
        <v>45534</v>
      </c>
      <c r="C99">
        <v>26</v>
      </c>
      <c r="D99" t="s">
        <v>15</v>
      </c>
      <c r="E99" t="s">
        <v>32</v>
      </c>
      <c r="F99" s="2">
        <v>0.95992533333333296</v>
      </c>
      <c r="G99" s="3">
        <v>30.6466666666667</v>
      </c>
      <c r="H99" s="3">
        <v>1636.76148796499</v>
      </c>
      <c r="I99" s="3">
        <v>32.5214406353331</v>
      </c>
      <c r="J99" s="3">
        <v>32.454238891601598</v>
      </c>
      <c r="K99" s="3">
        <v>0.48428667541096398</v>
      </c>
      <c r="L99" s="1">
        <v>8.0687890507724798E-4</v>
      </c>
      <c r="M99" s="3">
        <v>1.48913045040449</v>
      </c>
      <c r="N99" s="3">
        <v>31.4629096984863</v>
      </c>
      <c r="O99" s="3">
        <v>34.935840606689503</v>
      </c>
      <c r="P99" s="3">
        <v>3.4729309082031201</v>
      </c>
    </row>
    <row r="100" spans="1:16" x14ac:dyDescent="0.2">
      <c r="A100" t="s">
        <v>34</v>
      </c>
      <c r="B100" s="4">
        <v>45534</v>
      </c>
      <c r="C100">
        <v>27</v>
      </c>
      <c r="D100" t="s">
        <v>22</v>
      </c>
      <c r="E100" t="s">
        <v>32</v>
      </c>
      <c r="F100" s="2"/>
      <c r="G100" s="3"/>
      <c r="H100" s="3">
        <v>1442.5601750547</v>
      </c>
      <c r="I100" s="3">
        <v>31.956478242207101</v>
      </c>
      <c r="J100" s="3">
        <v>31.946094512939499</v>
      </c>
      <c r="K100" s="3">
        <v>0.39511323628498102</v>
      </c>
      <c r="L100" s="1">
        <v>6.5830540393169699E-4</v>
      </c>
      <c r="M100" s="3">
        <v>1.2364104495192101</v>
      </c>
      <c r="N100" s="3">
        <v>31.004804611206101</v>
      </c>
      <c r="O100" s="3">
        <v>33.305076599121101</v>
      </c>
      <c r="P100" s="3">
        <v>2.30027198791504</v>
      </c>
    </row>
    <row r="101" spans="1:16" x14ac:dyDescent="0.2">
      <c r="A101" t="s">
        <v>34</v>
      </c>
      <c r="B101" s="4">
        <v>45534</v>
      </c>
      <c r="C101">
        <v>28</v>
      </c>
      <c r="D101" t="s">
        <v>23</v>
      </c>
      <c r="E101" t="s">
        <v>32</v>
      </c>
      <c r="F101" s="2">
        <v>0.368850333333333</v>
      </c>
      <c r="G101" s="3">
        <v>31.46</v>
      </c>
      <c r="H101" s="3">
        <v>1736.8708971553599</v>
      </c>
      <c r="I101" s="3">
        <v>32.296711001344299</v>
      </c>
      <c r="J101" s="3">
        <v>32.351795196533203</v>
      </c>
      <c r="K101" s="3">
        <v>0.59716804261595402</v>
      </c>
      <c r="L101" s="1">
        <v>9.9495261967344896E-4</v>
      </c>
      <c r="M101" s="3">
        <v>1.8490057473378601</v>
      </c>
      <c r="N101" s="3">
        <v>30.775547027587901</v>
      </c>
      <c r="O101" s="3">
        <v>33.744842529296903</v>
      </c>
      <c r="P101" s="3">
        <v>2.9692955017089799</v>
      </c>
    </row>
    <row r="102" spans="1:16" x14ac:dyDescent="0.2">
      <c r="A102" t="s">
        <v>34</v>
      </c>
      <c r="B102" s="4">
        <v>45534</v>
      </c>
      <c r="C102">
        <v>29</v>
      </c>
      <c r="D102" t="s">
        <v>20</v>
      </c>
      <c r="E102" t="s">
        <v>32</v>
      </c>
      <c r="F102" s="2">
        <v>0.32994833333333301</v>
      </c>
      <c r="G102" s="3">
        <v>31.5566666666667</v>
      </c>
      <c r="H102" s="3">
        <v>1681.0722100656501</v>
      </c>
      <c r="I102" s="3">
        <v>32.298268482710398</v>
      </c>
      <c r="J102" s="3">
        <v>32.275508880615199</v>
      </c>
      <c r="K102" s="3">
        <v>0.39015674402109402</v>
      </c>
      <c r="L102" s="1">
        <v>6.5004730133675205E-4</v>
      </c>
      <c r="M102" s="3">
        <v>1.2079803727867</v>
      </c>
      <c r="N102" s="3">
        <v>31.156660079956101</v>
      </c>
      <c r="O102" s="3">
        <v>33.479686737060497</v>
      </c>
      <c r="P102" s="3">
        <v>2.32302665710449</v>
      </c>
    </row>
    <row r="103" spans="1:16" x14ac:dyDescent="0.2">
      <c r="A103" t="s">
        <v>34</v>
      </c>
      <c r="B103" s="4">
        <v>45534</v>
      </c>
      <c r="C103">
        <v>30</v>
      </c>
      <c r="D103" t="s">
        <v>19</v>
      </c>
      <c r="E103" t="s">
        <v>32</v>
      </c>
      <c r="F103" s="2">
        <v>0.27892499999999998</v>
      </c>
      <c r="G103" s="3">
        <v>31.1033333333333</v>
      </c>
      <c r="H103" s="3">
        <v>1155.9080962800899</v>
      </c>
      <c r="I103" s="3">
        <v>32.356588184152002</v>
      </c>
      <c r="J103" s="3">
        <v>32.36962890625</v>
      </c>
      <c r="K103" s="3">
        <v>0.41364482279953901</v>
      </c>
      <c r="L103" s="1">
        <v>6.8918121983871405E-4</v>
      </c>
      <c r="M103" s="3">
        <v>1.27839443530124</v>
      </c>
      <c r="N103" s="3">
        <v>31.326522827148398</v>
      </c>
      <c r="O103" s="3">
        <v>33.956153869628899</v>
      </c>
      <c r="P103" s="3">
        <v>2.6296310424804701</v>
      </c>
    </row>
    <row r="104" spans="1:16" x14ac:dyDescent="0.2">
      <c r="A104" t="s">
        <v>34</v>
      </c>
      <c r="B104" s="4">
        <v>45534</v>
      </c>
      <c r="C104">
        <v>31</v>
      </c>
      <c r="D104" t="s">
        <v>17</v>
      </c>
      <c r="E104" t="s">
        <v>31</v>
      </c>
      <c r="F104" s="2">
        <v>5.8475333333332997E-2</v>
      </c>
      <c r="G104" s="3">
        <v>31.823333333333299</v>
      </c>
      <c r="H104" s="3">
        <v>691.46608315098501</v>
      </c>
      <c r="I104" s="3">
        <v>30.255547084456499</v>
      </c>
      <c r="J104" s="3">
        <v>30.254531860351602</v>
      </c>
      <c r="K104" s="3">
        <v>0.48963100747730198</v>
      </c>
      <c r="L104" s="1">
        <v>8.1578319467471899E-4</v>
      </c>
      <c r="M104" s="3">
        <v>1.61831814215928</v>
      </c>
      <c r="N104" s="3">
        <v>28.315586090087901</v>
      </c>
      <c r="O104" s="3">
        <v>31.527168273925799</v>
      </c>
      <c r="P104" s="3">
        <v>3.2115821838378902</v>
      </c>
    </row>
    <row r="105" spans="1:16" x14ac:dyDescent="0.2">
      <c r="A105" t="s">
        <v>34</v>
      </c>
      <c r="B105" s="4">
        <v>45534</v>
      </c>
      <c r="C105">
        <v>32</v>
      </c>
      <c r="D105" t="s">
        <v>30</v>
      </c>
      <c r="E105" t="s">
        <v>25</v>
      </c>
      <c r="F105" s="2"/>
      <c r="G105" s="3"/>
      <c r="H105" s="3">
        <v>1548.1400437636801</v>
      </c>
      <c r="I105" s="3">
        <v>30.316082512379399</v>
      </c>
      <c r="J105" s="3">
        <v>30.228242874145501</v>
      </c>
      <c r="K105" s="3">
        <v>0.44359417315126898</v>
      </c>
      <c r="L105" s="1">
        <v>7.3908038132002496E-4</v>
      </c>
      <c r="M105" s="3">
        <v>1.46323052449184</v>
      </c>
      <c r="N105" s="3">
        <v>29.376405715942401</v>
      </c>
      <c r="O105" s="3">
        <v>31.6484375</v>
      </c>
      <c r="P105" s="3">
        <v>2.2720317840576199</v>
      </c>
    </row>
    <row r="106" spans="1:16" x14ac:dyDescent="0.2">
      <c r="A106" t="s">
        <v>34</v>
      </c>
      <c r="B106" s="4">
        <v>45534</v>
      </c>
      <c r="C106">
        <v>33</v>
      </c>
      <c r="D106" t="s">
        <v>27</v>
      </c>
      <c r="E106" t="s">
        <v>32</v>
      </c>
      <c r="F106" s="2"/>
      <c r="G106" s="3"/>
      <c r="H106" s="3">
        <v>2449.12472647702</v>
      </c>
      <c r="I106" s="3">
        <v>30.597797715976601</v>
      </c>
      <c r="J106" s="3">
        <v>30.500791549682599</v>
      </c>
      <c r="K106" s="3">
        <v>0.39889047102524999</v>
      </c>
      <c r="L106" s="1">
        <v>6.6459872395513398E-4</v>
      </c>
      <c r="M106" s="3">
        <v>1.30365745511472</v>
      </c>
      <c r="N106" s="3">
        <v>29.776504516601602</v>
      </c>
      <c r="O106" s="3">
        <v>31.852128982543899</v>
      </c>
      <c r="P106" s="3">
        <v>2.0756244659423801</v>
      </c>
    </row>
    <row r="107" spans="1:16" x14ac:dyDescent="0.2">
      <c r="A107" t="s">
        <v>34</v>
      </c>
      <c r="B107" s="4">
        <v>45534</v>
      </c>
      <c r="C107">
        <v>34</v>
      </c>
      <c r="D107" t="s">
        <v>29</v>
      </c>
      <c r="E107" t="s">
        <v>32</v>
      </c>
      <c r="F107" s="2"/>
      <c r="G107" s="3"/>
      <c r="H107" s="3">
        <v>1916.84901531729</v>
      </c>
      <c r="I107" s="3">
        <v>32.794898301022201</v>
      </c>
      <c r="J107" s="3">
        <v>32.793243408203097</v>
      </c>
      <c r="K107" s="3">
        <v>0.469481317282477</v>
      </c>
      <c r="L107" s="1">
        <v>7.82211426572181E-4</v>
      </c>
      <c r="M107" s="3">
        <v>1.4315681450606701</v>
      </c>
      <c r="N107" s="3">
        <v>31.763944625854499</v>
      </c>
      <c r="O107" s="3">
        <v>34.110252380371101</v>
      </c>
      <c r="P107" s="3">
        <v>2.3463077545165998</v>
      </c>
    </row>
    <row r="108" spans="1:16" x14ac:dyDescent="0.2">
      <c r="A108" t="s">
        <v>34</v>
      </c>
      <c r="B108" s="4">
        <v>45534</v>
      </c>
      <c r="C108">
        <v>35</v>
      </c>
      <c r="D108" t="s">
        <v>28</v>
      </c>
      <c r="E108" t="s">
        <v>25</v>
      </c>
      <c r="F108" s="2"/>
      <c r="G108" s="3"/>
      <c r="H108" s="3">
        <v>2071.1159737417902</v>
      </c>
      <c r="I108" s="3">
        <v>30.0521777959211</v>
      </c>
      <c r="J108" s="3">
        <v>29.909131050109899</v>
      </c>
      <c r="K108" s="3">
        <v>0.43280738057422902</v>
      </c>
      <c r="L108" s="1">
        <v>7.2110830852559801E-4</v>
      </c>
      <c r="M108" s="3">
        <v>1.4401864101608399</v>
      </c>
      <c r="N108" s="3">
        <v>29.3127346038818</v>
      </c>
      <c r="O108" s="3">
        <v>31.288164138793899</v>
      </c>
      <c r="P108" s="3">
        <v>1.97542953491211</v>
      </c>
    </row>
    <row r="109" spans="1:16" x14ac:dyDescent="0.2">
      <c r="A109" t="s">
        <v>34</v>
      </c>
      <c r="B109" s="4">
        <v>45534</v>
      </c>
      <c r="C109">
        <v>36</v>
      </c>
      <c r="D109" t="s">
        <v>26</v>
      </c>
      <c r="E109" t="s">
        <v>32</v>
      </c>
      <c r="F109" s="2"/>
      <c r="G109" s="3"/>
      <c r="H109" s="3">
        <v>1861.0503282275699</v>
      </c>
      <c r="I109" s="3">
        <v>30.7835271454741</v>
      </c>
      <c r="J109" s="3">
        <v>30.780097961425799</v>
      </c>
      <c r="K109" s="3">
        <v>0.265961873584808</v>
      </c>
      <c r="L109" s="1">
        <v>4.4312395167241602E-4</v>
      </c>
      <c r="M109" s="3">
        <v>0.86397465868010703</v>
      </c>
      <c r="N109" s="3">
        <v>30.095586776733398</v>
      </c>
      <c r="O109" s="3">
        <v>31.597949981689499</v>
      </c>
      <c r="P109" s="3">
        <v>1.50236320495605</v>
      </c>
    </row>
    <row r="110" spans="1:16" x14ac:dyDescent="0.2">
      <c r="A110" t="s">
        <v>35</v>
      </c>
      <c r="B110" s="4">
        <v>45534</v>
      </c>
      <c r="C110">
        <v>37</v>
      </c>
      <c r="D110" t="s">
        <v>15</v>
      </c>
      <c r="E110" t="s">
        <v>25</v>
      </c>
      <c r="F110" s="2">
        <v>0.36331466666666701</v>
      </c>
      <c r="G110" s="3">
        <v>33.203333333333298</v>
      </c>
      <c r="H110" s="3">
        <v>3729.7592997811798</v>
      </c>
      <c r="I110" s="3">
        <v>30.2870939671872</v>
      </c>
      <c r="J110" s="3">
        <v>30.244081497192401</v>
      </c>
      <c r="K110" s="3">
        <v>0.24776433761358199</v>
      </c>
      <c r="L110" s="1">
        <v>4.1280470349754902E-4</v>
      </c>
      <c r="M110" s="3">
        <v>0.81805252719857602</v>
      </c>
      <c r="N110" s="3">
        <v>29.651035308837901</v>
      </c>
      <c r="O110" s="3">
        <v>31.210273742675799</v>
      </c>
      <c r="P110" s="3">
        <v>1.55923843383789</v>
      </c>
    </row>
    <row r="111" spans="1:16" x14ac:dyDescent="0.2">
      <c r="A111" t="s">
        <v>35</v>
      </c>
      <c r="B111" s="4">
        <v>45534</v>
      </c>
      <c r="C111">
        <v>38</v>
      </c>
      <c r="D111" t="s">
        <v>24</v>
      </c>
      <c r="E111" t="s">
        <v>32</v>
      </c>
      <c r="F111" s="2">
        <v>0.78532966666666704</v>
      </c>
      <c r="G111" s="3">
        <v>32.586666666666702</v>
      </c>
      <c r="H111" s="3">
        <v>5551.9693654267003</v>
      </c>
      <c r="I111" s="3">
        <v>30.9352266025302</v>
      </c>
      <c r="J111" s="3">
        <v>30.9353218078613</v>
      </c>
      <c r="K111" s="3">
        <v>0.36361965179779299</v>
      </c>
      <c r="L111" s="1">
        <v>6.0583336565722603E-4</v>
      </c>
      <c r="M111" s="3">
        <v>1.17542262246772</v>
      </c>
      <c r="N111" s="3">
        <v>29.926795959472699</v>
      </c>
      <c r="O111" s="3">
        <v>31.744823455810501</v>
      </c>
      <c r="P111" s="3">
        <v>1.81802749633789</v>
      </c>
    </row>
    <row r="112" spans="1:16" x14ac:dyDescent="0.2">
      <c r="A112" t="s">
        <v>35</v>
      </c>
      <c r="B112" s="4">
        <v>45534</v>
      </c>
      <c r="C112">
        <v>39</v>
      </c>
      <c r="D112" t="s">
        <v>30</v>
      </c>
      <c r="E112" t="s">
        <v>32</v>
      </c>
      <c r="F112" s="2"/>
      <c r="G112" s="3"/>
      <c r="H112" s="3">
        <v>3612.1444201312902</v>
      </c>
      <c r="I112" s="3">
        <v>30.615136303657899</v>
      </c>
      <c r="J112" s="3">
        <v>30.623163223266602</v>
      </c>
      <c r="K112" s="3">
        <v>0.23674529227887101</v>
      </c>
      <c r="L112" s="1">
        <v>3.9444567012723403E-4</v>
      </c>
      <c r="M112" s="3">
        <v>0.77329491507305204</v>
      </c>
      <c r="N112" s="3">
        <v>29.7595119476318</v>
      </c>
      <c r="O112" s="3">
        <v>31.314002990722699</v>
      </c>
      <c r="P112" s="3">
        <v>1.5544910430908201</v>
      </c>
    </row>
    <row r="113" spans="1:16" x14ac:dyDescent="0.2">
      <c r="A113" t="s">
        <v>35</v>
      </c>
      <c r="B113" s="4">
        <v>45534</v>
      </c>
      <c r="C113">
        <v>40</v>
      </c>
      <c r="D113" t="s">
        <v>27</v>
      </c>
      <c r="E113" t="s">
        <v>32</v>
      </c>
      <c r="F113" s="2"/>
      <c r="G113" s="3"/>
      <c r="H113" s="3">
        <v>3928.3369803063401</v>
      </c>
      <c r="I113" s="3">
        <v>31.000111624804902</v>
      </c>
      <c r="J113" s="3">
        <v>31.005332946777301</v>
      </c>
      <c r="K113" s="3">
        <v>0.27501934318121601</v>
      </c>
      <c r="L113" s="1">
        <v>4.5821476775675002E-4</v>
      </c>
      <c r="M113" s="3">
        <v>0.88715597708092697</v>
      </c>
      <c r="N113" s="3">
        <v>30.238164901733398</v>
      </c>
      <c r="O113" s="3">
        <v>31.731504440307599</v>
      </c>
      <c r="P113" s="3">
        <v>1.4933395385742201</v>
      </c>
    </row>
    <row r="114" spans="1:16" x14ac:dyDescent="0.2">
      <c r="A114" t="s">
        <v>35</v>
      </c>
      <c r="B114" s="4">
        <v>45534</v>
      </c>
      <c r="C114">
        <v>41</v>
      </c>
      <c r="D114" t="s">
        <v>28</v>
      </c>
      <c r="E114" t="s">
        <v>32</v>
      </c>
      <c r="F114" s="2"/>
      <c r="G114" s="3"/>
      <c r="H114" s="3">
        <v>2659.7374179431099</v>
      </c>
      <c r="I114" s="3">
        <v>30.784335903738899</v>
      </c>
      <c r="J114" s="3">
        <v>30.856035232543899</v>
      </c>
      <c r="K114" s="3">
        <v>0.43433816912476098</v>
      </c>
      <c r="L114" s="1">
        <v>7.2365878338330404E-4</v>
      </c>
      <c r="M114" s="3">
        <v>1.41090641189375</v>
      </c>
      <c r="N114" s="3">
        <v>29.521387100219702</v>
      </c>
      <c r="O114" s="3">
        <v>31.687950134277301</v>
      </c>
      <c r="P114" s="3">
        <v>2.1665630340576199</v>
      </c>
    </row>
    <row r="115" spans="1:16" x14ac:dyDescent="0.2">
      <c r="A115" t="s">
        <v>35</v>
      </c>
      <c r="B115" s="4">
        <v>45534</v>
      </c>
      <c r="C115">
        <v>42</v>
      </c>
      <c r="D115" t="s">
        <v>29</v>
      </c>
      <c r="E115" t="s">
        <v>25</v>
      </c>
      <c r="F115" s="2"/>
      <c r="G115" s="3"/>
      <c r="H115" s="3">
        <v>4312.36323851203</v>
      </c>
      <c r="I115" s="3">
        <v>31.785586584931298</v>
      </c>
      <c r="J115" s="3">
        <v>31.795508384704601</v>
      </c>
      <c r="K115" s="3">
        <v>0.20063969553987199</v>
      </c>
      <c r="L115" s="1">
        <v>3.3428947371897701E-4</v>
      </c>
      <c r="M115" s="3">
        <v>0.631228544434005</v>
      </c>
      <c r="N115" s="3">
        <v>31.096094131469702</v>
      </c>
      <c r="O115" s="3">
        <v>32.293338775634801</v>
      </c>
      <c r="P115" s="3">
        <v>1.19724464416504</v>
      </c>
    </row>
    <row r="116" spans="1:16" x14ac:dyDescent="0.2">
      <c r="A116" t="s">
        <v>35</v>
      </c>
      <c r="B116" s="4">
        <v>45534</v>
      </c>
      <c r="C116">
        <v>43</v>
      </c>
      <c r="D116" t="s">
        <v>26</v>
      </c>
      <c r="E116" t="s">
        <v>25</v>
      </c>
      <c r="F116" s="2"/>
      <c r="G116" s="3"/>
      <c r="H116" s="3">
        <v>2979.2122538293202</v>
      </c>
      <c r="I116" s="3">
        <v>30.816147222935101</v>
      </c>
      <c r="J116" s="3">
        <v>30.791894912719702</v>
      </c>
      <c r="K116" s="3">
        <v>0.27424211914330099</v>
      </c>
      <c r="L116" s="1">
        <v>4.5691982054355099E-4</v>
      </c>
      <c r="M116" s="3">
        <v>0.88992993562542</v>
      </c>
      <c r="N116" s="3">
        <v>29.897499084472699</v>
      </c>
      <c r="O116" s="3">
        <v>32.206211090087898</v>
      </c>
      <c r="P116" s="3">
        <v>2.3087120056152299</v>
      </c>
    </row>
    <row r="117" spans="1:16" x14ac:dyDescent="0.2">
      <c r="A117" t="s">
        <v>35</v>
      </c>
      <c r="B117" s="4">
        <v>45534</v>
      </c>
      <c r="C117">
        <v>44</v>
      </c>
      <c r="D117" t="s">
        <v>22</v>
      </c>
      <c r="E117" t="s">
        <v>25</v>
      </c>
      <c r="F117" s="2"/>
      <c r="G117" s="3"/>
      <c r="H117" s="3">
        <v>4120.3501094091898</v>
      </c>
      <c r="I117" s="3">
        <v>30.538690390738701</v>
      </c>
      <c r="J117" s="3">
        <v>30.344551086425799</v>
      </c>
      <c r="K117" s="3">
        <v>0.73196949293159896</v>
      </c>
      <c r="L117" s="1">
        <v>1.2195477864539799E-3</v>
      </c>
      <c r="M117" s="3">
        <v>2.3968594709404401</v>
      </c>
      <c r="N117" s="3">
        <v>29.020448684692401</v>
      </c>
      <c r="O117" s="3">
        <v>32.357284545898402</v>
      </c>
      <c r="P117" s="3">
        <v>3.3368358612060498</v>
      </c>
    </row>
    <row r="118" spans="1:16" x14ac:dyDescent="0.2">
      <c r="A118" t="s">
        <v>35</v>
      </c>
      <c r="B118" s="4">
        <v>45534</v>
      </c>
      <c r="C118">
        <v>45</v>
      </c>
      <c r="D118" t="s">
        <v>23</v>
      </c>
      <c r="E118" t="s">
        <v>32</v>
      </c>
      <c r="F118" s="2">
        <v>0.40412033333333303</v>
      </c>
      <c r="G118" s="3">
        <v>34.063333333333297</v>
      </c>
      <c r="H118" s="3">
        <v>3164.11378555799</v>
      </c>
      <c r="I118" s="3">
        <v>32.6656378532441</v>
      </c>
      <c r="J118" s="3">
        <v>32.665702819824197</v>
      </c>
      <c r="K118" s="3">
        <v>0.299920596549477</v>
      </c>
      <c r="L118" s="1">
        <v>4.9970320234104496E-4</v>
      </c>
      <c r="M118" s="3">
        <v>0.91815319173291798</v>
      </c>
      <c r="N118" s="3">
        <v>31.953945159912099</v>
      </c>
      <c r="O118" s="3">
        <v>33.736717224121101</v>
      </c>
      <c r="P118" s="3">
        <v>1.7827720642089799</v>
      </c>
    </row>
    <row r="119" spans="1:16" x14ac:dyDescent="0.2">
      <c r="A119" t="s">
        <v>35</v>
      </c>
      <c r="B119" s="4">
        <v>45534</v>
      </c>
      <c r="C119">
        <v>46</v>
      </c>
      <c r="D119" t="s">
        <v>17</v>
      </c>
      <c r="E119" t="s">
        <v>25</v>
      </c>
      <c r="F119" s="2">
        <v>0.31040733333333298</v>
      </c>
      <c r="G119" s="3">
        <v>32.773333333333298</v>
      </c>
      <c r="H119" s="3">
        <v>922.86652078774603</v>
      </c>
      <c r="I119" s="3">
        <v>30.5660356915417</v>
      </c>
      <c r="J119" s="3">
        <v>30.4326171875</v>
      </c>
      <c r="K119" s="3">
        <v>0.55064348194194102</v>
      </c>
      <c r="L119" s="1">
        <v>9.1743719651217405E-4</v>
      </c>
      <c r="M119" s="3">
        <v>1.80148805523484</v>
      </c>
      <c r="N119" s="3">
        <v>29.6018161773682</v>
      </c>
      <c r="O119" s="3">
        <v>31.844764709472699</v>
      </c>
      <c r="P119" s="3">
        <v>2.24294853210449</v>
      </c>
    </row>
    <row r="120" spans="1:16" x14ac:dyDescent="0.2">
      <c r="A120" t="s">
        <v>35</v>
      </c>
      <c r="B120" s="4">
        <v>45534</v>
      </c>
      <c r="C120">
        <v>47</v>
      </c>
      <c r="D120" t="s">
        <v>19</v>
      </c>
      <c r="E120" t="s">
        <v>32</v>
      </c>
      <c r="F120" s="2">
        <v>0.86694066666666703</v>
      </c>
      <c r="G120" s="3">
        <v>31.0966666666667</v>
      </c>
      <c r="H120" s="3">
        <v>2830.9628008752702</v>
      </c>
      <c r="I120" s="3">
        <v>31.0008230249062</v>
      </c>
      <c r="J120" s="3">
        <v>30.848182678222699</v>
      </c>
      <c r="K120" s="3">
        <v>0.44044769966814801</v>
      </c>
      <c r="L120" s="1">
        <v>7.3383798418663203E-4</v>
      </c>
      <c r="M120" s="3">
        <v>1.4207613111248401</v>
      </c>
      <c r="N120" s="3">
        <v>30.059257507324201</v>
      </c>
      <c r="O120" s="3">
        <v>32.524826049804702</v>
      </c>
      <c r="P120" s="3">
        <v>2.4655685424804701</v>
      </c>
    </row>
    <row r="121" spans="1:16" x14ac:dyDescent="0.2">
      <c r="A121" t="s">
        <v>35</v>
      </c>
      <c r="B121" s="4">
        <v>45534</v>
      </c>
      <c r="C121">
        <v>48</v>
      </c>
      <c r="D121" t="s">
        <v>20</v>
      </c>
      <c r="E121" t="s">
        <v>32</v>
      </c>
      <c r="F121" s="2">
        <v>0.95822066666666705</v>
      </c>
      <c r="G121" s="3">
        <v>32.9</v>
      </c>
      <c r="H121" s="3">
        <v>3277.8993435448601</v>
      </c>
      <c r="I121" s="3">
        <v>30.3430647422005</v>
      </c>
      <c r="J121" s="3">
        <v>30.3006544113159</v>
      </c>
      <c r="K121" s="3">
        <v>0.531950754499114</v>
      </c>
      <c r="L121" s="1">
        <v>8.8629290075145303E-4</v>
      </c>
      <c r="M121" s="3">
        <v>1.7531213772196399</v>
      </c>
      <c r="N121" s="3">
        <v>29.222753524780298</v>
      </c>
      <c r="O121" s="3">
        <v>31.628847122192401</v>
      </c>
      <c r="P121" s="3">
        <v>2.4060935974121098</v>
      </c>
    </row>
    <row r="122" spans="1:16" x14ac:dyDescent="0.2">
      <c r="A122" t="s">
        <v>35</v>
      </c>
      <c r="B122" s="4">
        <v>45534</v>
      </c>
      <c r="C122">
        <v>49</v>
      </c>
      <c r="D122" t="s">
        <v>17</v>
      </c>
      <c r="E122" t="s">
        <v>32</v>
      </c>
      <c r="F122" s="2">
        <v>0.55041799999999996</v>
      </c>
      <c r="G122" s="3">
        <v>33.200000000000003</v>
      </c>
      <c r="H122" s="3">
        <v>1377.4617067833699</v>
      </c>
      <c r="I122" s="3">
        <v>29.976345069115698</v>
      </c>
      <c r="J122" s="3">
        <v>29.916093826293899</v>
      </c>
      <c r="K122" s="3">
        <v>0.35258110470356302</v>
      </c>
      <c r="L122" s="1">
        <v>5.8744184004798296E-4</v>
      </c>
      <c r="M122" s="3">
        <v>1.17619777825024</v>
      </c>
      <c r="N122" s="3">
        <v>29.300468444824201</v>
      </c>
      <c r="O122" s="3">
        <v>31.037403106689499</v>
      </c>
      <c r="P122" s="3">
        <v>1.7369346618652299</v>
      </c>
    </row>
    <row r="123" spans="1:16" x14ac:dyDescent="0.2">
      <c r="A123" t="s">
        <v>35</v>
      </c>
      <c r="B123" s="4">
        <v>45534</v>
      </c>
      <c r="C123">
        <v>50</v>
      </c>
      <c r="D123" t="s">
        <v>22</v>
      </c>
      <c r="E123" t="s">
        <v>32</v>
      </c>
      <c r="F123" s="2"/>
      <c r="G123" s="3"/>
      <c r="H123" s="3">
        <v>5253.2822757111599</v>
      </c>
      <c r="I123" s="3">
        <v>30.068453366963102</v>
      </c>
      <c r="J123" s="3">
        <v>30.053242683410598</v>
      </c>
      <c r="K123" s="3">
        <v>0.23372620452776499</v>
      </c>
      <c r="L123" s="1">
        <v>3.8941551269645799E-4</v>
      </c>
      <c r="M123" s="3">
        <v>0.77731369044929099</v>
      </c>
      <c r="N123" s="3">
        <v>29.4890232086182</v>
      </c>
      <c r="O123" s="3">
        <v>30.718555450439499</v>
      </c>
      <c r="P123" s="3">
        <v>1.22953224182129</v>
      </c>
    </row>
    <row r="124" spans="1:16" x14ac:dyDescent="0.2">
      <c r="A124" t="s">
        <v>35</v>
      </c>
      <c r="B124" s="4">
        <v>45534</v>
      </c>
      <c r="C124">
        <v>51</v>
      </c>
      <c r="D124" t="s">
        <v>23</v>
      </c>
      <c r="E124" t="s">
        <v>32</v>
      </c>
      <c r="F124" s="2">
        <v>0.480723333333333</v>
      </c>
      <c r="G124" s="3">
        <v>31.9233333333333</v>
      </c>
      <c r="H124" s="3">
        <v>3196.9365426695799</v>
      </c>
      <c r="I124" s="3">
        <v>30.971926497126201</v>
      </c>
      <c r="J124" s="3">
        <v>30.928144454956101</v>
      </c>
      <c r="K124" s="3">
        <v>0.29581572574929899</v>
      </c>
      <c r="L124" s="1">
        <v>4.9286400187384101E-4</v>
      </c>
      <c r="M124" s="3">
        <v>0.95510922052829506</v>
      </c>
      <c r="N124" s="3">
        <v>30.182090759277301</v>
      </c>
      <c r="O124" s="3">
        <v>31.768360137939499</v>
      </c>
      <c r="P124" s="3">
        <v>1.58626937866211</v>
      </c>
    </row>
    <row r="125" spans="1:16" x14ac:dyDescent="0.2">
      <c r="A125" t="s">
        <v>35</v>
      </c>
      <c r="B125" s="4">
        <v>45534</v>
      </c>
      <c r="C125">
        <v>52</v>
      </c>
      <c r="D125" t="s">
        <v>23</v>
      </c>
      <c r="E125" t="s">
        <v>32</v>
      </c>
      <c r="F125" s="2">
        <v>0.85061933333333295</v>
      </c>
      <c r="G125" s="3">
        <v>32.593333333333298</v>
      </c>
      <c r="H125" s="3">
        <v>4379.10284463895</v>
      </c>
      <c r="I125" s="3">
        <v>31.663964319539001</v>
      </c>
      <c r="J125" s="3">
        <v>31.666776657104499</v>
      </c>
      <c r="K125" s="3">
        <v>0.28846377428598102</v>
      </c>
      <c r="L125" s="1">
        <v>4.8061478080685898E-4</v>
      </c>
      <c r="M125" s="3">
        <v>0.91101597821084701</v>
      </c>
      <c r="N125" s="3">
        <v>30.805526733398398</v>
      </c>
      <c r="O125" s="3">
        <v>32.581230163574197</v>
      </c>
      <c r="P125" s="3">
        <v>1.7757034301757799</v>
      </c>
    </row>
    <row r="126" spans="1:16" x14ac:dyDescent="0.2">
      <c r="A126" t="s">
        <v>35</v>
      </c>
      <c r="B126" s="4">
        <v>45534</v>
      </c>
      <c r="C126">
        <v>53</v>
      </c>
      <c r="D126" t="s">
        <v>26</v>
      </c>
      <c r="E126" t="s">
        <v>25</v>
      </c>
      <c r="F126" s="2"/>
      <c r="G126" s="3"/>
      <c r="H126" s="3">
        <v>4084.2450765864301</v>
      </c>
      <c r="I126" s="3">
        <v>30.730017690855099</v>
      </c>
      <c r="J126" s="3">
        <v>30.736552238464402</v>
      </c>
      <c r="K126" s="3">
        <v>0.30919723214358003</v>
      </c>
      <c r="L126" s="1">
        <v>5.1515917491063703E-4</v>
      </c>
      <c r="M126" s="3">
        <v>1.0061732969180599</v>
      </c>
      <c r="N126" s="3">
        <v>29.920820236206101</v>
      </c>
      <c r="O126" s="3">
        <v>31.713905334472699</v>
      </c>
      <c r="P126" s="3">
        <v>1.7930850982666</v>
      </c>
    </row>
    <row r="127" spans="1:16" x14ac:dyDescent="0.2">
      <c r="A127" t="s">
        <v>35</v>
      </c>
      <c r="B127" s="4">
        <v>45534</v>
      </c>
      <c r="C127">
        <v>54</v>
      </c>
      <c r="D127" t="s">
        <v>27</v>
      </c>
      <c r="E127" t="s">
        <v>32</v>
      </c>
      <c r="F127" s="2"/>
      <c r="G127" s="3"/>
      <c r="H127" s="3">
        <v>4579.8687089715504</v>
      </c>
      <c r="I127" s="3">
        <v>31.7920247134976</v>
      </c>
      <c r="J127" s="3">
        <v>31.840547561645501</v>
      </c>
      <c r="K127" s="3">
        <v>0.423282422692767</v>
      </c>
      <c r="L127" s="1">
        <v>7.0523860164221203E-4</v>
      </c>
      <c r="M127" s="3">
        <v>1.33141071230062</v>
      </c>
      <c r="N127" s="3">
        <v>30.277948379516602</v>
      </c>
      <c r="O127" s="3">
        <v>33.282577514648402</v>
      </c>
      <c r="P127" s="3">
        <v>3.0046291351318399</v>
      </c>
    </row>
    <row r="128" spans="1:16" x14ac:dyDescent="0.2">
      <c r="A128" t="s">
        <v>35</v>
      </c>
      <c r="B128" s="4">
        <v>45534</v>
      </c>
      <c r="C128">
        <v>55</v>
      </c>
      <c r="D128" t="s">
        <v>28</v>
      </c>
      <c r="E128" t="s">
        <v>31</v>
      </c>
      <c r="F128" s="2"/>
      <c r="G128" s="3"/>
      <c r="H128" s="3">
        <v>3208.4245076586399</v>
      </c>
      <c r="I128" s="3">
        <v>30.400023040394998</v>
      </c>
      <c r="J128" s="3">
        <v>30.419101715087901</v>
      </c>
      <c r="K128" s="3">
        <v>0.20797747042619399</v>
      </c>
      <c r="L128" s="1">
        <v>3.46515074931223E-4</v>
      </c>
      <c r="M128" s="3">
        <v>0.68413589736375302</v>
      </c>
      <c r="N128" s="3">
        <v>29.575721740722699</v>
      </c>
      <c r="O128" s="3">
        <v>31.046464920043899</v>
      </c>
      <c r="P128" s="3">
        <v>1.47074317932129</v>
      </c>
    </row>
    <row r="129" spans="1:16" x14ac:dyDescent="0.2">
      <c r="A129" t="s">
        <v>35</v>
      </c>
      <c r="B129" s="4">
        <v>45534</v>
      </c>
      <c r="C129">
        <v>56</v>
      </c>
      <c r="D129" t="s">
        <v>19</v>
      </c>
      <c r="E129" t="s">
        <v>31</v>
      </c>
      <c r="F129" s="2">
        <v>0.164975333333333</v>
      </c>
      <c r="G129" s="3">
        <v>32.726666666666702</v>
      </c>
      <c r="H129" s="3">
        <v>3094.6389496717702</v>
      </c>
      <c r="I129" s="3">
        <v>32.5283203125</v>
      </c>
      <c r="J129" s="3">
        <v>32.496885299682603</v>
      </c>
      <c r="K129" s="3">
        <v>0.44341379178282198</v>
      </c>
      <c r="L129" s="1">
        <v>7.3877984461633505E-4</v>
      </c>
      <c r="M129" s="3">
        <v>1.36316227681891</v>
      </c>
      <c r="N129" s="3">
        <v>31.4897651672363</v>
      </c>
      <c r="O129" s="3">
        <v>34.636581420898402</v>
      </c>
      <c r="P129" s="3">
        <v>3.1468162536621098</v>
      </c>
    </row>
    <row r="130" spans="1:16" x14ac:dyDescent="0.2">
      <c r="A130" t="s">
        <v>35</v>
      </c>
      <c r="B130" s="4">
        <v>45534</v>
      </c>
      <c r="C130">
        <v>57</v>
      </c>
      <c r="D130" t="s">
        <v>15</v>
      </c>
      <c r="E130" t="s">
        <v>32</v>
      </c>
      <c r="F130" s="2">
        <v>0.88494633333333295</v>
      </c>
      <c r="G130" s="3">
        <v>31.6033333333333</v>
      </c>
      <c r="H130" s="3">
        <v>4454.0481400437602</v>
      </c>
      <c r="I130" s="3">
        <v>30.691039449957401</v>
      </c>
      <c r="J130" s="3">
        <v>30.699863433837901</v>
      </c>
      <c r="K130" s="3">
        <v>0.20483296134536799</v>
      </c>
      <c r="L130" s="1">
        <v>3.4127595072449299E-4</v>
      </c>
      <c r="M130" s="3">
        <v>0.66740314116553301</v>
      </c>
      <c r="N130" s="3">
        <v>30.183183670043899</v>
      </c>
      <c r="O130" s="3">
        <v>31.203575134277301</v>
      </c>
      <c r="P130" s="3">
        <v>1.0203914642334</v>
      </c>
    </row>
    <row r="131" spans="1:16" x14ac:dyDescent="0.2">
      <c r="A131" t="s">
        <v>35</v>
      </c>
      <c r="B131" s="4">
        <v>45534</v>
      </c>
      <c r="C131">
        <v>58</v>
      </c>
      <c r="D131" t="s">
        <v>20</v>
      </c>
      <c r="E131" t="s">
        <v>25</v>
      </c>
      <c r="F131" s="2">
        <v>0.86971200000000004</v>
      </c>
      <c r="G131" s="3">
        <v>31.58</v>
      </c>
      <c r="H131" s="3">
        <v>2572.7571115973701</v>
      </c>
      <c r="I131" s="3">
        <v>30.191766754334299</v>
      </c>
      <c r="J131" s="3">
        <v>30.057695388793899</v>
      </c>
      <c r="K131" s="3">
        <v>0.74142208291192202</v>
      </c>
      <c r="L131" s="1">
        <v>1.23529691985104E-3</v>
      </c>
      <c r="M131" s="3">
        <v>2.4557094950579001</v>
      </c>
      <c r="N131" s="3">
        <v>28.481367111206101</v>
      </c>
      <c r="O131" s="3">
        <v>31.794277191162099</v>
      </c>
      <c r="P131" s="3">
        <v>3.3129100799560498</v>
      </c>
    </row>
    <row r="132" spans="1:16" x14ac:dyDescent="0.2">
      <c r="A132" t="s">
        <v>35</v>
      </c>
      <c r="B132" s="4">
        <v>45534</v>
      </c>
      <c r="C132">
        <v>59</v>
      </c>
      <c r="D132" t="s">
        <v>29</v>
      </c>
      <c r="E132" t="s">
        <v>25</v>
      </c>
      <c r="F132" s="2"/>
      <c r="G132" s="3"/>
      <c r="H132" s="3">
        <v>3689.27789934354</v>
      </c>
      <c r="I132" s="3">
        <v>30.314225956622899</v>
      </c>
      <c r="J132" s="3">
        <v>30.176816940307599</v>
      </c>
      <c r="K132" s="3">
        <v>0.66736088322968801</v>
      </c>
      <c r="L132" s="1">
        <v>1.1119021977939101E-3</v>
      </c>
      <c r="M132" s="3">
        <v>2.2014775643113098</v>
      </c>
      <c r="N132" s="3">
        <v>29.215000152587901</v>
      </c>
      <c r="O132" s="3">
        <v>31.832344055175799</v>
      </c>
      <c r="P132" s="3">
        <v>2.6173439025878902</v>
      </c>
    </row>
    <row r="133" spans="1:16" x14ac:dyDescent="0.2">
      <c r="A133" t="s">
        <v>35</v>
      </c>
      <c r="B133" s="4">
        <v>45534</v>
      </c>
      <c r="C133">
        <v>60</v>
      </c>
      <c r="D133" t="s">
        <v>20</v>
      </c>
      <c r="E133" t="s">
        <v>32</v>
      </c>
      <c r="F133" s="2"/>
      <c r="G133" s="3"/>
      <c r="H133" s="3">
        <v>3242.34135667396</v>
      </c>
      <c r="I133" s="3">
        <v>30.439756104679901</v>
      </c>
      <c r="J133" s="3">
        <v>30.395741462707502</v>
      </c>
      <c r="K133" s="3">
        <v>0.48511494489547302</v>
      </c>
      <c r="L133" s="1">
        <v>8.0825890004448996E-4</v>
      </c>
      <c r="M133" s="3">
        <v>1.5936886722324599</v>
      </c>
      <c r="N133" s="3">
        <v>29.490390777587901</v>
      </c>
      <c r="O133" s="3">
        <v>31.440526962280298</v>
      </c>
      <c r="P133" s="3">
        <v>1.9501361846923799</v>
      </c>
    </row>
    <row r="134" spans="1:16" x14ac:dyDescent="0.2">
      <c r="A134" t="s">
        <v>35</v>
      </c>
      <c r="B134" s="4">
        <v>45534</v>
      </c>
      <c r="C134">
        <v>61</v>
      </c>
      <c r="D134" t="s">
        <v>24</v>
      </c>
      <c r="E134" t="s">
        <v>32</v>
      </c>
      <c r="F134" s="2">
        <v>1.08236</v>
      </c>
      <c r="G134" s="3">
        <v>34.163333333333298</v>
      </c>
      <c r="H134" s="3">
        <v>4652.6258205689301</v>
      </c>
      <c r="I134" s="3">
        <v>30.8596321312078</v>
      </c>
      <c r="J134" s="3">
        <v>30.805370330810501</v>
      </c>
      <c r="K134" s="3">
        <v>0.57035839456069004</v>
      </c>
      <c r="L134" s="1">
        <v>9.5028457372735601E-4</v>
      </c>
      <c r="M134" s="3">
        <v>1.84823458729405</v>
      </c>
      <c r="N134" s="3">
        <v>29.790918350219702</v>
      </c>
      <c r="O134" s="3">
        <v>32.146171569824197</v>
      </c>
      <c r="P134" s="3">
        <v>2.35525321960449</v>
      </c>
    </row>
    <row r="135" spans="1:16" x14ac:dyDescent="0.2">
      <c r="A135" t="s">
        <v>35</v>
      </c>
      <c r="B135" s="4">
        <v>45534</v>
      </c>
      <c r="C135">
        <v>62</v>
      </c>
      <c r="D135" t="s">
        <v>15</v>
      </c>
      <c r="E135" t="s">
        <v>32</v>
      </c>
      <c r="F135" s="2">
        <v>1.534967</v>
      </c>
      <c r="G135" s="3">
        <v>34.223333333333301</v>
      </c>
      <c r="H135" s="3">
        <v>4184.9015317286603</v>
      </c>
      <c r="I135" s="3">
        <v>31.125223870938299</v>
      </c>
      <c r="J135" s="3">
        <v>31.065507888793899</v>
      </c>
      <c r="K135" s="3">
        <v>0.37139633880913397</v>
      </c>
      <c r="L135" s="1">
        <v>6.1879024640459402E-4</v>
      </c>
      <c r="M135" s="3">
        <v>1.1932326666922599</v>
      </c>
      <c r="N135" s="3">
        <v>30.2890815734863</v>
      </c>
      <c r="O135" s="3">
        <v>32.122482299804702</v>
      </c>
      <c r="P135" s="3">
        <v>1.83340072631836</v>
      </c>
    </row>
    <row r="136" spans="1:16" x14ac:dyDescent="0.2">
      <c r="A136" t="s">
        <v>35</v>
      </c>
      <c r="B136" s="4">
        <v>45534</v>
      </c>
      <c r="C136">
        <v>63</v>
      </c>
      <c r="D136" t="s">
        <v>22</v>
      </c>
      <c r="E136" t="s">
        <v>32</v>
      </c>
      <c r="F136" s="2"/>
      <c r="G136" s="3"/>
      <c r="H136" s="3">
        <v>4450.2188183807402</v>
      </c>
      <c r="I136" s="3">
        <v>31.3459214096404</v>
      </c>
      <c r="J136" s="3">
        <v>31.330293655395501</v>
      </c>
      <c r="K136" s="3">
        <v>0.25618659392082099</v>
      </c>
      <c r="L136" s="1">
        <v>4.2683717907969802E-4</v>
      </c>
      <c r="M136" s="3">
        <v>0.81728844583279903</v>
      </c>
      <c r="N136" s="3">
        <v>30.7001953125</v>
      </c>
      <c r="O136" s="3">
        <v>32.016189575195298</v>
      </c>
      <c r="P136" s="3">
        <v>1.3159942626953101</v>
      </c>
    </row>
    <row r="137" spans="1:16" x14ac:dyDescent="0.2">
      <c r="A137" t="s">
        <v>35</v>
      </c>
      <c r="B137" s="4">
        <v>45534</v>
      </c>
      <c r="C137">
        <v>64</v>
      </c>
      <c r="D137" t="s">
        <v>23</v>
      </c>
      <c r="E137" t="s">
        <v>25</v>
      </c>
      <c r="F137" s="2">
        <v>0.64451233333333302</v>
      </c>
      <c r="G137" s="3">
        <v>35.6</v>
      </c>
      <c r="H137" s="3">
        <v>2958.4245076586399</v>
      </c>
      <c r="I137" s="3">
        <v>31.213076103387699</v>
      </c>
      <c r="J137" s="3">
        <v>31.2332811355591</v>
      </c>
      <c r="K137" s="3">
        <v>0.35475507386942701</v>
      </c>
      <c r="L137" s="1">
        <v>5.9106392991600495E-4</v>
      </c>
      <c r="M137" s="3">
        <v>1.1365591545490901</v>
      </c>
      <c r="N137" s="3">
        <v>30.269725799560501</v>
      </c>
      <c r="O137" s="3">
        <v>32.304763793945298</v>
      </c>
      <c r="P137" s="3">
        <v>2.0350379943847701</v>
      </c>
    </row>
    <row r="138" spans="1:16" x14ac:dyDescent="0.2">
      <c r="A138" t="s">
        <v>35</v>
      </c>
      <c r="B138" s="4">
        <v>45534</v>
      </c>
      <c r="C138">
        <v>65</v>
      </c>
      <c r="D138" t="s">
        <v>20</v>
      </c>
      <c r="E138" t="s">
        <v>32</v>
      </c>
      <c r="F138" s="2">
        <v>0.35928300000000002</v>
      </c>
      <c r="G138" s="3">
        <v>36.4033333333333</v>
      </c>
      <c r="H138" s="3">
        <v>4041.5754923413601</v>
      </c>
      <c r="I138" s="3">
        <v>30.774999870605701</v>
      </c>
      <c r="J138" s="3">
        <v>30.747001647949201</v>
      </c>
      <c r="K138" s="3">
        <v>0.20702305543184599</v>
      </c>
      <c r="L138" s="1">
        <v>3.4492490661825902E-4</v>
      </c>
      <c r="M138" s="3">
        <v>0.67269880195704201</v>
      </c>
      <c r="N138" s="3">
        <v>30.309354782104499</v>
      </c>
      <c r="O138" s="3">
        <v>31.436307907104499</v>
      </c>
      <c r="P138" s="3">
        <v>1.126953125</v>
      </c>
    </row>
    <row r="139" spans="1:16" x14ac:dyDescent="0.2">
      <c r="A139" t="s">
        <v>35</v>
      </c>
      <c r="B139" s="4">
        <v>45534</v>
      </c>
      <c r="C139">
        <v>66</v>
      </c>
      <c r="D139" t="s">
        <v>19</v>
      </c>
      <c r="E139" t="s">
        <v>32</v>
      </c>
      <c r="F139" s="2">
        <v>1.0779983333333301</v>
      </c>
      <c r="G139" s="3">
        <v>36.200000000000003</v>
      </c>
      <c r="H139" s="3">
        <v>2670.6783369803102</v>
      </c>
      <c r="I139" s="3">
        <v>30.526993299232601</v>
      </c>
      <c r="J139" s="3">
        <v>30.5090236663818</v>
      </c>
      <c r="K139" s="3">
        <v>0.18883573582046201</v>
      </c>
      <c r="L139" s="1">
        <v>3.1462268010775199E-4</v>
      </c>
      <c r="M139" s="3">
        <v>0.61858609516322105</v>
      </c>
      <c r="N139" s="3">
        <v>30.028282165527301</v>
      </c>
      <c r="O139" s="3">
        <v>31.052539825439499</v>
      </c>
      <c r="P139" s="3">
        <v>1.02425765991211</v>
      </c>
    </row>
    <row r="140" spans="1:16" x14ac:dyDescent="0.2">
      <c r="A140" t="s">
        <v>35</v>
      </c>
      <c r="B140" s="4">
        <v>45534</v>
      </c>
      <c r="C140">
        <v>67</v>
      </c>
      <c r="D140" t="s">
        <v>17</v>
      </c>
      <c r="E140" t="s">
        <v>25</v>
      </c>
      <c r="F140" s="2">
        <v>0.50997233333333303</v>
      </c>
      <c r="G140" s="3">
        <v>34.196666666666701</v>
      </c>
      <c r="H140" s="3">
        <v>2442.5601750546998</v>
      </c>
      <c r="I140" s="3">
        <v>32.5243625407644</v>
      </c>
      <c r="J140" s="3">
        <v>32.496856689453097</v>
      </c>
      <c r="K140" s="3">
        <v>0.34086579020058699</v>
      </c>
      <c r="L140" s="1">
        <v>5.6792273985639696E-4</v>
      </c>
      <c r="M140" s="3">
        <v>1.0480321936313499</v>
      </c>
      <c r="N140" s="3">
        <v>31.638477325439499</v>
      </c>
      <c r="O140" s="3">
        <v>34.3866996765137</v>
      </c>
      <c r="P140" s="3">
        <v>2.7482223510742201</v>
      </c>
    </row>
    <row r="141" spans="1:16" x14ac:dyDescent="0.2">
      <c r="A141" t="s">
        <v>35</v>
      </c>
      <c r="B141" s="4">
        <v>45534</v>
      </c>
      <c r="C141">
        <v>68</v>
      </c>
      <c r="D141" t="s">
        <v>30</v>
      </c>
      <c r="E141" t="s">
        <v>32</v>
      </c>
      <c r="F141" s="2"/>
      <c r="G141" s="3"/>
      <c r="H141" s="3">
        <v>4363.23851203501</v>
      </c>
      <c r="I141" s="3">
        <v>30.513236041967399</v>
      </c>
      <c r="J141" s="3">
        <v>30.495820999145501</v>
      </c>
      <c r="K141" s="3">
        <v>0.245393175179979</v>
      </c>
      <c r="L141" s="1">
        <v>4.0885406631232699E-4</v>
      </c>
      <c r="M141" s="3">
        <v>0.80421878178528505</v>
      </c>
      <c r="N141" s="3">
        <v>29.595371246337901</v>
      </c>
      <c r="O141" s="3">
        <v>31.1415824890137</v>
      </c>
      <c r="P141" s="3">
        <v>1.5462112426757799</v>
      </c>
    </row>
    <row r="142" spans="1:16" x14ac:dyDescent="0.2">
      <c r="A142" t="s">
        <v>35</v>
      </c>
      <c r="B142" s="4">
        <v>45534</v>
      </c>
      <c r="C142">
        <v>69</v>
      </c>
      <c r="D142" t="s">
        <v>27</v>
      </c>
      <c r="E142" t="s">
        <v>32</v>
      </c>
      <c r="G142" s="3"/>
      <c r="H142" s="3">
        <v>3097.3741794310699</v>
      </c>
      <c r="I142" s="3">
        <v>31.128377717259902</v>
      </c>
      <c r="J142" s="3">
        <v>31.134140014648398</v>
      </c>
      <c r="K142" s="3">
        <v>0.222547556672965</v>
      </c>
      <c r="L142" s="1">
        <v>3.7079056264250297E-4</v>
      </c>
      <c r="M142" s="3">
        <v>0.71493464482592495</v>
      </c>
      <c r="N142" s="3">
        <v>30.363985061645501</v>
      </c>
      <c r="O142" s="3">
        <v>32.158809661865199</v>
      </c>
      <c r="P142" s="3">
        <v>1.7948246002197299</v>
      </c>
    </row>
    <row r="143" spans="1:16" x14ac:dyDescent="0.2">
      <c r="A143" t="s">
        <v>35</v>
      </c>
      <c r="B143" s="4">
        <v>45534</v>
      </c>
      <c r="C143">
        <v>70</v>
      </c>
      <c r="D143" t="s">
        <v>29</v>
      </c>
      <c r="E143" t="s">
        <v>25</v>
      </c>
      <c r="G143" s="3"/>
      <c r="H143" s="3">
        <v>3602.2975929978102</v>
      </c>
      <c r="I143" s="3">
        <v>31.022170593668601</v>
      </c>
      <c r="J143" s="3">
        <v>31.025995254516602</v>
      </c>
      <c r="K143" s="3">
        <v>0.26925025924124502</v>
      </c>
      <c r="L143" s="1">
        <v>4.4860279127849399E-4</v>
      </c>
      <c r="M143" s="3">
        <v>0.86792849787305604</v>
      </c>
      <c r="N143" s="3">
        <v>30.379844665527301</v>
      </c>
      <c r="O143" s="3">
        <v>31.73828125</v>
      </c>
      <c r="P143" s="3">
        <v>1.35843658447266</v>
      </c>
    </row>
    <row r="144" spans="1:16" x14ac:dyDescent="0.2">
      <c r="A144" t="s">
        <v>35</v>
      </c>
      <c r="B144" s="4">
        <v>45534</v>
      </c>
      <c r="C144">
        <v>71</v>
      </c>
      <c r="D144" t="s">
        <v>28</v>
      </c>
      <c r="E144" t="s">
        <v>32</v>
      </c>
      <c r="G144" s="3"/>
      <c r="H144" s="3">
        <v>4084.7921225382902</v>
      </c>
      <c r="I144" s="3">
        <v>32.597402822538001</v>
      </c>
      <c r="J144" s="3">
        <v>32.593593597412102</v>
      </c>
      <c r="K144" s="3">
        <v>0.32240233200721402</v>
      </c>
      <c r="L144" s="1">
        <v>5.3716043379384499E-4</v>
      </c>
      <c r="M144" s="3">
        <v>0.98904300370918896</v>
      </c>
      <c r="N144" s="3">
        <v>31.890781402587901</v>
      </c>
      <c r="O144" s="3">
        <v>33.5859375</v>
      </c>
      <c r="P144" s="3">
        <v>1.69515609741211</v>
      </c>
    </row>
    <row r="145" spans="1:16" x14ac:dyDescent="0.2">
      <c r="A145" t="s">
        <v>35</v>
      </c>
      <c r="B145" s="4">
        <v>45534</v>
      </c>
      <c r="C145">
        <v>72</v>
      </c>
      <c r="D145" t="s">
        <v>26</v>
      </c>
      <c r="E145" t="s">
        <v>25</v>
      </c>
      <c r="G145" s="3"/>
      <c r="H145" s="3">
        <v>3345.1859956236299</v>
      </c>
      <c r="I145" s="3">
        <v>33.426583778344799</v>
      </c>
      <c r="J145" s="3">
        <v>33.297988891601598</v>
      </c>
      <c r="K145" s="3">
        <v>0.56254796191687195</v>
      </c>
      <c r="L145" s="1">
        <v>9.3727146876328496E-4</v>
      </c>
      <c r="M145" s="3">
        <v>1.6829358502417899</v>
      </c>
      <c r="N145" s="3">
        <v>32.134414672851598</v>
      </c>
      <c r="O145" s="3">
        <v>35.510665893554702</v>
      </c>
      <c r="P145" s="3">
        <v>3.3762512207031201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D47B-EEC2-4BAC-BFC0-D031E79F04CE}">
  <dimension ref="A3:B12"/>
  <sheetViews>
    <sheetView workbookViewId="0">
      <selection activeCell="D10" sqref="D10"/>
    </sheetView>
  </sheetViews>
  <sheetFormatPr baseColWidth="10" defaultColWidth="8.83203125" defaultRowHeight="16" x14ac:dyDescent="0.2"/>
  <cols>
    <col min="1" max="1" width="12.1640625" bestFit="1" customWidth="1"/>
    <col min="2" max="2" width="19.1640625" bestFit="1" customWidth="1"/>
  </cols>
  <sheetData>
    <row r="3" spans="1:2" x14ac:dyDescent="0.2">
      <c r="A3" s="5" t="s">
        <v>38</v>
      </c>
      <c r="B3" t="s">
        <v>41</v>
      </c>
    </row>
    <row r="4" spans="1:2" x14ac:dyDescent="0.2">
      <c r="A4" s="8">
        <v>45513</v>
      </c>
      <c r="B4">
        <v>34.930231445592725</v>
      </c>
    </row>
    <row r="5" spans="1:2" x14ac:dyDescent="0.2">
      <c r="A5" s="7" t="s">
        <v>35</v>
      </c>
      <c r="B5">
        <v>31.278238123022717</v>
      </c>
    </row>
    <row r="6" spans="1:2" x14ac:dyDescent="0.2">
      <c r="A6" s="7" t="s">
        <v>34</v>
      </c>
      <c r="B6">
        <v>38.582224768162725</v>
      </c>
    </row>
    <row r="7" spans="1:2" x14ac:dyDescent="0.2">
      <c r="A7" s="8">
        <v>45534</v>
      </c>
      <c r="B7">
        <v>31.776980982700756</v>
      </c>
    </row>
    <row r="8" spans="1:2" x14ac:dyDescent="0.2">
      <c r="A8" s="7" t="s">
        <v>35</v>
      </c>
      <c r="B8">
        <v>31.046974005573279</v>
      </c>
    </row>
    <row r="9" spans="1:2" x14ac:dyDescent="0.2">
      <c r="A9" s="7" t="s">
        <v>34</v>
      </c>
      <c r="B9">
        <v>32.50698795982823</v>
      </c>
    </row>
    <row r="10" spans="1:2" x14ac:dyDescent="0.2">
      <c r="A10" s="6" t="s">
        <v>39</v>
      </c>
    </row>
    <row r="11" spans="1:2" x14ac:dyDescent="0.2">
      <c r="A11" s="7" t="s">
        <v>39</v>
      </c>
    </row>
    <row r="12" spans="1:2" x14ac:dyDescent="0.2">
      <c r="A12" s="6" t="s">
        <v>40</v>
      </c>
      <c r="B12">
        <v>33.57883839006761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1240-1249-8147-A575-00B6905B5BB9}">
  <sheetPr filterMode="1"/>
  <dimension ref="A1:Y85"/>
  <sheetViews>
    <sheetView zoomScale="140" zoomScaleNormal="140" workbookViewId="0">
      <selection activeCell="D1" sqref="D1"/>
    </sheetView>
  </sheetViews>
  <sheetFormatPr baseColWidth="10" defaultColWidth="10.6640625" defaultRowHeight="16" x14ac:dyDescent="0.2"/>
  <cols>
    <col min="6" max="6" width="12.1640625" bestFit="1" customWidth="1"/>
    <col min="9" max="9" width="12.5" customWidth="1"/>
    <col min="10" max="10" width="12.83203125" customWidth="1"/>
  </cols>
  <sheetData>
    <row r="1" spans="1:25" x14ac:dyDescent="0.2">
      <c r="A1" t="s">
        <v>33</v>
      </c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36</v>
      </c>
      <c r="R1" t="s">
        <v>37</v>
      </c>
      <c r="T1" s="9" t="s">
        <v>42</v>
      </c>
      <c r="U1" s="10">
        <f>AVERAGE(I44:I85)</f>
        <v>31.179124929830106</v>
      </c>
      <c r="V1" s="9" t="s">
        <v>43</v>
      </c>
      <c r="W1" s="10">
        <f>AVERAGE(I2:I43)</f>
        <v>35.978551850305095</v>
      </c>
      <c r="Y1" s="3">
        <f>W1-U1</f>
        <v>4.7994269204749891</v>
      </c>
    </row>
    <row r="2" spans="1:25" hidden="1" x14ac:dyDescent="0.2">
      <c r="A2" t="s">
        <v>34</v>
      </c>
      <c r="B2" s="4">
        <v>45513</v>
      </c>
      <c r="C2">
        <v>4</v>
      </c>
      <c r="D2" t="s">
        <v>27</v>
      </c>
      <c r="E2" t="s">
        <v>21</v>
      </c>
      <c r="F2" s="2">
        <v>0.55055533333333295</v>
      </c>
      <c r="G2" s="3">
        <v>32.213333333333303</v>
      </c>
      <c r="H2" s="3">
        <v>1450.21881838074</v>
      </c>
      <c r="I2" s="3">
        <v>39.653647826559599</v>
      </c>
      <c r="J2" s="3">
        <v>39.429872512817397</v>
      </c>
      <c r="K2" s="3">
        <v>1.3901128600567101</v>
      </c>
      <c r="L2" s="1">
        <v>2.15100657789863E-3</v>
      </c>
      <c r="M2" s="3">
        <v>3.5056367730325899</v>
      </c>
      <c r="N2" s="3">
        <v>36.448673248291001</v>
      </c>
      <c r="O2" s="3">
        <v>43.627635955810497</v>
      </c>
      <c r="P2" s="3">
        <v>7.1789627075195304</v>
      </c>
      <c r="Q2" s="3">
        <f>+G2-I2</f>
        <v>-7.4403144932262961</v>
      </c>
      <c r="R2" s="3">
        <f>H2/67.19</f>
        <v>21.583849060585504</v>
      </c>
    </row>
    <row r="3" spans="1:25" hidden="1" x14ac:dyDescent="0.2">
      <c r="A3" t="s">
        <v>34</v>
      </c>
      <c r="B3" s="4">
        <v>45513</v>
      </c>
      <c r="C3">
        <v>18</v>
      </c>
      <c r="D3" t="s">
        <v>27</v>
      </c>
      <c r="E3" t="s">
        <v>21</v>
      </c>
      <c r="F3" s="2">
        <v>4.0080333333333003E-2</v>
      </c>
      <c r="G3" s="3">
        <v>34.116666666666703</v>
      </c>
      <c r="H3" s="3">
        <v>1684.9015317286701</v>
      </c>
      <c r="I3" s="3">
        <v>37.513201393013198</v>
      </c>
      <c r="J3" s="3">
        <v>37.593338012695298</v>
      </c>
      <c r="K3" s="3">
        <v>0.91990293109601196</v>
      </c>
      <c r="L3" s="1">
        <v>1.4234220203782799E-3</v>
      </c>
      <c r="M3" s="3">
        <v>2.4522112134832201</v>
      </c>
      <c r="N3" s="3">
        <v>32.7832221984863</v>
      </c>
      <c r="O3" s="3">
        <v>39.960273742675803</v>
      </c>
      <c r="P3" s="3">
        <v>7.1770515441894496</v>
      </c>
      <c r="Q3" s="3">
        <f>+G3-I3</f>
        <v>-3.3965347263464949</v>
      </c>
      <c r="R3" s="3">
        <f>H3/67.19</f>
        <v>25.076671107734338</v>
      </c>
    </row>
    <row r="4" spans="1:25" hidden="1" x14ac:dyDescent="0.2">
      <c r="A4" t="s">
        <v>34</v>
      </c>
      <c r="B4" s="4">
        <v>45513</v>
      </c>
      <c r="C4">
        <v>33</v>
      </c>
      <c r="D4" t="s">
        <v>27</v>
      </c>
      <c r="E4" t="s">
        <v>21</v>
      </c>
      <c r="F4" s="2">
        <v>7.1440000000000003E-2</v>
      </c>
      <c r="G4" s="3">
        <v>34.06</v>
      </c>
      <c r="H4" s="3">
        <v>2449.12472647702</v>
      </c>
      <c r="I4" s="3">
        <v>36.623935543028701</v>
      </c>
      <c r="J4" s="3">
        <v>36.4131755828857</v>
      </c>
      <c r="K4" s="3">
        <v>1.2896201678089201</v>
      </c>
      <c r="L4" s="1">
        <v>1.9955080940942801E-3</v>
      </c>
      <c r="M4" s="3">
        <v>3.5212495563011399</v>
      </c>
      <c r="N4" s="3">
        <v>33.930801391601598</v>
      </c>
      <c r="O4" s="3">
        <v>41.557716369628899</v>
      </c>
      <c r="P4" s="3">
        <v>7.6269149780273402</v>
      </c>
      <c r="Q4" s="3">
        <f>+G4-I4</f>
        <v>-2.5639355430286983</v>
      </c>
      <c r="R4" s="3">
        <f>H4/67.19</f>
        <v>36.450732645885104</v>
      </c>
    </row>
    <row r="5" spans="1:25" hidden="1" x14ac:dyDescent="0.2">
      <c r="A5" t="s">
        <v>34</v>
      </c>
      <c r="B5" s="4">
        <v>45513</v>
      </c>
      <c r="C5">
        <v>12</v>
      </c>
      <c r="D5" t="s">
        <v>20</v>
      </c>
      <c r="E5" t="s">
        <v>21</v>
      </c>
      <c r="F5" s="2">
        <v>5.2778666666667001E-2</v>
      </c>
      <c r="G5" s="3">
        <v>31.97</v>
      </c>
      <c r="H5" s="3">
        <v>1498.90590809628</v>
      </c>
      <c r="I5" s="3">
        <v>38.320972469565</v>
      </c>
      <c r="J5" s="3">
        <v>38.2878608703613</v>
      </c>
      <c r="K5" s="3">
        <v>0.79594308229750799</v>
      </c>
      <c r="L5" s="1">
        <v>1.2316113711695401E-3</v>
      </c>
      <c r="M5" s="3">
        <v>2.0770430158828899</v>
      </c>
      <c r="N5" s="3">
        <v>36.3081245422363</v>
      </c>
      <c r="O5" s="3">
        <v>42.087635040283203</v>
      </c>
      <c r="P5" s="3">
        <v>5.7795104980468803</v>
      </c>
      <c r="Q5" s="3">
        <f>+G5-I5</f>
        <v>-6.3509724695650007</v>
      </c>
      <c r="R5" s="3">
        <f>H5/67.19</f>
        <v>22.308467154283079</v>
      </c>
    </row>
    <row r="6" spans="1:25" hidden="1" x14ac:dyDescent="0.2">
      <c r="A6" t="s">
        <v>34</v>
      </c>
      <c r="B6" s="4">
        <v>45534</v>
      </c>
      <c r="C6">
        <v>12</v>
      </c>
      <c r="D6" t="s">
        <v>20</v>
      </c>
      <c r="E6" t="s">
        <v>31</v>
      </c>
      <c r="F6" s="2">
        <v>0.73217366666666694</v>
      </c>
      <c r="G6" s="3">
        <v>27.366666666666699</v>
      </c>
      <c r="H6" s="3">
        <v>1498.90590809628</v>
      </c>
      <c r="I6" s="3">
        <v>33.135862036735901</v>
      </c>
      <c r="J6" s="3">
        <v>33.098007202148402</v>
      </c>
      <c r="K6" s="3">
        <v>0.46794083839794498</v>
      </c>
      <c r="L6" s="1">
        <v>7.7964480647140899E-4</v>
      </c>
      <c r="M6" s="3">
        <v>1.4121885161133401</v>
      </c>
      <c r="N6" s="3">
        <v>31.996503829956101</v>
      </c>
      <c r="O6" s="3">
        <v>34.751720428466797</v>
      </c>
      <c r="P6" s="3">
        <v>2.75521659851074</v>
      </c>
      <c r="Q6" s="3">
        <f>+G6-I6</f>
        <v>-5.7691953700692018</v>
      </c>
      <c r="R6" s="3">
        <f>H6/67.19</f>
        <v>22.308467154283079</v>
      </c>
    </row>
    <row r="7" spans="1:25" hidden="1" x14ac:dyDescent="0.2">
      <c r="A7" t="s">
        <v>34</v>
      </c>
      <c r="B7" s="4">
        <v>45513</v>
      </c>
      <c r="C7">
        <v>22</v>
      </c>
      <c r="D7" t="s">
        <v>20</v>
      </c>
      <c r="E7" t="s">
        <v>21</v>
      </c>
      <c r="F7" s="2">
        <v>4.6344666666666999E-2</v>
      </c>
      <c r="G7" s="3">
        <v>32.11</v>
      </c>
      <c r="H7" s="3">
        <v>1812.36323851203</v>
      </c>
      <c r="I7" s="3">
        <v>37.584205267715497</v>
      </c>
      <c r="J7" s="3">
        <v>37.554122924804702</v>
      </c>
      <c r="K7" s="3">
        <v>1.14377893179995</v>
      </c>
      <c r="L7" s="1">
        <v>1.76983903728738E-3</v>
      </c>
      <c r="M7" s="3">
        <v>3.0432436276162198</v>
      </c>
      <c r="N7" s="3">
        <v>34.578964233398402</v>
      </c>
      <c r="O7" s="3">
        <v>41.348731994628899</v>
      </c>
      <c r="P7" s="3">
        <v>6.7697677612304696</v>
      </c>
      <c r="Q7" s="3">
        <f>+G7-I7</f>
        <v>-5.4742052677154973</v>
      </c>
      <c r="R7" s="3">
        <f>H7/67.19</f>
        <v>26.973704993481618</v>
      </c>
    </row>
    <row r="8" spans="1:25" hidden="1" x14ac:dyDescent="0.2">
      <c r="A8" t="s">
        <v>34</v>
      </c>
      <c r="B8" s="4">
        <v>45534</v>
      </c>
      <c r="C8">
        <v>22</v>
      </c>
      <c r="D8" t="s">
        <v>20</v>
      </c>
      <c r="E8" t="s">
        <v>32</v>
      </c>
      <c r="F8" s="2">
        <v>0.225318666666667</v>
      </c>
      <c r="G8" s="3">
        <v>30.66</v>
      </c>
      <c r="H8" s="3">
        <v>1812.36323851203</v>
      </c>
      <c r="I8" s="3">
        <v>32.5954823834876</v>
      </c>
      <c r="J8" s="3">
        <v>32.5573921203613</v>
      </c>
      <c r="K8" s="3">
        <v>0.42157272343197899</v>
      </c>
      <c r="L8" s="1">
        <v>7.0239004037137996E-4</v>
      </c>
      <c r="M8" s="3">
        <v>1.29334709169864</v>
      </c>
      <c r="N8" s="3">
        <v>31.3762111663818</v>
      </c>
      <c r="O8" s="3">
        <v>33.920291900634801</v>
      </c>
      <c r="P8" s="3">
        <v>2.5440807342529301</v>
      </c>
      <c r="Q8" s="3">
        <f>+G8-I8</f>
        <v>-1.9354823834875994</v>
      </c>
      <c r="R8" s="3">
        <f>H8/67.19</f>
        <v>26.973704993481618</v>
      </c>
    </row>
    <row r="9" spans="1:25" hidden="1" x14ac:dyDescent="0.2">
      <c r="A9" t="s">
        <v>34</v>
      </c>
      <c r="B9" s="4">
        <v>45513</v>
      </c>
      <c r="C9">
        <v>29</v>
      </c>
      <c r="D9" t="s">
        <v>20</v>
      </c>
      <c r="E9" t="s">
        <v>16</v>
      </c>
      <c r="F9" s="2">
        <v>5.0952999999999998E-2</v>
      </c>
      <c r="G9" s="3">
        <v>34.646666666666697</v>
      </c>
      <c r="H9" s="3">
        <v>1681.0722100656501</v>
      </c>
      <c r="I9" s="3">
        <v>35.770131541950001</v>
      </c>
      <c r="J9" s="3">
        <v>35.845615386962898</v>
      </c>
      <c r="K9" s="3">
        <v>0.937711831354889</v>
      </c>
      <c r="L9" s="1">
        <v>1.45097882004735E-3</v>
      </c>
      <c r="M9" s="3">
        <v>2.6214939418245402</v>
      </c>
      <c r="N9" s="3">
        <v>31.394922256469702</v>
      </c>
      <c r="O9" s="3">
        <v>38.150821685791001</v>
      </c>
      <c r="P9" s="3">
        <v>6.75589942932129</v>
      </c>
      <c r="Q9" s="3">
        <f>+G9-I9</f>
        <v>-1.1234648752833039</v>
      </c>
      <c r="R9" s="3">
        <f>H9/67.19</f>
        <v>25.019678673398573</v>
      </c>
    </row>
    <row r="10" spans="1:25" hidden="1" x14ac:dyDescent="0.2">
      <c r="A10" t="s">
        <v>34</v>
      </c>
      <c r="B10" s="4">
        <v>45534</v>
      </c>
      <c r="C10">
        <v>29</v>
      </c>
      <c r="D10" t="s">
        <v>20</v>
      </c>
      <c r="E10" t="s">
        <v>32</v>
      </c>
      <c r="F10" s="2">
        <v>0.32994833333333301</v>
      </c>
      <c r="G10" s="3">
        <v>31.5566666666667</v>
      </c>
      <c r="H10" s="3">
        <v>1681.0722100656501</v>
      </c>
      <c r="I10" s="3">
        <v>32.298268482710398</v>
      </c>
      <c r="J10" s="3">
        <v>32.275508880615199</v>
      </c>
      <c r="K10" s="3">
        <v>0.39015674402109402</v>
      </c>
      <c r="L10" s="1">
        <v>6.5004730133675205E-4</v>
      </c>
      <c r="M10" s="3">
        <v>1.2079803727867</v>
      </c>
      <c r="N10" s="3">
        <v>31.156660079956101</v>
      </c>
      <c r="O10" s="3">
        <v>33.479686737060497</v>
      </c>
      <c r="P10" s="3">
        <v>2.32302665710449</v>
      </c>
      <c r="Q10" s="3">
        <f>+G10-I10</f>
        <v>-0.74160181604369768</v>
      </c>
      <c r="R10" s="3">
        <f>H10/67.19</f>
        <v>25.019678673398573</v>
      </c>
    </row>
    <row r="11" spans="1:25" hidden="1" x14ac:dyDescent="0.2">
      <c r="A11" t="s">
        <v>34</v>
      </c>
      <c r="B11" s="4">
        <v>45513</v>
      </c>
      <c r="C11">
        <v>11</v>
      </c>
      <c r="D11" t="s">
        <v>19</v>
      </c>
      <c r="E11" t="s">
        <v>16</v>
      </c>
      <c r="F11" s="2">
        <v>3.5784999999999997E-2</v>
      </c>
      <c r="G11" s="3">
        <v>33.016666666666701</v>
      </c>
      <c r="H11" s="3">
        <v>910.83150984682698</v>
      </c>
      <c r="I11" s="3">
        <v>39.765984165888803</v>
      </c>
      <c r="J11" s="3">
        <v>39.471935272216797</v>
      </c>
      <c r="K11" s="3">
        <v>1.12450762430425</v>
      </c>
      <c r="L11" s="1">
        <v>1.7400193655333299E-3</v>
      </c>
      <c r="M11" s="3">
        <v>2.8278128855386102</v>
      </c>
      <c r="N11" s="3">
        <v>38.1816215515137</v>
      </c>
      <c r="O11" s="3">
        <v>45.968437194824197</v>
      </c>
      <c r="P11" s="3">
        <v>7.7868156433105504</v>
      </c>
      <c r="Q11" s="3">
        <f>+G11-I11</f>
        <v>-6.7493174992221014</v>
      </c>
      <c r="R11" s="3">
        <f>H11/67.19</f>
        <v>13.556057595577125</v>
      </c>
    </row>
    <row r="12" spans="1:25" hidden="1" x14ac:dyDescent="0.2">
      <c r="A12" t="s">
        <v>34</v>
      </c>
      <c r="B12" s="4">
        <v>45534</v>
      </c>
      <c r="C12">
        <v>11</v>
      </c>
      <c r="D12" t="s">
        <v>19</v>
      </c>
      <c r="E12" t="s">
        <v>25</v>
      </c>
      <c r="F12" s="2">
        <v>0.655673333333333</v>
      </c>
      <c r="G12" s="3">
        <v>27.52</v>
      </c>
      <c r="H12" s="3">
        <v>910.83150984682698</v>
      </c>
      <c r="I12" s="3">
        <v>32.383283447088402</v>
      </c>
      <c r="J12" s="3">
        <v>32.324764251708999</v>
      </c>
      <c r="K12" s="3">
        <v>0.378627790754753</v>
      </c>
      <c r="L12" s="1">
        <v>6.3083870101683095E-4</v>
      </c>
      <c r="M12" s="3">
        <v>1.1692075368867401</v>
      </c>
      <c r="N12" s="3">
        <v>31.520391464233398</v>
      </c>
      <c r="O12" s="3">
        <v>35.114044189453097</v>
      </c>
      <c r="P12" s="3">
        <v>3.5936527252197301</v>
      </c>
      <c r="Q12" s="3">
        <f>+G12-I12</f>
        <v>-4.8632834470884028</v>
      </c>
      <c r="R12" s="3">
        <f>H12/67.19</f>
        <v>13.556057595577125</v>
      </c>
    </row>
    <row r="13" spans="1:25" hidden="1" x14ac:dyDescent="0.2">
      <c r="A13" t="s">
        <v>34</v>
      </c>
      <c r="B13" s="4">
        <v>45513</v>
      </c>
      <c r="C13">
        <v>20</v>
      </c>
      <c r="D13" t="s">
        <v>19</v>
      </c>
      <c r="E13" t="s">
        <v>25</v>
      </c>
      <c r="F13" s="2">
        <v>4.8795333333333003E-2</v>
      </c>
      <c r="G13" s="3">
        <v>33.546666666666702</v>
      </c>
      <c r="H13" s="3">
        <v>894.96717724288806</v>
      </c>
      <c r="I13" s="3">
        <v>39.615194851014699</v>
      </c>
      <c r="J13" s="3">
        <v>39.432247161865199</v>
      </c>
      <c r="K13" s="3">
        <v>1.5569226468178201</v>
      </c>
      <c r="L13" s="1">
        <v>2.4091215546684901E-3</v>
      </c>
      <c r="M13" s="3">
        <v>3.93011482758854</v>
      </c>
      <c r="N13" s="3">
        <v>34.819454193115199</v>
      </c>
      <c r="O13" s="3">
        <v>43.629707336425803</v>
      </c>
      <c r="P13" s="3">
        <v>8.8102531433105504</v>
      </c>
      <c r="Q13" s="3">
        <f>+G13-I13</f>
        <v>-6.068528184347997</v>
      </c>
      <c r="R13" s="3">
        <f>H13/67.19</f>
        <v>13.319946081900403</v>
      </c>
    </row>
    <row r="14" spans="1:25" hidden="1" x14ac:dyDescent="0.2">
      <c r="A14" t="s">
        <v>34</v>
      </c>
      <c r="B14" s="4">
        <v>45534</v>
      </c>
      <c r="C14">
        <v>20</v>
      </c>
      <c r="D14" t="s">
        <v>19</v>
      </c>
      <c r="E14" t="s">
        <v>25</v>
      </c>
      <c r="F14" s="2">
        <v>0.32335766666666699</v>
      </c>
      <c r="G14" s="3">
        <v>29.626666666666701</v>
      </c>
      <c r="H14" s="3">
        <v>894.96717724288806</v>
      </c>
      <c r="I14" s="3">
        <v>31.928983769161999</v>
      </c>
      <c r="J14" s="3">
        <v>31.845293045043899</v>
      </c>
      <c r="K14" s="3">
        <v>0.399977058337318</v>
      </c>
      <c r="L14" s="1">
        <v>6.6640910698887899E-4</v>
      </c>
      <c r="M14" s="3">
        <v>1.2527083894340201</v>
      </c>
      <c r="N14" s="3">
        <v>30.980781555175799</v>
      </c>
      <c r="O14" s="3">
        <v>33.243457794189503</v>
      </c>
      <c r="P14" s="3">
        <v>2.2626762390136701</v>
      </c>
      <c r="Q14" s="3">
        <f>+G14-I14</f>
        <v>-2.302317102495298</v>
      </c>
      <c r="R14" s="3">
        <f>H14/67.19</f>
        <v>13.319946081900403</v>
      </c>
    </row>
    <row r="15" spans="1:25" hidden="1" x14ac:dyDescent="0.2">
      <c r="A15" t="s">
        <v>34</v>
      </c>
      <c r="B15" s="4">
        <v>45513</v>
      </c>
      <c r="C15">
        <v>30</v>
      </c>
      <c r="D15" t="s">
        <v>19</v>
      </c>
      <c r="E15" t="s">
        <v>25</v>
      </c>
      <c r="F15" s="2">
        <v>6.1006333333333003E-2</v>
      </c>
      <c r="G15" s="3">
        <v>35.049999999999997</v>
      </c>
      <c r="H15" s="3">
        <v>1155.9080962800899</v>
      </c>
      <c r="I15" s="3">
        <v>38.669900556076598</v>
      </c>
      <c r="J15" s="3">
        <v>38.7131538391113</v>
      </c>
      <c r="K15" s="3">
        <v>1.0119187960795599</v>
      </c>
      <c r="L15" s="1">
        <v>1.5658037913393601E-3</v>
      </c>
      <c r="M15" s="3">
        <v>2.6168125118712</v>
      </c>
      <c r="N15" s="3">
        <v>33.653984069824197</v>
      </c>
      <c r="O15" s="3">
        <v>41.625118255615199</v>
      </c>
      <c r="P15" s="3">
        <v>7.9711341857910201</v>
      </c>
      <c r="Q15" s="3">
        <f>+G15-I15</f>
        <v>-3.6199005560766011</v>
      </c>
      <c r="R15" s="3">
        <f>H15/67.19</f>
        <v>17.203573393065781</v>
      </c>
    </row>
    <row r="16" spans="1:25" hidden="1" x14ac:dyDescent="0.2">
      <c r="A16" t="s">
        <v>34</v>
      </c>
      <c r="B16" s="4">
        <v>45534</v>
      </c>
      <c r="C16">
        <v>30</v>
      </c>
      <c r="D16" t="s">
        <v>19</v>
      </c>
      <c r="E16" t="s">
        <v>32</v>
      </c>
      <c r="F16" s="2">
        <v>0.27892499999999998</v>
      </c>
      <c r="G16" s="3">
        <v>31.1033333333333</v>
      </c>
      <c r="H16" s="3">
        <v>1155.9080962800899</v>
      </c>
      <c r="I16" s="3">
        <v>32.356588184152002</v>
      </c>
      <c r="J16" s="3">
        <v>32.36962890625</v>
      </c>
      <c r="K16" s="3">
        <v>0.41364482279953901</v>
      </c>
      <c r="L16" s="1">
        <v>6.8918121983871405E-4</v>
      </c>
      <c r="M16" s="3">
        <v>1.27839443530124</v>
      </c>
      <c r="N16" s="3">
        <v>31.326522827148398</v>
      </c>
      <c r="O16" s="3">
        <v>33.956153869628899</v>
      </c>
      <c r="P16" s="3">
        <v>2.6296310424804701</v>
      </c>
      <c r="Q16" s="3">
        <f>+G16-I16</f>
        <v>-1.2532548508187027</v>
      </c>
      <c r="R16" s="3">
        <f>H16/67.19</f>
        <v>17.203573393065781</v>
      </c>
    </row>
    <row r="17" spans="1:18" hidden="1" x14ac:dyDescent="0.2">
      <c r="A17" t="s">
        <v>34</v>
      </c>
      <c r="B17" s="4">
        <v>45513</v>
      </c>
      <c r="C17">
        <v>9</v>
      </c>
      <c r="D17" t="s">
        <v>23</v>
      </c>
      <c r="E17" t="s">
        <v>18</v>
      </c>
      <c r="F17" s="2">
        <v>0.75610333333333302</v>
      </c>
      <c r="G17" s="3">
        <v>31.526666666666699</v>
      </c>
      <c r="H17" s="3">
        <v>952.95404814004405</v>
      </c>
      <c r="I17" s="3">
        <v>40.770578570574898</v>
      </c>
      <c r="J17" s="3">
        <v>41.004247665405302</v>
      </c>
      <c r="K17" s="3">
        <v>0.993549064345429</v>
      </c>
      <c r="L17" s="1">
        <v>1.5373791828563201E-3</v>
      </c>
      <c r="M17" s="3">
        <v>2.43692657592673</v>
      </c>
      <c r="N17" s="3">
        <v>38.2997856140137</v>
      </c>
      <c r="O17" s="3">
        <v>42.867931365966797</v>
      </c>
      <c r="P17" s="3">
        <v>4.5681457519531197</v>
      </c>
      <c r="Q17" s="3">
        <f>+G17-I17</f>
        <v>-9.2439119039081987</v>
      </c>
      <c r="R17" s="3">
        <f>H17/67.19</f>
        <v>14.182974373270488</v>
      </c>
    </row>
    <row r="18" spans="1:18" hidden="1" x14ac:dyDescent="0.2">
      <c r="A18" t="s">
        <v>34</v>
      </c>
      <c r="B18" s="4">
        <v>45534</v>
      </c>
      <c r="C18">
        <v>9</v>
      </c>
      <c r="D18" t="s">
        <v>23</v>
      </c>
      <c r="E18" t="s">
        <v>32</v>
      </c>
      <c r="F18" s="2">
        <v>0.59535800000000005</v>
      </c>
      <c r="G18" s="3">
        <v>26.79</v>
      </c>
      <c r="H18" s="3">
        <v>952.95404814004405</v>
      </c>
      <c r="I18" s="3">
        <v>32.059040698733902</v>
      </c>
      <c r="J18" s="3">
        <v>32.019218444824197</v>
      </c>
      <c r="K18" s="3">
        <v>0.43869186073391703</v>
      </c>
      <c r="L18" s="1">
        <v>7.3091254876030696E-4</v>
      </c>
      <c r="M18" s="3">
        <v>1.36838736023452</v>
      </c>
      <c r="N18" s="3">
        <v>31.0732421875</v>
      </c>
      <c r="O18" s="3">
        <v>34.228809356689503</v>
      </c>
      <c r="P18" s="3">
        <v>3.15556716918945</v>
      </c>
      <c r="Q18" s="3">
        <f>+G18-I18</f>
        <v>-5.2690406987339031</v>
      </c>
      <c r="R18" s="3">
        <f>H18/67.19</f>
        <v>14.182974373270488</v>
      </c>
    </row>
    <row r="19" spans="1:18" hidden="1" x14ac:dyDescent="0.2">
      <c r="A19" t="s">
        <v>34</v>
      </c>
      <c r="B19" s="4">
        <v>45513</v>
      </c>
      <c r="C19">
        <v>15</v>
      </c>
      <c r="D19" t="s">
        <v>23</v>
      </c>
      <c r="E19" t="s">
        <v>18</v>
      </c>
      <c r="F19" s="2">
        <v>4.8150999999999999E-2</v>
      </c>
      <c r="G19" s="3">
        <v>32.770000000000003</v>
      </c>
      <c r="H19" s="3">
        <v>1360.50328227571</v>
      </c>
      <c r="I19" s="3">
        <v>38.340820870125697</v>
      </c>
      <c r="J19" s="3">
        <v>38.065135955810497</v>
      </c>
      <c r="K19" s="3">
        <v>1.0034678624646101</v>
      </c>
      <c r="L19" s="1">
        <v>1.5527271453219999E-3</v>
      </c>
      <c r="M19" s="3">
        <v>2.61723103389915</v>
      </c>
      <c r="N19" s="3">
        <v>36.349647521972699</v>
      </c>
      <c r="O19" s="3">
        <v>42.437618255615199</v>
      </c>
      <c r="P19" s="3">
        <v>6.0879707336425799</v>
      </c>
      <c r="Q19" s="3">
        <f>+G19-I19</f>
        <v>-5.5708208701256936</v>
      </c>
      <c r="R19" s="3">
        <f>H19/67.19</f>
        <v>20.248597741862035</v>
      </c>
    </row>
    <row r="20" spans="1:18" hidden="1" x14ac:dyDescent="0.2">
      <c r="A20" t="s">
        <v>34</v>
      </c>
      <c r="B20" s="4">
        <v>45534</v>
      </c>
      <c r="C20">
        <v>15</v>
      </c>
      <c r="D20" t="s">
        <v>23</v>
      </c>
      <c r="E20" t="s">
        <v>32</v>
      </c>
      <c r="F20" s="2">
        <v>0.172064666666667</v>
      </c>
      <c r="G20" s="3">
        <v>29.78</v>
      </c>
      <c r="H20" s="3">
        <v>1360.50328227571</v>
      </c>
      <c r="I20" s="3">
        <v>32.641605913320099</v>
      </c>
      <c r="J20" s="3">
        <v>32.530017852783203</v>
      </c>
      <c r="K20" s="3">
        <v>0.61871707351415195</v>
      </c>
      <c r="L20" s="1">
        <v>1.0308558549665899E-3</v>
      </c>
      <c r="M20" s="3">
        <v>1.89548600996273</v>
      </c>
      <c r="N20" s="3">
        <v>31.297948837280298</v>
      </c>
      <c r="O20" s="3">
        <v>34.7880668640137</v>
      </c>
      <c r="P20" s="3">
        <v>3.4901180267334002</v>
      </c>
      <c r="Q20" s="3">
        <f>+G20-I20</f>
        <v>-2.8616059133200977</v>
      </c>
      <c r="R20" s="3">
        <f>H20/67.19</f>
        <v>20.248597741862035</v>
      </c>
    </row>
    <row r="21" spans="1:18" hidden="1" x14ac:dyDescent="0.2">
      <c r="A21" t="s">
        <v>34</v>
      </c>
      <c r="B21" s="4">
        <v>45513</v>
      </c>
      <c r="C21">
        <v>28</v>
      </c>
      <c r="D21" t="s">
        <v>23</v>
      </c>
      <c r="E21" t="s">
        <v>21</v>
      </c>
      <c r="F21" s="2">
        <v>6.2447000000000003E-2</v>
      </c>
      <c r="G21" s="3">
        <v>33.876666666666701</v>
      </c>
      <c r="H21" s="3">
        <v>1736.8708971553599</v>
      </c>
      <c r="I21" s="3">
        <v>37.722666939858698</v>
      </c>
      <c r="J21" s="3">
        <v>37.722518920898402</v>
      </c>
      <c r="K21" s="3">
        <v>0.77984447306708404</v>
      </c>
      <c r="L21" s="1">
        <v>1.20670100932435E-3</v>
      </c>
      <c r="M21" s="3">
        <v>2.0673100189612601</v>
      </c>
      <c r="N21" s="3">
        <v>34.237892150878899</v>
      </c>
      <c r="O21" s="3">
        <v>39.923885345458999</v>
      </c>
      <c r="P21" s="3">
        <v>5.6859931945800799</v>
      </c>
      <c r="Q21" s="3">
        <f>+G21-I21</f>
        <v>-3.8460002731919971</v>
      </c>
      <c r="R21" s="3">
        <f>H21/67.19</f>
        <v>25.850139859433845</v>
      </c>
    </row>
    <row r="22" spans="1:18" hidden="1" x14ac:dyDescent="0.2">
      <c r="A22" t="s">
        <v>34</v>
      </c>
      <c r="B22" s="4">
        <v>45534</v>
      </c>
      <c r="C22">
        <v>28</v>
      </c>
      <c r="D22" t="s">
        <v>23</v>
      </c>
      <c r="E22" t="s">
        <v>32</v>
      </c>
      <c r="F22" s="2">
        <v>0.368850333333333</v>
      </c>
      <c r="G22" s="3">
        <v>31.46</v>
      </c>
      <c r="H22" s="3">
        <v>1736.8708971553599</v>
      </c>
      <c r="I22" s="3">
        <v>32.296711001344299</v>
      </c>
      <c r="J22" s="3">
        <v>32.351795196533203</v>
      </c>
      <c r="K22" s="3">
        <v>0.59716804261595402</v>
      </c>
      <c r="L22" s="1">
        <v>9.9495261967344896E-4</v>
      </c>
      <c r="M22" s="3">
        <v>1.8490057473378601</v>
      </c>
      <c r="N22" s="3">
        <v>30.775547027587901</v>
      </c>
      <c r="O22" s="3">
        <v>33.744842529296903</v>
      </c>
      <c r="P22" s="3">
        <v>2.9692955017089799</v>
      </c>
      <c r="Q22" s="3">
        <f>+G22-I22</f>
        <v>-0.83671100134429821</v>
      </c>
      <c r="R22" s="3">
        <f>H22/67.19</f>
        <v>25.850139859433845</v>
      </c>
    </row>
    <row r="23" spans="1:18" hidden="1" x14ac:dyDescent="0.2">
      <c r="A23" t="s">
        <v>34</v>
      </c>
      <c r="B23" s="4">
        <v>45513</v>
      </c>
      <c r="C23">
        <v>10</v>
      </c>
      <c r="D23" t="s">
        <v>17</v>
      </c>
      <c r="E23" t="s">
        <v>18</v>
      </c>
      <c r="F23" s="2">
        <v>4.0697333333333002E-2</v>
      </c>
      <c r="G23" s="3">
        <v>34.063333333333297</v>
      </c>
      <c r="H23" s="3">
        <v>856.12691466083197</v>
      </c>
      <c r="I23" s="3">
        <v>39.929108043496903</v>
      </c>
      <c r="J23" s="3">
        <v>40.036211013793903</v>
      </c>
      <c r="K23" s="3">
        <v>1.1485817755216401</v>
      </c>
      <c r="L23" s="1">
        <v>1.7772707708788101E-3</v>
      </c>
      <c r="M23" s="3">
        <v>2.8765525497600102</v>
      </c>
      <c r="N23" s="3">
        <v>37.035118103027301</v>
      </c>
      <c r="O23" s="3">
        <v>42.953319549560497</v>
      </c>
      <c r="P23" s="3">
        <v>5.9182014465331996</v>
      </c>
      <c r="Q23" s="3">
        <f>+G23-I23</f>
        <v>-5.8657747101636062</v>
      </c>
      <c r="R23" s="3">
        <f>H23/67.19</f>
        <v>12.741879962209138</v>
      </c>
    </row>
    <row r="24" spans="1:18" hidden="1" x14ac:dyDescent="0.2">
      <c r="A24" t="s">
        <v>34</v>
      </c>
      <c r="B24" s="4">
        <v>45534</v>
      </c>
      <c r="C24">
        <v>10</v>
      </c>
      <c r="D24" t="s">
        <v>17</v>
      </c>
      <c r="E24" t="s">
        <v>31</v>
      </c>
      <c r="F24" s="2">
        <v>0.43315700000000001</v>
      </c>
      <c r="G24" s="3">
        <v>27.38</v>
      </c>
      <c r="H24" s="3">
        <v>856.12691466083197</v>
      </c>
      <c r="I24" s="3">
        <v>32.1056874005548</v>
      </c>
      <c r="J24" s="3">
        <v>32.090166091918903</v>
      </c>
      <c r="K24" s="3">
        <v>0.23663937144541999</v>
      </c>
      <c r="L24" s="1">
        <v>3.9426919348548701E-4</v>
      </c>
      <c r="M24" s="3">
        <v>0.73706371239798096</v>
      </c>
      <c r="N24" s="3">
        <v>31.500585556030298</v>
      </c>
      <c r="O24" s="3">
        <v>32.710117340087898</v>
      </c>
      <c r="P24" s="3">
        <v>1.2095317840576201</v>
      </c>
      <c r="Q24" s="3">
        <f>+G24-I24</f>
        <v>-4.7256874005548006</v>
      </c>
      <c r="R24" s="3">
        <f>H24/67.19</f>
        <v>12.741879962209138</v>
      </c>
    </row>
    <row r="25" spans="1:18" hidden="1" x14ac:dyDescent="0.2">
      <c r="A25" t="s">
        <v>34</v>
      </c>
      <c r="B25" s="4">
        <v>45513</v>
      </c>
      <c r="C25">
        <v>13</v>
      </c>
      <c r="D25" t="s">
        <v>17</v>
      </c>
      <c r="E25" t="s">
        <v>21</v>
      </c>
      <c r="F25" s="2">
        <v>4.8692333333332997E-2</v>
      </c>
      <c r="G25" s="3">
        <v>32.5566666666667</v>
      </c>
      <c r="H25" s="3">
        <v>586.43326039387296</v>
      </c>
      <c r="I25" s="3">
        <v>39.013922946648997</v>
      </c>
      <c r="J25" s="3">
        <v>39.095664978027301</v>
      </c>
      <c r="K25" s="3">
        <v>0.92015845887630499</v>
      </c>
      <c r="L25" s="1">
        <v>1.4238174141279799E-3</v>
      </c>
      <c r="M25" s="3">
        <v>2.3585386687070899</v>
      </c>
      <c r="N25" s="3">
        <v>36.136894226074197</v>
      </c>
      <c r="O25" s="3">
        <v>41.70263671875</v>
      </c>
      <c r="P25" s="3">
        <v>5.5657424926757804</v>
      </c>
      <c r="Q25" s="3">
        <f>+G25-I25</f>
        <v>-6.4572562799822961</v>
      </c>
      <c r="R25" s="3">
        <f>H25/67.19</f>
        <v>8.7279842297049104</v>
      </c>
    </row>
    <row r="26" spans="1:18" hidden="1" x14ac:dyDescent="0.2">
      <c r="A26" t="s">
        <v>34</v>
      </c>
      <c r="B26" s="4">
        <v>45534</v>
      </c>
      <c r="C26">
        <v>13</v>
      </c>
      <c r="D26" t="s">
        <v>17</v>
      </c>
      <c r="E26" t="s">
        <v>25</v>
      </c>
      <c r="F26" s="2">
        <v>0.129979333333333</v>
      </c>
      <c r="G26" s="3">
        <v>29.24</v>
      </c>
      <c r="H26" s="3">
        <v>586.43326039387296</v>
      </c>
      <c r="I26" s="3">
        <v>33.700189934593503</v>
      </c>
      <c r="J26" s="3">
        <v>33.591377258300803</v>
      </c>
      <c r="K26" s="3">
        <v>0.65160137706812304</v>
      </c>
      <c r="L26" s="1">
        <v>1.0856449957649401E-3</v>
      </c>
      <c r="M26" s="3">
        <v>1.9335243461024201</v>
      </c>
      <c r="N26" s="3">
        <v>32.467929840087898</v>
      </c>
      <c r="O26" s="3">
        <v>35.266857147216797</v>
      </c>
      <c r="P26" s="3">
        <v>2.7989273071289098</v>
      </c>
      <c r="Q26" s="3">
        <f>+G26-I26</f>
        <v>-4.4601899345935045</v>
      </c>
      <c r="R26" s="3">
        <f>H26/67.19</f>
        <v>8.7279842297049104</v>
      </c>
    </row>
    <row r="27" spans="1:18" hidden="1" x14ac:dyDescent="0.2">
      <c r="A27" t="s">
        <v>34</v>
      </c>
      <c r="B27" s="4">
        <v>45513</v>
      </c>
      <c r="C27">
        <v>31</v>
      </c>
      <c r="D27" t="s">
        <v>17</v>
      </c>
      <c r="E27" t="s">
        <v>21</v>
      </c>
      <c r="F27" s="2">
        <v>9.0889666666666993E-2</v>
      </c>
      <c r="G27" s="3">
        <v>33.766666666666701</v>
      </c>
      <c r="H27" s="3">
        <v>691.46608315098501</v>
      </c>
      <c r="I27" s="3">
        <v>37.122405780920701</v>
      </c>
      <c r="J27" s="3">
        <v>37.144989013671903</v>
      </c>
      <c r="K27" s="3">
        <v>1.6044885040630401</v>
      </c>
      <c r="L27" s="1">
        <v>2.48272311232452E-3</v>
      </c>
      <c r="M27" s="3">
        <v>4.3221565798617396</v>
      </c>
      <c r="N27" s="3">
        <v>31.911777496337901</v>
      </c>
      <c r="O27" s="3">
        <v>40.548282623291001</v>
      </c>
      <c r="P27" s="3">
        <v>8.6365051269531197</v>
      </c>
      <c r="Q27" s="3">
        <f>+G27-I27</f>
        <v>-3.3557391142539998</v>
      </c>
      <c r="R27" s="3">
        <f>H27/67.19</f>
        <v>10.29120528577147</v>
      </c>
    </row>
    <row r="28" spans="1:18" hidden="1" x14ac:dyDescent="0.2">
      <c r="A28" t="s">
        <v>34</v>
      </c>
      <c r="B28" s="4">
        <v>45534</v>
      </c>
      <c r="C28">
        <v>31</v>
      </c>
      <c r="D28" t="s">
        <v>17</v>
      </c>
      <c r="E28" t="s">
        <v>31</v>
      </c>
      <c r="F28" s="2">
        <v>5.8475333333332997E-2</v>
      </c>
      <c r="G28" s="3">
        <v>31.823333333333299</v>
      </c>
      <c r="H28" s="3">
        <v>691.46608315098501</v>
      </c>
      <c r="I28" s="3">
        <v>30.255547084456499</v>
      </c>
      <c r="J28" s="3">
        <v>30.254531860351602</v>
      </c>
      <c r="K28" s="3">
        <v>0.48963100747730198</v>
      </c>
      <c r="L28" s="1">
        <v>8.1578319467471899E-4</v>
      </c>
      <c r="M28" s="3">
        <v>1.61831814215928</v>
      </c>
      <c r="N28" s="3">
        <v>28.315586090087901</v>
      </c>
      <c r="O28" s="3">
        <v>31.527168273925799</v>
      </c>
      <c r="P28" s="3">
        <v>3.2115821838378902</v>
      </c>
      <c r="Q28" s="3">
        <f>+G28-I28</f>
        <v>1.5677862488768</v>
      </c>
      <c r="R28" s="3">
        <f>H28/67.19</f>
        <v>10.29120528577147</v>
      </c>
    </row>
    <row r="29" spans="1:18" x14ac:dyDescent="0.2">
      <c r="A29" t="s">
        <v>34</v>
      </c>
      <c r="B29" s="4">
        <v>45513</v>
      </c>
      <c r="C29">
        <v>3</v>
      </c>
      <c r="D29" t="s">
        <v>30</v>
      </c>
      <c r="E29" t="s">
        <v>21</v>
      </c>
      <c r="F29" s="2">
        <v>0.63957966666666699</v>
      </c>
      <c r="G29" s="3">
        <v>31.446666666666701</v>
      </c>
      <c r="H29" s="3">
        <v>1321.11597374179</v>
      </c>
      <c r="I29" s="3">
        <v>38.646962141660303</v>
      </c>
      <c r="J29" s="3">
        <v>38.500526428222699</v>
      </c>
      <c r="K29" s="3">
        <v>1.0475529958420999</v>
      </c>
      <c r="L29" s="1">
        <v>1.62094276623111E-3</v>
      </c>
      <c r="M29" s="3">
        <v>2.71057008828351</v>
      </c>
      <c r="N29" s="3">
        <v>35.162773132324197</v>
      </c>
      <c r="O29" s="3">
        <v>43.505195617675803</v>
      </c>
      <c r="P29" s="3">
        <v>8.3424224853515607</v>
      </c>
      <c r="Q29" s="3">
        <f>+G29-I29</f>
        <v>-7.2002954749936023</v>
      </c>
      <c r="R29" s="3">
        <f>H29/67.19</f>
        <v>19.66238984583703</v>
      </c>
    </row>
    <row r="30" spans="1:18" x14ac:dyDescent="0.2">
      <c r="A30" t="s">
        <v>34</v>
      </c>
      <c r="B30" s="4">
        <v>45513</v>
      </c>
      <c r="C30">
        <v>24</v>
      </c>
      <c r="D30" t="s">
        <v>30</v>
      </c>
      <c r="E30" t="s">
        <v>21</v>
      </c>
      <c r="F30" s="2">
        <v>5.2981333333332999E-2</v>
      </c>
      <c r="G30" s="3">
        <v>31.726666666666699</v>
      </c>
      <c r="H30" s="3">
        <v>1613.7855579868699</v>
      </c>
      <c r="I30" s="3">
        <v>39.687305171889697</v>
      </c>
      <c r="J30" s="3">
        <v>39.807422637939503</v>
      </c>
      <c r="K30" s="3">
        <v>1.0618120821802901</v>
      </c>
      <c r="L30" s="1">
        <v>1.64300672189226E-3</v>
      </c>
      <c r="M30" s="3">
        <v>2.6754451519987899</v>
      </c>
      <c r="N30" s="3">
        <v>36.884883880615199</v>
      </c>
      <c r="O30" s="3">
        <v>42.680389404296903</v>
      </c>
      <c r="P30" s="3">
        <v>5.7955055236816397</v>
      </c>
      <c r="Q30" s="3">
        <f>+G30-I30</f>
        <v>-7.9606385052229989</v>
      </c>
      <c r="R30" s="3">
        <f>H30/67.19</f>
        <v>24.018240184355857</v>
      </c>
    </row>
    <row r="31" spans="1:18" x14ac:dyDescent="0.2">
      <c r="A31" t="s">
        <v>34</v>
      </c>
      <c r="B31" s="4">
        <v>45513</v>
      </c>
      <c r="C31">
        <v>32</v>
      </c>
      <c r="D31" t="s">
        <v>30</v>
      </c>
      <c r="E31" t="s">
        <v>18</v>
      </c>
      <c r="F31" s="2">
        <v>8.5517999999999997E-2</v>
      </c>
      <c r="G31" s="3">
        <v>33.5133333333333</v>
      </c>
      <c r="H31" s="3">
        <v>1548.1400437636801</v>
      </c>
      <c r="I31" s="3">
        <v>37.246629607682998</v>
      </c>
      <c r="J31" s="3">
        <v>37.027490615844698</v>
      </c>
      <c r="K31" s="3">
        <v>1.3392707934415</v>
      </c>
      <c r="L31" s="1">
        <v>2.0723355412758798E-3</v>
      </c>
      <c r="M31" s="3">
        <v>3.5956831733447499</v>
      </c>
      <c r="N31" s="3">
        <v>33.550254821777301</v>
      </c>
      <c r="O31" s="3">
        <v>42.120567321777301</v>
      </c>
      <c r="P31" s="3">
        <v>8.5703125</v>
      </c>
      <c r="Q31" s="3">
        <f>+G31-I31</f>
        <v>-3.7332962743496978</v>
      </c>
      <c r="R31" s="3">
        <f>H31/67.19</f>
        <v>23.041227024314335</v>
      </c>
    </row>
    <row r="32" spans="1:18" hidden="1" x14ac:dyDescent="0.2">
      <c r="A32" t="s">
        <v>34</v>
      </c>
      <c r="B32" s="4">
        <v>45513</v>
      </c>
      <c r="C32">
        <v>2</v>
      </c>
      <c r="D32" t="s">
        <v>24</v>
      </c>
      <c r="E32" t="s">
        <v>16</v>
      </c>
      <c r="F32" s="2">
        <v>0.67524366666666702</v>
      </c>
      <c r="G32" s="3">
        <v>30.19</v>
      </c>
      <c r="H32" s="3">
        <v>1449.6717724288801</v>
      </c>
      <c r="I32" s="3">
        <v>39.346141312702599</v>
      </c>
      <c r="J32" s="3">
        <v>39.2683200836182</v>
      </c>
      <c r="K32" s="3">
        <v>0.69014458063430395</v>
      </c>
      <c r="L32" s="1">
        <v>1.0679028842197199E-3</v>
      </c>
      <c r="M32" s="3">
        <v>1.75403370599774</v>
      </c>
      <c r="N32" s="3">
        <v>36.869277954101598</v>
      </c>
      <c r="O32" s="3">
        <v>41.710899353027301</v>
      </c>
      <c r="P32" s="3">
        <v>4.8416213989257804</v>
      </c>
      <c r="Q32" s="3">
        <f>+G32-I32</f>
        <v>-9.1561413127025979</v>
      </c>
      <c r="R32" s="3">
        <f>H32/67.19</f>
        <v>21.575707284251827</v>
      </c>
    </row>
    <row r="33" spans="1:18" hidden="1" x14ac:dyDescent="0.2">
      <c r="A33" t="s">
        <v>34</v>
      </c>
      <c r="B33" s="4">
        <v>45534</v>
      </c>
      <c r="C33">
        <v>2</v>
      </c>
      <c r="D33" t="s">
        <v>24</v>
      </c>
      <c r="E33" t="s">
        <v>32</v>
      </c>
      <c r="F33" s="2">
        <v>0.27213733333333301</v>
      </c>
      <c r="G33" s="3">
        <v>26.13</v>
      </c>
      <c r="H33" s="3">
        <v>1449.6717724288801</v>
      </c>
      <c r="I33" s="3">
        <v>33.291183971882703</v>
      </c>
      <c r="J33" s="3">
        <v>33.162158966064503</v>
      </c>
      <c r="K33" s="3">
        <v>0.61818741400072397</v>
      </c>
      <c r="L33" s="1">
        <v>1.02997337954458E-3</v>
      </c>
      <c r="M33" s="3">
        <v>1.85691026946604</v>
      </c>
      <c r="N33" s="3">
        <v>32.117031097412102</v>
      </c>
      <c r="O33" s="3">
        <v>35.172950744628899</v>
      </c>
      <c r="P33" s="3">
        <v>3.0559196472168</v>
      </c>
      <c r="Q33" s="3">
        <f>+G33-I33</f>
        <v>-7.1611839718827035</v>
      </c>
      <c r="R33" s="3">
        <f>H33/67.19</f>
        <v>21.575707284251827</v>
      </c>
    </row>
    <row r="34" spans="1:18" hidden="1" x14ac:dyDescent="0.2">
      <c r="A34" t="s">
        <v>34</v>
      </c>
      <c r="B34" s="4">
        <v>45513</v>
      </c>
      <c r="C34">
        <v>16</v>
      </c>
      <c r="D34" t="s">
        <v>24</v>
      </c>
      <c r="E34" t="s">
        <v>25</v>
      </c>
      <c r="F34" s="2">
        <v>2.5597999999999999E-2</v>
      </c>
      <c r="G34" s="3">
        <v>32.9166666666667</v>
      </c>
      <c r="H34" s="3">
        <v>1636.2144420131301</v>
      </c>
      <c r="I34" s="3">
        <v>38.072920134500599</v>
      </c>
      <c r="J34" s="3">
        <v>38.129119873046903</v>
      </c>
      <c r="K34" s="3">
        <v>0.89783959061858098</v>
      </c>
      <c r="L34" s="1">
        <v>1.38928206537101E-3</v>
      </c>
      <c r="M34" s="3">
        <v>2.35821047465436</v>
      </c>
      <c r="N34" s="3">
        <v>34.3193359375</v>
      </c>
      <c r="O34" s="3">
        <v>41.831405639648402</v>
      </c>
      <c r="P34" s="3">
        <v>7.5120697021484402</v>
      </c>
      <c r="Q34" s="3">
        <f>+G34-I34</f>
        <v>-5.1562534678338992</v>
      </c>
      <c r="R34" s="3">
        <f>H34/67.19</f>
        <v>24.352053014036763</v>
      </c>
    </row>
    <row r="35" spans="1:18" hidden="1" x14ac:dyDescent="0.2">
      <c r="A35" t="s">
        <v>34</v>
      </c>
      <c r="B35" s="4">
        <v>45534</v>
      </c>
      <c r="C35">
        <v>16</v>
      </c>
      <c r="D35" t="s">
        <v>24</v>
      </c>
      <c r="E35" t="s">
        <v>32</v>
      </c>
      <c r="F35" s="2">
        <v>0.29994866666666697</v>
      </c>
      <c r="G35" s="3">
        <v>29.5766666666667</v>
      </c>
      <c r="H35" s="3">
        <v>1636.2144420131301</v>
      </c>
      <c r="I35" s="3">
        <v>32.469590929286198</v>
      </c>
      <c r="J35" s="3">
        <v>32.452081680297901</v>
      </c>
      <c r="K35" s="3">
        <v>0.54478348974837598</v>
      </c>
      <c r="L35" s="1">
        <v>9.07673756126597E-4</v>
      </c>
      <c r="M35" s="3">
        <v>1.67782677316395</v>
      </c>
      <c r="N35" s="3">
        <v>31.441757202148398</v>
      </c>
      <c r="O35" s="3">
        <v>34.570137023925803</v>
      </c>
      <c r="P35" s="3">
        <v>3.1283798217773402</v>
      </c>
      <c r="Q35" s="3">
        <f>+G35-I35</f>
        <v>-2.8929242626194984</v>
      </c>
      <c r="R35" s="3">
        <f>H35/67.19</f>
        <v>24.352053014036763</v>
      </c>
    </row>
    <row r="36" spans="1:18" hidden="1" x14ac:dyDescent="0.2">
      <c r="A36" t="s">
        <v>34</v>
      </c>
      <c r="B36" s="4">
        <v>45513</v>
      </c>
      <c r="C36">
        <v>25</v>
      </c>
      <c r="D36" t="s">
        <v>24</v>
      </c>
      <c r="E36" t="s">
        <v>25</v>
      </c>
      <c r="F36" s="2">
        <v>6.1534666666667001E-2</v>
      </c>
      <c r="G36" s="3">
        <v>33.163333333333298</v>
      </c>
      <c r="H36" s="3">
        <v>1796.4989059080999</v>
      </c>
      <c r="I36" s="3">
        <v>38.555280134149299</v>
      </c>
      <c r="J36" s="3">
        <v>38.543340682983398</v>
      </c>
      <c r="K36" s="3">
        <v>0.96087005147578397</v>
      </c>
      <c r="L36" s="1">
        <v>1.4868129492348499E-3</v>
      </c>
      <c r="M36" s="3">
        <v>2.49218796526061</v>
      </c>
      <c r="N36" s="3">
        <v>35.864627838134801</v>
      </c>
      <c r="O36" s="3">
        <v>41.979373931884801</v>
      </c>
      <c r="P36" s="3">
        <v>6.11474609375</v>
      </c>
      <c r="Q36" s="3">
        <f>+G36-I36</f>
        <v>-5.391946800816001</v>
      </c>
      <c r="R36" s="3">
        <f>H36/67.19</f>
        <v>26.737593479805032</v>
      </c>
    </row>
    <row r="37" spans="1:18" hidden="1" x14ac:dyDescent="0.2">
      <c r="A37" t="s">
        <v>34</v>
      </c>
      <c r="B37" s="4">
        <v>45534</v>
      </c>
      <c r="C37">
        <v>25</v>
      </c>
      <c r="D37" t="s">
        <v>24</v>
      </c>
      <c r="E37" t="s">
        <v>25</v>
      </c>
      <c r="F37" s="2">
        <v>1.03830466666667</v>
      </c>
      <c r="G37" s="3">
        <v>30.956666666666699</v>
      </c>
      <c r="H37" s="3">
        <v>1796.4989059080999</v>
      </c>
      <c r="I37" s="3">
        <v>33.362519234559301</v>
      </c>
      <c r="J37" s="3">
        <v>33.344678878784201</v>
      </c>
      <c r="K37" s="3">
        <v>0.484037305476822</v>
      </c>
      <c r="L37" s="1">
        <v>8.0646342525994899E-4</v>
      </c>
      <c r="M37" s="3">
        <v>1.45084159284776</v>
      </c>
      <c r="N37" s="3">
        <v>32.233787536621101</v>
      </c>
      <c r="O37" s="3">
        <v>34.962345123291001</v>
      </c>
      <c r="P37" s="3">
        <v>2.7285575866699201</v>
      </c>
      <c r="Q37" s="3">
        <f>+G37-I37</f>
        <v>-2.4058525678926017</v>
      </c>
      <c r="R37" s="3">
        <f>H37/67.19</f>
        <v>26.737593479805032</v>
      </c>
    </row>
    <row r="38" spans="1:18" hidden="1" x14ac:dyDescent="0.2">
      <c r="A38" t="s">
        <v>34</v>
      </c>
      <c r="B38" s="4">
        <v>45513</v>
      </c>
      <c r="C38">
        <v>1</v>
      </c>
      <c r="D38" t="s">
        <v>15</v>
      </c>
      <c r="E38" t="s">
        <v>16</v>
      </c>
      <c r="F38" s="2">
        <v>0.89290066666666701</v>
      </c>
      <c r="G38" s="3">
        <v>29.24</v>
      </c>
      <c r="H38" s="3">
        <v>1516.9584245076601</v>
      </c>
      <c r="I38" s="3">
        <v>39.870056021250001</v>
      </c>
      <c r="J38" s="3">
        <v>39.572010040283203</v>
      </c>
      <c r="K38" s="3">
        <v>1.2133071759712499</v>
      </c>
      <c r="L38" s="1">
        <v>1.8774243383514199E-3</v>
      </c>
      <c r="M38" s="3">
        <v>3.04315392816248</v>
      </c>
      <c r="N38" s="3">
        <v>37.72802734375</v>
      </c>
      <c r="O38" s="3">
        <v>44.525623321533203</v>
      </c>
      <c r="P38" s="3">
        <v>6.7975959777831996</v>
      </c>
      <c r="Q38" s="3">
        <f>+G38-I38</f>
        <v>-10.630056021250002</v>
      </c>
      <c r="R38" s="3">
        <f>H38/67.19</f>
        <v>22.577145773294539</v>
      </c>
    </row>
    <row r="39" spans="1:18" hidden="1" x14ac:dyDescent="0.2">
      <c r="A39" t="s">
        <v>34</v>
      </c>
      <c r="B39" s="4">
        <v>45534</v>
      </c>
      <c r="C39">
        <v>1</v>
      </c>
      <c r="D39" t="s">
        <v>15</v>
      </c>
      <c r="E39" t="s">
        <v>31</v>
      </c>
      <c r="F39" s="2">
        <v>0.23831533333333299</v>
      </c>
      <c r="G39" s="3">
        <v>25.7566666666667</v>
      </c>
      <c r="H39" s="3">
        <v>1516.9584245076601</v>
      </c>
      <c r="I39" s="3">
        <v>33.461323448224299</v>
      </c>
      <c r="J39" s="3">
        <v>33.440311431884801</v>
      </c>
      <c r="K39" s="3">
        <v>0.51924300298402204</v>
      </c>
      <c r="L39" s="1">
        <v>8.6512028306629798E-4</v>
      </c>
      <c r="M39" s="3">
        <v>1.5517706697628499</v>
      </c>
      <c r="N39" s="3">
        <v>32.337265014648402</v>
      </c>
      <c r="O39" s="3">
        <v>34.719532012939503</v>
      </c>
      <c r="P39" s="3">
        <v>2.3822669982910201</v>
      </c>
      <c r="Q39" s="3">
        <f>+G39-I39</f>
        <v>-7.704656781557599</v>
      </c>
      <c r="R39" s="3">
        <f>H39/67.19</f>
        <v>22.577145773294539</v>
      </c>
    </row>
    <row r="40" spans="1:18" hidden="1" x14ac:dyDescent="0.2">
      <c r="A40" t="s">
        <v>34</v>
      </c>
      <c r="B40" s="4">
        <v>45513</v>
      </c>
      <c r="C40">
        <v>21</v>
      </c>
      <c r="D40" t="s">
        <v>15</v>
      </c>
      <c r="E40" t="s">
        <v>16</v>
      </c>
      <c r="F40" s="2">
        <v>3.1484333333333003E-2</v>
      </c>
      <c r="G40" s="3">
        <v>31.793333333333301</v>
      </c>
      <c r="H40" s="3">
        <v>1430.52516411379</v>
      </c>
      <c r="I40" s="3">
        <v>38.759491115642398</v>
      </c>
      <c r="J40" s="3">
        <v>38.7436332702637</v>
      </c>
      <c r="K40" s="3">
        <v>1.2762721206244301</v>
      </c>
      <c r="L40" s="1">
        <v>1.9748538449890999E-3</v>
      </c>
      <c r="M40" s="3">
        <v>3.2927989606895598</v>
      </c>
      <c r="N40" s="3">
        <v>34.9072265625</v>
      </c>
      <c r="O40" s="3">
        <v>42.63818359375</v>
      </c>
      <c r="P40" s="3">
        <v>7.73095703125</v>
      </c>
      <c r="Q40" s="3">
        <f>+G40-I40</f>
        <v>-6.9661577823090965</v>
      </c>
      <c r="R40" s="3">
        <f>H40/67.19</f>
        <v>21.290745112573152</v>
      </c>
    </row>
    <row r="41" spans="1:18" hidden="1" x14ac:dyDescent="0.2">
      <c r="A41" t="s">
        <v>34</v>
      </c>
      <c r="B41" s="4">
        <v>45534</v>
      </c>
      <c r="C41">
        <v>21</v>
      </c>
      <c r="D41" t="s">
        <v>15</v>
      </c>
      <c r="E41" t="s">
        <v>32</v>
      </c>
      <c r="F41" s="2">
        <v>0.39602533333333301</v>
      </c>
      <c r="G41" s="3">
        <v>29.2366666666667</v>
      </c>
      <c r="H41" s="3">
        <v>1430.52516411379</v>
      </c>
      <c r="I41" s="3">
        <v>32.262474721283198</v>
      </c>
      <c r="J41" s="3">
        <v>32.183906555175803</v>
      </c>
      <c r="K41" s="3">
        <v>0.37571935533220202</v>
      </c>
      <c r="L41" s="1">
        <v>6.2599290345850605E-4</v>
      </c>
      <c r="M41" s="3">
        <v>1.1645707856513099</v>
      </c>
      <c r="N41" s="3">
        <v>31.311817169189499</v>
      </c>
      <c r="O41" s="3">
        <v>33.896560668945298</v>
      </c>
      <c r="P41" s="3">
        <v>2.5847434997558598</v>
      </c>
      <c r="Q41" s="3">
        <f>+G41-I41</f>
        <v>-3.0258080546164976</v>
      </c>
      <c r="R41" s="3">
        <f>H41/67.19</f>
        <v>21.290745112573152</v>
      </c>
    </row>
    <row r="42" spans="1:18" hidden="1" x14ac:dyDescent="0.2">
      <c r="A42" t="s">
        <v>34</v>
      </c>
      <c r="B42" s="4">
        <v>45513</v>
      </c>
      <c r="C42">
        <v>26</v>
      </c>
      <c r="D42" t="s">
        <v>15</v>
      </c>
      <c r="E42" t="s">
        <v>25</v>
      </c>
      <c r="F42" s="2">
        <v>6.3075000000000006E-2</v>
      </c>
      <c r="G42" s="3">
        <v>33.663333333333298</v>
      </c>
      <c r="H42" s="3">
        <v>1636.76148796499</v>
      </c>
      <c r="I42" s="3">
        <v>39.3719320299898</v>
      </c>
      <c r="J42" s="3">
        <v>39.215232849121101</v>
      </c>
      <c r="K42" s="3">
        <v>1.0892290609511099</v>
      </c>
      <c r="L42" s="1">
        <v>1.68543068859071E-3</v>
      </c>
      <c r="M42" s="3">
        <v>2.7665115852619002</v>
      </c>
      <c r="N42" s="3">
        <v>36.507247924804702</v>
      </c>
      <c r="O42" s="3">
        <v>42.527694702148402</v>
      </c>
      <c r="P42" s="3">
        <v>6.02044677734375</v>
      </c>
      <c r="Q42" s="3">
        <f>+G42-I42</f>
        <v>-5.7085986966565017</v>
      </c>
      <c r="R42" s="3">
        <f>H42/67.19</f>
        <v>24.360194790370443</v>
      </c>
    </row>
    <row r="43" spans="1:18" hidden="1" x14ac:dyDescent="0.2">
      <c r="A43" t="s">
        <v>34</v>
      </c>
      <c r="B43" s="4">
        <v>45534</v>
      </c>
      <c r="C43">
        <v>26</v>
      </c>
      <c r="D43" t="s">
        <v>15</v>
      </c>
      <c r="E43" t="s">
        <v>32</v>
      </c>
      <c r="F43" s="2">
        <v>0.95992533333333296</v>
      </c>
      <c r="G43" s="3">
        <v>30.6466666666667</v>
      </c>
      <c r="H43" s="3">
        <v>1636.76148796499</v>
      </c>
      <c r="I43" s="3">
        <v>32.5214406353331</v>
      </c>
      <c r="J43" s="3">
        <v>32.454238891601598</v>
      </c>
      <c r="K43" s="3">
        <v>0.48428667541096398</v>
      </c>
      <c r="L43" s="1">
        <v>8.0687890507724798E-4</v>
      </c>
      <c r="M43" s="3">
        <v>1.48913045040449</v>
      </c>
      <c r="N43" s="3">
        <v>31.4629096984863</v>
      </c>
      <c r="O43" s="3">
        <v>34.935840606689503</v>
      </c>
      <c r="P43" s="3">
        <v>3.4729309082031201</v>
      </c>
      <c r="Q43" s="3">
        <f>+G43-I43</f>
        <v>-1.8747739686663998</v>
      </c>
      <c r="R43" s="3">
        <f>H43/67.19</f>
        <v>24.360194790370443</v>
      </c>
    </row>
    <row r="44" spans="1:18" hidden="1" x14ac:dyDescent="0.2">
      <c r="A44" t="s">
        <v>35</v>
      </c>
      <c r="B44" s="4">
        <v>45513</v>
      </c>
      <c r="C44">
        <v>40</v>
      </c>
      <c r="D44" t="s">
        <v>27</v>
      </c>
      <c r="E44" t="s">
        <v>21</v>
      </c>
      <c r="F44" s="2">
        <v>0.52647100000000002</v>
      </c>
      <c r="G44" s="3">
        <v>29.316666666666698</v>
      </c>
      <c r="H44" s="3">
        <v>3928.3369803063401</v>
      </c>
      <c r="I44" s="3">
        <v>30.742936749291399</v>
      </c>
      <c r="J44" s="3">
        <v>30.8739557266235</v>
      </c>
      <c r="K44" s="3">
        <v>0.83231406687068998</v>
      </c>
      <c r="L44" s="1">
        <v>1.28789041822358E-3</v>
      </c>
      <c r="M44" s="3">
        <v>2.7073342851342002</v>
      </c>
      <c r="N44" s="3">
        <v>27.161582946777301</v>
      </c>
      <c r="O44" s="3">
        <v>32.352657318115199</v>
      </c>
      <c r="P44" s="3">
        <v>5.1910743713378897</v>
      </c>
      <c r="Q44" s="3">
        <f>+G44-I44</f>
        <v>-1.4262700826247006</v>
      </c>
      <c r="R44" s="3">
        <f>H44/67.19</f>
        <v>58.466095852155682</v>
      </c>
    </row>
    <row r="45" spans="1:18" hidden="1" x14ac:dyDescent="0.2">
      <c r="A45" t="s">
        <v>35</v>
      </c>
      <c r="B45" s="4">
        <v>45513</v>
      </c>
      <c r="C45">
        <v>54</v>
      </c>
      <c r="D45" t="s">
        <v>27</v>
      </c>
      <c r="E45" t="s">
        <v>18</v>
      </c>
      <c r="F45" s="2">
        <v>0.193602</v>
      </c>
      <c r="G45" s="3">
        <v>31.613333333333301</v>
      </c>
      <c r="H45" s="3">
        <v>4579.8687089715504</v>
      </c>
      <c r="I45" s="3">
        <v>29.9605727474957</v>
      </c>
      <c r="J45" s="3">
        <v>30.0922946929932</v>
      </c>
      <c r="K45" s="3">
        <v>0.93986496564754196</v>
      </c>
      <c r="L45" s="1">
        <v>1.4543104963159999E-3</v>
      </c>
      <c r="M45" s="3">
        <v>3.1370060030848501</v>
      </c>
      <c r="N45" s="3">
        <v>26.6103515625</v>
      </c>
      <c r="O45" s="3">
        <v>31.860996246337901</v>
      </c>
      <c r="P45" s="3">
        <v>5.2506446838378897</v>
      </c>
      <c r="Q45" s="3">
        <f>+G45-I45</f>
        <v>1.6527605858376013</v>
      </c>
      <c r="R45" s="3">
        <f>H45/67.19</f>
        <v>68.16295146556854</v>
      </c>
    </row>
    <row r="46" spans="1:18" hidden="1" x14ac:dyDescent="0.2">
      <c r="A46" t="s">
        <v>35</v>
      </c>
      <c r="B46" s="4">
        <v>45513</v>
      </c>
      <c r="C46">
        <v>69</v>
      </c>
      <c r="D46" t="s">
        <v>27</v>
      </c>
      <c r="E46" t="s">
        <v>21</v>
      </c>
      <c r="F46" s="2">
        <v>3.3495666666667E-2</v>
      </c>
      <c r="G46" s="3">
        <v>30.566666666666698</v>
      </c>
      <c r="H46" s="3">
        <v>3097.3741794310699</v>
      </c>
      <c r="I46" s="3">
        <v>31.951800453536801</v>
      </c>
      <c r="J46" s="3">
        <v>32.027490615844698</v>
      </c>
      <c r="K46" s="3">
        <v>0.959446327611854</v>
      </c>
      <c r="L46" s="1">
        <v>1.4846099342966999E-3</v>
      </c>
      <c r="M46" s="3">
        <v>3.0027926877142601</v>
      </c>
      <c r="N46" s="3">
        <v>28.342226028442401</v>
      </c>
      <c r="O46" s="3">
        <v>33.956485748291001</v>
      </c>
      <c r="P46" s="3">
        <v>5.6142597198486301</v>
      </c>
      <c r="Q46" s="3">
        <f>+G46-I46</f>
        <v>-1.385133786870103</v>
      </c>
      <c r="R46" s="3">
        <f>H46/67.19</f>
        <v>46.09873760129588</v>
      </c>
    </row>
    <row r="47" spans="1:18" hidden="1" x14ac:dyDescent="0.2">
      <c r="A47" t="s">
        <v>35</v>
      </c>
      <c r="B47" s="4">
        <v>45513</v>
      </c>
      <c r="C47">
        <v>48</v>
      </c>
      <c r="D47" t="s">
        <v>20</v>
      </c>
      <c r="E47" t="s">
        <v>21</v>
      </c>
      <c r="F47" s="2">
        <v>7.3979333333332994E-2</v>
      </c>
      <c r="G47" s="3">
        <v>32.8333333333333</v>
      </c>
      <c r="H47" s="3">
        <v>3277.8993435448601</v>
      </c>
      <c r="I47" s="3">
        <v>31.6462191678045</v>
      </c>
      <c r="J47" s="3">
        <v>31.569530487060501</v>
      </c>
      <c r="K47" s="3">
        <v>0.66152848560813005</v>
      </c>
      <c r="L47" s="1">
        <v>1.0236234516615901E-3</v>
      </c>
      <c r="M47" s="3">
        <v>2.0903871078575502</v>
      </c>
      <c r="N47" s="3">
        <v>30.084257125854499</v>
      </c>
      <c r="O47" s="3">
        <v>34.036483764648402</v>
      </c>
      <c r="P47" s="3">
        <v>3.9522266387939502</v>
      </c>
      <c r="Q47" s="3">
        <f>+G47-I47</f>
        <v>1.1871141655288007</v>
      </c>
      <c r="R47" s="3">
        <f>H47/67.19</f>
        <v>48.785523791410334</v>
      </c>
    </row>
    <row r="48" spans="1:18" hidden="1" x14ac:dyDescent="0.2">
      <c r="A48" t="s">
        <v>35</v>
      </c>
      <c r="B48" s="4">
        <v>45534</v>
      </c>
      <c r="C48">
        <v>48</v>
      </c>
      <c r="D48" t="s">
        <v>20</v>
      </c>
      <c r="E48" t="s">
        <v>32</v>
      </c>
      <c r="F48" s="2">
        <v>0.95822066666666705</v>
      </c>
      <c r="G48" s="3">
        <v>32.9</v>
      </c>
      <c r="H48" s="3">
        <v>3277.8993435448601</v>
      </c>
      <c r="I48" s="3">
        <v>30.3430647422005</v>
      </c>
      <c r="J48" s="3">
        <v>30.3006544113159</v>
      </c>
      <c r="K48" s="3">
        <v>0.531950754499114</v>
      </c>
      <c r="L48" s="1">
        <v>8.8629290075145303E-4</v>
      </c>
      <c r="M48" s="3">
        <v>1.7531213772196399</v>
      </c>
      <c r="N48" s="3">
        <v>29.222753524780298</v>
      </c>
      <c r="O48" s="3">
        <v>31.628847122192401</v>
      </c>
      <c r="P48" s="3">
        <v>2.4060935974121098</v>
      </c>
      <c r="Q48" s="3">
        <f>+G48-I48</f>
        <v>2.5569352577994984</v>
      </c>
      <c r="R48" s="3">
        <f>H48/67.19</f>
        <v>48.785523791410334</v>
      </c>
    </row>
    <row r="49" spans="1:18" hidden="1" x14ac:dyDescent="0.2">
      <c r="A49" t="s">
        <v>35</v>
      </c>
      <c r="B49" s="4">
        <v>45513</v>
      </c>
      <c r="C49">
        <v>58</v>
      </c>
      <c r="D49" t="s">
        <v>20</v>
      </c>
      <c r="E49" t="s">
        <v>16</v>
      </c>
      <c r="F49" s="2">
        <v>0.283947333333333</v>
      </c>
      <c r="G49" s="3">
        <v>30.516666666666701</v>
      </c>
      <c r="H49" s="3">
        <v>2572.7571115973701</v>
      </c>
      <c r="I49" s="3">
        <v>30.8648476835567</v>
      </c>
      <c r="J49" s="3">
        <v>30.843847274780298</v>
      </c>
      <c r="K49" s="3">
        <v>0.54406017840807996</v>
      </c>
      <c r="L49" s="1">
        <v>8.4185756146500296E-4</v>
      </c>
      <c r="M49" s="3">
        <v>1.7627178464837501</v>
      </c>
      <c r="N49" s="3">
        <v>29.242481231689499</v>
      </c>
      <c r="O49" s="3">
        <v>32.671581268310497</v>
      </c>
      <c r="P49" s="3">
        <v>3.4291000366210902</v>
      </c>
      <c r="Q49" s="3">
        <f>+G49-I49</f>
        <v>-0.34818101688999903</v>
      </c>
      <c r="R49" s="3">
        <f>H49/67.19</f>
        <v>38.290774097296776</v>
      </c>
    </row>
    <row r="50" spans="1:18" hidden="1" x14ac:dyDescent="0.2">
      <c r="A50" t="s">
        <v>35</v>
      </c>
      <c r="B50" s="4">
        <v>45534</v>
      </c>
      <c r="C50">
        <v>58</v>
      </c>
      <c r="D50" t="s">
        <v>20</v>
      </c>
      <c r="E50" t="s">
        <v>25</v>
      </c>
      <c r="F50" s="2">
        <v>0.86971200000000004</v>
      </c>
      <c r="G50" s="3">
        <v>31.58</v>
      </c>
      <c r="H50" s="3">
        <v>2572.7571115973701</v>
      </c>
      <c r="I50" s="3">
        <v>30.191766754334299</v>
      </c>
      <c r="J50" s="3">
        <v>30.057695388793899</v>
      </c>
      <c r="K50" s="3">
        <v>0.74142208291192202</v>
      </c>
      <c r="L50" s="1">
        <v>1.23529691985104E-3</v>
      </c>
      <c r="M50" s="3">
        <v>2.4557094950579001</v>
      </c>
      <c r="N50" s="3">
        <v>28.481367111206101</v>
      </c>
      <c r="O50" s="3">
        <v>31.794277191162099</v>
      </c>
      <c r="P50" s="3">
        <v>3.3129100799560498</v>
      </c>
      <c r="Q50" s="3">
        <f>+G50-I50</f>
        <v>1.3882332456656989</v>
      </c>
      <c r="R50" s="3">
        <f>H50/67.19</f>
        <v>38.290774097296776</v>
      </c>
    </row>
    <row r="51" spans="1:18" hidden="1" x14ac:dyDescent="0.2">
      <c r="A51" t="s">
        <v>35</v>
      </c>
      <c r="B51" s="4">
        <v>45513</v>
      </c>
      <c r="C51">
        <v>60</v>
      </c>
      <c r="D51" t="s">
        <v>20</v>
      </c>
      <c r="E51" t="s">
        <v>16</v>
      </c>
      <c r="F51" s="2">
        <v>8.8678333333332998E-2</v>
      </c>
      <c r="G51" s="3">
        <v>31.13</v>
      </c>
      <c r="H51" s="3">
        <v>3242.34135667396</v>
      </c>
      <c r="I51" s="3">
        <v>31.282309764576901</v>
      </c>
      <c r="J51" s="3">
        <v>31.108360290527301</v>
      </c>
      <c r="K51" s="3">
        <v>0.65191121933747198</v>
      </c>
      <c r="L51" s="1">
        <v>1.00874206785168E-3</v>
      </c>
      <c r="M51" s="3">
        <v>2.0839612683449502</v>
      </c>
      <c r="N51" s="3">
        <v>29.709257125854499</v>
      </c>
      <c r="O51" s="3">
        <v>33.205448150634801</v>
      </c>
      <c r="P51" s="3">
        <v>3.4961910247802699</v>
      </c>
      <c r="Q51" s="3">
        <f>+G51-I51</f>
        <v>-0.15230976457690204</v>
      </c>
      <c r="R51" s="3">
        <f>H51/67.19</f>
        <v>48.256308329721094</v>
      </c>
    </row>
    <row r="52" spans="1:18" hidden="1" x14ac:dyDescent="0.2">
      <c r="A52" t="s">
        <v>35</v>
      </c>
      <c r="B52" s="4">
        <v>45513</v>
      </c>
      <c r="C52">
        <v>65</v>
      </c>
      <c r="D52" t="s">
        <v>20</v>
      </c>
      <c r="E52" t="s">
        <v>25</v>
      </c>
      <c r="F52" s="2">
        <v>0.27680633333333299</v>
      </c>
      <c r="G52" s="3">
        <v>29.66</v>
      </c>
      <c r="H52" s="3">
        <v>4041.5754923413601</v>
      </c>
      <c r="I52" s="3">
        <v>30.244688375381202</v>
      </c>
      <c r="J52" s="3">
        <v>30.389101028442401</v>
      </c>
      <c r="K52" s="3">
        <v>1.09991147116495</v>
      </c>
      <c r="L52" s="1">
        <v>1.70196023471465E-3</v>
      </c>
      <c r="M52" s="3">
        <v>3.6367095521482198</v>
      </c>
      <c r="N52" s="3">
        <v>26.871854782104499</v>
      </c>
      <c r="O52" s="3">
        <v>34.120742797851598</v>
      </c>
      <c r="P52" s="3">
        <v>7.2488880157470703</v>
      </c>
      <c r="Q52" s="3">
        <f>+G52-I52</f>
        <v>-0.58468837538120155</v>
      </c>
      <c r="R52" s="3">
        <f>H52/67.19</f>
        <v>60.151443553227566</v>
      </c>
    </row>
    <row r="53" spans="1:18" hidden="1" x14ac:dyDescent="0.2">
      <c r="A53" t="s">
        <v>35</v>
      </c>
      <c r="B53" s="4">
        <v>45534</v>
      </c>
      <c r="C53">
        <v>65</v>
      </c>
      <c r="D53" t="s">
        <v>20</v>
      </c>
      <c r="E53" t="s">
        <v>32</v>
      </c>
      <c r="F53" s="2">
        <v>0.35928300000000002</v>
      </c>
      <c r="G53" s="3">
        <v>36.4033333333333</v>
      </c>
      <c r="H53" s="3">
        <v>4041.5754923413601</v>
      </c>
      <c r="I53" s="3">
        <v>30.774999870605701</v>
      </c>
      <c r="J53" s="3">
        <v>30.747001647949201</v>
      </c>
      <c r="K53" s="3">
        <v>0.20702305543184599</v>
      </c>
      <c r="L53" s="1">
        <v>3.4492490661825902E-4</v>
      </c>
      <c r="M53" s="3">
        <v>0.67269880195704201</v>
      </c>
      <c r="N53" s="3">
        <v>30.309354782104499</v>
      </c>
      <c r="O53" s="3">
        <v>31.436307907104499</v>
      </c>
      <c r="P53" s="3">
        <v>1.126953125</v>
      </c>
      <c r="Q53" s="3">
        <f>+G53-I53</f>
        <v>5.6283334627275998</v>
      </c>
      <c r="R53" s="3">
        <f>H53/67.19</f>
        <v>60.151443553227566</v>
      </c>
    </row>
    <row r="54" spans="1:18" hidden="1" x14ac:dyDescent="0.2">
      <c r="A54" t="s">
        <v>35</v>
      </c>
      <c r="B54" s="4">
        <v>45513</v>
      </c>
      <c r="C54">
        <v>47</v>
      </c>
      <c r="D54" t="s">
        <v>19</v>
      </c>
      <c r="E54" t="s">
        <v>16</v>
      </c>
      <c r="F54" s="2">
        <v>0.128072666666667</v>
      </c>
      <c r="G54" s="3">
        <v>32.11</v>
      </c>
      <c r="H54" s="3">
        <v>2830.9628008752702</v>
      </c>
      <c r="I54" s="3">
        <v>33.344910426702299</v>
      </c>
      <c r="J54" s="3">
        <v>33.240087509155302</v>
      </c>
      <c r="K54" s="3">
        <v>0.85454807019565804</v>
      </c>
      <c r="L54" s="1">
        <v>1.32229445028403E-3</v>
      </c>
      <c r="M54" s="3">
        <v>2.5627541332704999</v>
      </c>
      <c r="N54" s="3">
        <v>31.357851028442401</v>
      </c>
      <c r="O54" s="3">
        <v>36.431972503662102</v>
      </c>
      <c r="P54" s="3">
        <v>5.0741214752197301</v>
      </c>
      <c r="Q54" s="3">
        <f>+G54-I54</f>
        <v>-1.2349104267022994</v>
      </c>
      <c r="R54" s="3">
        <f>H54/67.19</f>
        <v>42.133692526793723</v>
      </c>
    </row>
    <row r="55" spans="1:18" hidden="1" x14ac:dyDescent="0.2">
      <c r="A55" t="s">
        <v>35</v>
      </c>
      <c r="B55" s="4">
        <v>45534</v>
      </c>
      <c r="C55">
        <v>47</v>
      </c>
      <c r="D55" t="s">
        <v>19</v>
      </c>
      <c r="E55" t="s">
        <v>32</v>
      </c>
      <c r="F55" s="2">
        <v>0.86694066666666703</v>
      </c>
      <c r="G55" s="3">
        <v>31.0966666666667</v>
      </c>
      <c r="H55" s="3">
        <v>2830.9628008752702</v>
      </c>
      <c r="I55" s="3">
        <v>31.0008230249062</v>
      </c>
      <c r="J55" s="3">
        <v>30.848182678222699</v>
      </c>
      <c r="K55" s="3">
        <v>0.44044769966814801</v>
      </c>
      <c r="L55" s="1">
        <v>7.3383798418663203E-4</v>
      </c>
      <c r="M55" s="3">
        <v>1.4207613111248401</v>
      </c>
      <c r="N55" s="3">
        <v>30.059257507324201</v>
      </c>
      <c r="O55" s="3">
        <v>32.524826049804702</v>
      </c>
      <c r="P55" s="3">
        <v>2.4655685424804701</v>
      </c>
      <c r="Q55" s="3">
        <f>+G55-I55</f>
        <v>9.584364176049931E-2</v>
      </c>
      <c r="R55" s="3">
        <f>H55/67.19</f>
        <v>42.133692526793723</v>
      </c>
    </row>
    <row r="56" spans="1:18" hidden="1" x14ac:dyDescent="0.2">
      <c r="A56" t="s">
        <v>35</v>
      </c>
      <c r="B56" s="4">
        <v>45513</v>
      </c>
      <c r="C56">
        <v>56</v>
      </c>
      <c r="D56" t="s">
        <v>19</v>
      </c>
      <c r="E56" t="s">
        <v>25</v>
      </c>
      <c r="F56" s="2">
        <v>0.105501</v>
      </c>
      <c r="G56" s="3">
        <v>32.336666666666702</v>
      </c>
      <c r="H56" s="3">
        <v>3094.6389496717702</v>
      </c>
      <c r="I56" s="3">
        <v>32.246342811458497</v>
      </c>
      <c r="J56" s="3">
        <v>32.253574371337898</v>
      </c>
      <c r="K56" s="3">
        <v>0.78855782788974005</v>
      </c>
      <c r="L56" s="1">
        <v>1.2201837157129001E-3</v>
      </c>
      <c r="M56" s="3">
        <v>2.4454178649044498</v>
      </c>
      <c r="N56" s="3">
        <v>27.766796112060501</v>
      </c>
      <c r="O56" s="3">
        <v>34.31689453125</v>
      </c>
      <c r="P56" s="3">
        <v>6.5500984191894496</v>
      </c>
      <c r="Q56" s="3">
        <f>+G56-I56</f>
        <v>9.0323855208204407E-2</v>
      </c>
      <c r="R56" s="3">
        <f>H56/67.19</f>
        <v>46.05802871962748</v>
      </c>
    </row>
    <row r="57" spans="1:18" hidden="1" x14ac:dyDescent="0.2">
      <c r="A57" t="s">
        <v>35</v>
      </c>
      <c r="B57" s="4">
        <v>45534</v>
      </c>
      <c r="C57">
        <v>56</v>
      </c>
      <c r="D57" t="s">
        <v>19</v>
      </c>
      <c r="E57" t="s">
        <v>31</v>
      </c>
      <c r="F57" s="2">
        <v>0.164975333333333</v>
      </c>
      <c r="G57" s="3">
        <v>32.726666666666702</v>
      </c>
      <c r="H57" s="3">
        <v>3094.6389496717702</v>
      </c>
      <c r="I57" s="3">
        <v>32.5283203125</v>
      </c>
      <c r="J57" s="3">
        <v>32.496885299682603</v>
      </c>
      <c r="K57" s="3">
        <v>0.44341379178282198</v>
      </c>
      <c r="L57" s="1">
        <v>7.3877984461633505E-4</v>
      </c>
      <c r="M57" s="3">
        <v>1.36316227681891</v>
      </c>
      <c r="N57" s="3">
        <v>31.4897651672363</v>
      </c>
      <c r="O57" s="3">
        <v>34.636581420898402</v>
      </c>
      <c r="P57" s="3">
        <v>3.1468162536621098</v>
      </c>
      <c r="Q57" s="3">
        <f>+G57-I57</f>
        <v>0.1983463541667021</v>
      </c>
      <c r="R57" s="3">
        <f>H57/67.19</f>
        <v>46.05802871962748</v>
      </c>
    </row>
    <row r="58" spans="1:18" hidden="1" x14ac:dyDescent="0.2">
      <c r="A58" t="s">
        <v>35</v>
      </c>
      <c r="B58" s="4">
        <v>45513</v>
      </c>
      <c r="C58">
        <v>66</v>
      </c>
      <c r="D58" t="s">
        <v>19</v>
      </c>
      <c r="E58" t="s">
        <v>18</v>
      </c>
      <c r="F58" s="2">
        <v>0.239960333333333</v>
      </c>
      <c r="G58" s="3">
        <v>30.043333333333301</v>
      </c>
      <c r="H58" s="3">
        <v>2670.6783369803102</v>
      </c>
      <c r="I58" s="3">
        <v>31.9801782062592</v>
      </c>
      <c r="J58" s="3">
        <v>32.206249237060497</v>
      </c>
      <c r="K58" s="3">
        <v>1.1743064826842999</v>
      </c>
      <c r="L58" s="1">
        <v>1.81707618230357E-3</v>
      </c>
      <c r="M58" s="3">
        <v>3.6719822982551902</v>
      </c>
      <c r="N58" s="3">
        <v>27.52099609375</v>
      </c>
      <c r="O58" s="3">
        <v>34.543418884277301</v>
      </c>
      <c r="P58" s="3">
        <v>7.0224227905273402</v>
      </c>
      <c r="Q58" s="3">
        <f>+G58-I58</f>
        <v>-1.9368448729258994</v>
      </c>
      <c r="R58" s="3">
        <f>H58/67.19</f>
        <v>39.7481520610256</v>
      </c>
    </row>
    <row r="59" spans="1:18" hidden="1" x14ac:dyDescent="0.2">
      <c r="A59" t="s">
        <v>35</v>
      </c>
      <c r="B59" s="4">
        <v>45534</v>
      </c>
      <c r="C59">
        <v>66</v>
      </c>
      <c r="D59" t="s">
        <v>19</v>
      </c>
      <c r="E59" t="s">
        <v>32</v>
      </c>
      <c r="F59" s="2">
        <v>1.0779983333333301</v>
      </c>
      <c r="G59" s="3">
        <v>36.200000000000003</v>
      </c>
      <c r="H59" s="3">
        <v>2670.6783369803102</v>
      </c>
      <c r="I59" s="3">
        <v>30.526993299232601</v>
      </c>
      <c r="J59" s="3">
        <v>30.5090236663818</v>
      </c>
      <c r="K59" s="3">
        <v>0.18883573582046201</v>
      </c>
      <c r="L59" s="1">
        <v>3.1462268010775199E-4</v>
      </c>
      <c r="M59" s="3">
        <v>0.61858609516322105</v>
      </c>
      <c r="N59" s="3">
        <v>30.028282165527301</v>
      </c>
      <c r="O59" s="3">
        <v>31.052539825439499</v>
      </c>
      <c r="P59" s="3">
        <v>1.02425765991211</v>
      </c>
      <c r="Q59" s="3">
        <f>+G59-I59</f>
        <v>5.6730067007674023</v>
      </c>
      <c r="R59" s="3">
        <f>H59/67.19</f>
        <v>39.7481520610256</v>
      </c>
    </row>
    <row r="60" spans="1:18" hidden="1" x14ac:dyDescent="0.2">
      <c r="A60" t="s">
        <v>35</v>
      </c>
      <c r="B60" s="4">
        <v>45513</v>
      </c>
      <c r="C60">
        <v>45</v>
      </c>
      <c r="D60" t="s">
        <v>23</v>
      </c>
      <c r="E60" t="s">
        <v>21</v>
      </c>
      <c r="F60" s="2">
        <v>0.124281666666667</v>
      </c>
      <c r="G60" s="3">
        <v>30.9166666666667</v>
      </c>
      <c r="H60" s="3">
        <v>3164.11378555799</v>
      </c>
      <c r="I60" s="3">
        <v>32.170887347122601</v>
      </c>
      <c r="J60" s="3">
        <v>32.122734069824197</v>
      </c>
      <c r="K60" s="3">
        <v>0.81600401031931802</v>
      </c>
      <c r="L60" s="1">
        <v>1.26265287101719E-3</v>
      </c>
      <c r="M60" s="3">
        <v>2.5364672149532801</v>
      </c>
      <c r="N60" s="3">
        <v>28.123985290527301</v>
      </c>
      <c r="O60" s="3">
        <v>34.504356384277301</v>
      </c>
      <c r="P60" s="3">
        <v>6.38037109375</v>
      </c>
      <c r="Q60" s="3">
        <f>+G60-I60</f>
        <v>-1.2542206804559015</v>
      </c>
      <c r="R60" s="3">
        <f>H60/67.19</f>
        <v>47.092034314004913</v>
      </c>
    </row>
    <row r="61" spans="1:18" hidden="1" x14ac:dyDescent="0.2">
      <c r="A61" t="s">
        <v>35</v>
      </c>
      <c r="B61" s="4">
        <v>45534</v>
      </c>
      <c r="C61">
        <v>45</v>
      </c>
      <c r="D61" t="s">
        <v>23</v>
      </c>
      <c r="E61" t="s">
        <v>32</v>
      </c>
      <c r="F61" s="2">
        <v>0.40412033333333303</v>
      </c>
      <c r="G61" s="3">
        <v>34.063333333333297</v>
      </c>
      <c r="H61" s="3">
        <v>3164.11378555799</v>
      </c>
      <c r="I61" s="3">
        <v>32.6656378532441</v>
      </c>
      <c r="J61" s="3">
        <v>32.665702819824197</v>
      </c>
      <c r="K61" s="3">
        <v>0.299920596549477</v>
      </c>
      <c r="L61" s="1">
        <v>4.9970320234104496E-4</v>
      </c>
      <c r="M61" s="3">
        <v>0.91815319173291798</v>
      </c>
      <c r="N61" s="3">
        <v>31.953945159912099</v>
      </c>
      <c r="O61" s="3">
        <v>33.736717224121101</v>
      </c>
      <c r="P61" s="3">
        <v>1.7827720642089799</v>
      </c>
      <c r="Q61" s="3">
        <f>+G61-I61</f>
        <v>1.3976954800891974</v>
      </c>
      <c r="R61" s="3">
        <f>H61/67.19</f>
        <v>47.092034314004913</v>
      </c>
    </row>
    <row r="62" spans="1:18" hidden="1" x14ac:dyDescent="0.2">
      <c r="A62" t="s">
        <v>35</v>
      </c>
      <c r="B62" s="4">
        <v>45513</v>
      </c>
      <c r="C62">
        <v>51</v>
      </c>
      <c r="D62" t="s">
        <v>23</v>
      </c>
      <c r="E62" t="s">
        <v>21</v>
      </c>
      <c r="F62" s="2">
        <v>0.22336966666666699</v>
      </c>
      <c r="G62" s="3">
        <v>31.82</v>
      </c>
      <c r="H62" s="3">
        <v>3196.9365426695799</v>
      </c>
      <c r="I62" s="3">
        <v>31.824064889632702</v>
      </c>
      <c r="J62" s="3">
        <v>31.882890701293899</v>
      </c>
      <c r="K62" s="3">
        <v>0.65988438867515697</v>
      </c>
      <c r="L62" s="1">
        <v>1.02107944000675E-3</v>
      </c>
      <c r="M62" s="3">
        <v>2.07353897424376</v>
      </c>
      <c r="N62" s="3">
        <v>29.627285003662099</v>
      </c>
      <c r="O62" s="3">
        <v>33.473670959472699</v>
      </c>
      <c r="P62" s="3">
        <v>3.84638595581055</v>
      </c>
      <c r="Q62" s="3">
        <f>+G62-I62</f>
        <v>-4.0648896327013517E-3</v>
      </c>
      <c r="R62" s="3">
        <f>H62/67.19</f>
        <v>47.580540894025603</v>
      </c>
    </row>
    <row r="63" spans="1:18" hidden="1" x14ac:dyDescent="0.2">
      <c r="A63" t="s">
        <v>35</v>
      </c>
      <c r="B63" s="4">
        <v>45534</v>
      </c>
      <c r="C63">
        <v>51</v>
      </c>
      <c r="D63" t="s">
        <v>23</v>
      </c>
      <c r="E63" t="s">
        <v>32</v>
      </c>
      <c r="F63" s="2">
        <v>0.480723333333333</v>
      </c>
      <c r="G63" s="3">
        <v>31.9233333333333</v>
      </c>
      <c r="H63" s="3">
        <v>3196.9365426695799</v>
      </c>
      <c r="I63" s="3">
        <v>30.971926497126201</v>
      </c>
      <c r="J63" s="3">
        <v>30.928144454956101</v>
      </c>
      <c r="K63" s="3">
        <v>0.29581572574929899</v>
      </c>
      <c r="L63" s="1">
        <v>4.9286400187384101E-4</v>
      </c>
      <c r="M63" s="3">
        <v>0.95510922052829506</v>
      </c>
      <c r="N63" s="3">
        <v>30.182090759277301</v>
      </c>
      <c r="O63" s="3">
        <v>31.768360137939499</v>
      </c>
      <c r="P63" s="3">
        <v>1.58626937866211</v>
      </c>
      <c r="Q63" s="3">
        <f>+G63-I63</f>
        <v>0.95140683620709865</v>
      </c>
      <c r="R63" s="3">
        <f>H63/67.19</f>
        <v>47.580540894025603</v>
      </c>
    </row>
    <row r="64" spans="1:18" hidden="1" x14ac:dyDescent="0.2">
      <c r="A64" t="s">
        <v>35</v>
      </c>
      <c r="B64" s="4">
        <v>45534</v>
      </c>
      <c r="C64">
        <v>52</v>
      </c>
      <c r="D64" t="s">
        <v>23</v>
      </c>
      <c r="E64" t="s">
        <v>32</v>
      </c>
      <c r="F64" s="2">
        <v>0.85061933333333295</v>
      </c>
      <c r="G64" s="3">
        <v>32.593333333333298</v>
      </c>
      <c r="H64" s="3">
        <v>4379.10284463895</v>
      </c>
      <c r="I64" s="3">
        <v>31.663964319539001</v>
      </c>
      <c r="J64" s="3">
        <v>31.666776657104499</v>
      </c>
      <c r="K64" s="3">
        <v>0.28846377428598102</v>
      </c>
      <c r="L64" s="1">
        <v>4.8061478080685898E-4</v>
      </c>
      <c r="M64" s="3">
        <v>0.91101597821084701</v>
      </c>
      <c r="N64" s="3">
        <v>30.805526733398398</v>
      </c>
      <c r="O64" s="3">
        <v>32.581230163574197</v>
      </c>
      <c r="P64" s="3">
        <v>1.7757034301757799</v>
      </c>
      <c r="Q64" s="3">
        <f>+G64-I64</f>
        <v>0.92936901379429671</v>
      </c>
      <c r="R64" s="3">
        <f>H64/67.19</f>
        <v>65.174919551108061</v>
      </c>
    </row>
    <row r="65" spans="1:18" hidden="1" x14ac:dyDescent="0.2">
      <c r="A65" t="s">
        <v>35</v>
      </c>
      <c r="B65" s="4">
        <v>45513</v>
      </c>
      <c r="C65">
        <v>52</v>
      </c>
      <c r="D65" t="s">
        <v>23</v>
      </c>
      <c r="E65" t="s">
        <v>21</v>
      </c>
      <c r="F65" s="2">
        <v>0.18053733333333299</v>
      </c>
      <c r="G65" s="3">
        <v>32.99</v>
      </c>
      <c r="H65" s="3">
        <v>4379.10284463895</v>
      </c>
      <c r="I65" s="3">
        <v>30.158063801338699</v>
      </c>
      <c r="J65" s="3">
        <v>30.327051162719702</v>
      </c>
      <c r="K65" s="3">
        <v>0.85109636742064898</v>
      </c>
      <c r="L65" s="1">
        <v>1.3169534196473499E-3</v>
      </c>
      <c r="M65" s="3">
        <v>2.8221187309208799</v>
      </c>
      <c r="N65" s="3">
        <v>26.940605163574201</v>
      </c>
      <c r="O65" s="3">
        <v>32.292850494384801</v>
      </c>
      <c r="P65" s="3">
        <v>5.3522453308105504</v>
      </c>
      <c r="Q65" s="3">
        <f>+G65-I65</f>
        <v>2.8319361986613032</v>
      </c>
      <c r="R65" s="3">
        <f>H65/67.19</f>
        <v>65.174919551108061</v>
      </c>
    </row>
    <row r="66" spans="1:18" hidden="1" x14ac:dyDescent="0.2">
      <c r="A66" t="s">
        <v>35</v>
      </c>
      <c r="B66" s="4">
        <v>45513</v>
      </c>
      <c r="C66">
        <v>64</v>
      </c>
      <c r="D66" t="s">
        <v>23</v>
      </c>
      <c r="E66" t="s">
        <v>16</v>
      </c>
      <c r="F66" s="2">
        <v>5.9706000000000002E-2</v>
      </c>
      <c r="G66" s="3">
        <v>30.973333333333301</v>
      </c>
      <c r="H66" s="3">
        <v>2958.4245076586399</v>
      </c>
      <c r="I66" s="3">
        <v>31.4535752455369</v>
      </c>
      <c r="J66" s="3">
        <v>31.696601867675799</v>
      </c>
      <c r="K66" s="3">
        <v>0.984300560128193</v>
      </c>
      <c r="L66" s="1">
        <v>1.52306840710666E-3</v>
      </c>
      <c r="M66" s="3">
        <v>3.1293757623558598</v>
      </c>
      <c r="N66" s="3">
        <v>27.848182678222699</v>
      </c>
      <c r="O66" s="3">
        <v>33.548770904541001</v>
      </c>
      <c r="P66" s="3">
        <v>5.7005882263183603</v>
      </c>
      <c r="Q66" s="3">
        <f>+G66-I66</f>
        <v>-0.48024191220359924</v>
      </c>
      <c r="R66" s="3">
        <f>H66/67.19</f>
        <v>44.030726412541149</v>
      </c>
    </row>
    <row r="67" spans="1:18" hidden="1" x14ac:dyDescent="0.2">
      <c r="A67" t="s">
        <v>35</v>
      </c>
      <c r="B67" s="4">
        <v>45534</v>
      </c>
      <c r="C67">
        <v>64</v>
      </c>
      <c r="D67" t="s">
        <v>23</v>
      </c>
      <c r="E67" t="s">
        <v>25</v>
      </c>
      <c r="F67" s="2">
        <v>0.64451233333333302</v>
      </c>
      <c r="G67" s="3">
        <v>35.6</v>
      </c>
      <c r="H67" s="3">
        <v>2958.4245076586399</v>
      </c>
      <c r="I67" s="3">
        <v>31.213076103387699</v>
      </c>
      <c r="J67" s="3">
        <v>31.2332811355591</v>
      </c>
      <c r="K67" s="3">
        <v>0.35475507386942701</v>
      </c>
      <c r="L67" s="1">
        <v>5.9106392991600495E-4</v>
      </c>
      <c r="M67" s="3">
        <v>1.1365591545490901</v>
      </c>
      <c r="N67" s="3">
        <v>30.269725799560501</v>
      </c>
      <c r="O67" s="3">
        <v>32.304763793945298</v>
      </c>
      <c r="P67" s="3">
        <v>2.0350379943847701</v>
      </c>
      <c r="Q67" s="3">
        <f>+G67-I67</f>
        <v>4.3869238966123021</v>
      </c>
      <c r="R67" s="3">
        <f>H67/67.19</f>
        <v>44.030726412541149</v>
      </c>
    </row>
    <row r="68" spans="1:18" hidden="1" x14ac:dyDescent="0.2">
      <c r="A68" t="s">
        <v>35</v>
      </c>
      <c r="B68" s="4">
        <v>45513</v>
      </c>
      <c r="C68">
        <v>46</v>
      </c>
      <c r="D68" t="s">
        <v>17</v>
      </c>
      <c r="E68" t="s">
        <v>21</v>
      </c>
      <c r="F68" s="2">
        <v>0.24288799999999999</v>
      </c>
      <c r="G68" s="3">
        <v>30.656666666666698</v>
      </c>
      <c r="H68" s="3">
        <v>922.86652078774603</v>
      </c>
      <c r="I68" s="3">
        <v>31.267354838285101</v>
      </c>
      <c r="J68" s="3">
        <v>31.182656288147001</v>
      </c>
      <c r="K68" s="3">
        <v>0.681009819188374</v>
      </c>
      <c r="L68" s="1">
        <v>1.0537681096108901E-3</v>
      </c>
      <c r="M68" s="3">
        <v>2.1780218464611401</v>
      </c>
      <c r="N68" s="3">
        <v>29.566679000854499</v>
      </c>
      <c r="O68" s="3">
        <v>34.032188415527301</v>
      </c>
      <c r="P68" s="3">
        <v>4.4655094146728498</v>
      </c>
      <c r="Q68" s="3">
        <f>+G68-I68</f>
        <v>-0.61068817161840272</v>
      </c>
      <c r="R68" s="3">
        <f>H68/67.19</f>
        <v>13.735176674918083</v>
      </c>
    </row>
    <row r="69" spans="1:18" hidden="1" x14ac:dyDescent="0.2">
      <c r="A69" t="s">
        <v>35</v>
      </c>
      <c r="B69" s="4">
        <v>45534</v>
      </c>
      <c r="C69">
        <v>46</v>
      </c>
      <c r="D69" t="s">
        <v>17</v>
      </c>
      <c r="E69" t="s">
        <v>25</v>
      </c>
      <c r="F69" s="2">
        <v>0.31040733333333298</v>
      </c>
      <c r="G69" s="3">
        <v>32.773333333333298</v>
      </c>
      <c r="H69" s="3">
        <v>922.86652078774603</v>
      </c>
      <c r="I69" s="3">
        <v>30.5660356915417</v>
      </c>
      <c r="J69" s="3">
        <v>30.4326171875</v>
      </c>
      <c r="K69" s="3">
        <v>0.55064348194194102</v>
      </c>
      <c r="L69" s="1">
        <v>9.1743719651217405E-4</v>
      </c>
      <c r="M69" s="3">
        <v>1.80148805523484</v>
      </c>
      <c r="N69" s="3">
        <v>29.6018161773682</v>
      </c>
      <c r="O69" s="3">
        <v>31.844764709472699</v>
      </c>
      <c r="P69" s="3">
        <v>2.24294853210449</v>
      </c>
      <c r="Q69" s="3">
        <f>+G69-I69</f>
        <v>2.2072976417915982</v>
      </c>
      <c r="R69" s="3">
        <f>H69/67.19</f>
        <v>13.735176674918083</v>
      </c>
    </row>
    <row r="70" spans="1:18" hidden="1" x14ac:dyDescent="0.2">
      <c r="A70" t="s">
        <v>35</v>
      </c>
      <c r="B70" s="4">
        <v>45513</v>
      </c>
      <c r="C70">
        <v>49</v>
      </c>
      <c r="D70" t="s">
        <v>17</v>
      </c>
      <c r="E70" t="s">
        <v>16</v>
      </c>
      <c r="F70" s="2">
        <v>0.52567766666666704</v>
      </c>
      <c r="G70" s="3">
        <v>31.546666666666699</v>
      </c>
      <c r="H70" s="3">
        <v>1377.4617067833699</v>
      </c>
      <c r="I70" s="3">
        <v>31.030384943190501</v>
      </c>
      <c r="J70" s="3">
        <v>31.072422027587901</v>
      </c>
      <c r="K70" s="3">
        <v>0.77756734904925395</v>
      </c>
      <c r="L70" s="1">
        <v>1.20317747617695E-3</v>
      </c>
      <c r="M70" s="3">
        <v>2.50582566240413</v>
      </c>
      <c r="N70" s="3">
        <v>29.071445465087901</v>
      </c>
      <c r="O70" s="3">
        <v>32.953006744384801</v>
      </c>
      <c r="P70" s="3">
        <v>3.8815612792968799</v>
      </c>
      <c r="Q70" s="3">
        <f>+G70-I70</f>
        <v>0.51628172347619739</v>
      </c>
      <c r="R70" s="3">
        <f>H70/67.19</f>
        <v>20.500992808206131</v>
      </c>
    </row>
    <row r="71" spans="1:18" hidden="1" x14ac:dyDescent="0.2">
      <c r="A71" t="s">
        <v>35</v>
      </c>
      <c r="B71" s="4">
        <v>45534</v>
      </c>
      <c r="C71">
        <v>49</v>
      </c>
      <c r="D71" t="s">
        <v>17</v>
      </c>
      <c r="E71" t="s">
        <v>32</v>
      </c>
      <c r="F71" s="2">
        <v>0.55041799999999996</v>
      </c>
      <c r="G71" s="3">
        <v>33.200000000000003</v>
      </c>
      <c r="H71" s="3">
        <v>1377.4617067833699</v>
      </c>
      <c r="I71" s="3">
        <v>29.976345069115698</v>
      </c>
      <c r="J71" s="3">
        <v>29.916093826293899</v>
      </c>
      <c r="K71" s="3">
        <v>0.35258110470356302</v>
      </c>
      <c r="L71" s="1">
        <v>5.8744184004798296E-4</v>
      </c>
      <c r="M71" s="3">
        <v>1.17619777825024</v>
      </c>
      <c r="N71" s="3">
        <v>29.300468444824201</v>
      </c>
      <c r="O71" s="3">
        <v>31.037403106689499</v>
      </c>
      <c r="P71" s="3">
        <v>1.7369346618652299</v>
      </c>
      <c r="Q71" s="3">
        <f>+G71-I71</f>
        <v>3.2236549308843045</v>
      </c>
      <c r="R71" s="3">
        <f>H71/67.19</f>
        <v>20.500992808206131</v>
      </c>
    </row>
    <row r="72" spans="1:18" hidden="1" x14ac:dyDescent="0.2">
      <c r="A72" t="s">
        <v>35</v>
      </c>
      <c r="B72" s="4">
        <v>45513</v>
      </c>
      <c r="C72">
        <v>67</v>
      </c>
      <c r="D72" t="s">
        <v>17</v>
      </c>
      <c r="E72" t="s">
        <v>21</v>
      </c>
      <c r="F72" s="2">
        <v>0.12636333333333299</v>
      </c>
      <c r="G72" s="3">
        <v>29.3</v>
      </c>
      <c r="H72" s="3">
        <v>2442.5601750546998</v>
      </c>
      <c r="I72" s="3">
        <v>30.509121345947001</v>
      </c>
      <c r="J72" s="3">
        <v>30.654960632324201</v>
      </c>
      <c r="K72" s="3">
        <v>0.74938094628783303</v>
      </c>
      <c r="L72" s="1">
        <v>1.15956293271848E-3</v>
      </c>
      <c r="M72" s="3">
        <v>2.45625214109086</v>
      </c>
      <c r="N72" s="3">
        <v>27.108848571777301</v>
      </c>
      <c r="O72" s="3">
        <v>32.048183441162102</v>
      </c>
      <c r="P72" s="3">
        <v>4.9393348693847701</v>
      </c>
      <c r="Q72" s="3">
        <f>+G72-I72</f>
        <v>-1.2091213459470005</v>
      </c>
      <c r="R72" s="3">
        <f>H72/67.19</f>
        <v>36.353031329880935</v>
      </c>
    </row>
    <row r="73" spans="1:18" hidden="1" x14ac:dyDescent="0.2">
      <c r="A73" t="s">
        <v>35</v>
      </c>
      <c r="B73" s="4">
        <v>45534</v>
      </c>
      <c r="C73">
        <v>67</v>
      </c>
      <c r="D73" t="s">
        <v>17</v>
      </c>
      <c r="E73" t="s">
        <v>25</v>
      </c>
      <c r="F73" s="2">
        <v>0.50997233333333303</v>
      </c>
      <c r="G73" s="3">
        <v>34.196666666666701</v>
      </c>
      <c r="H73" s="3">
        <v>2442.5601750546998</v>
      </c>
      <c r="I73" s="3">
        <v>32.5243625407644</v>
      </c>
      <c r="J73" s="3">
        <v>32.496856689453097</v>
      </c>
      <c r="K73" s="3">
        <v>0.34086579020058699</v>
      </c>
      <c r="L73" s="1">
        <v>5.6792273985639696E-4</v>
      </c>
      <c r="M73" s="3">
        <v>1.0480321936313499</v>
      </c>
      <c r="N73" s="3">
        <v>31.638477325439499</v>
      </c>
      <c r="O73" s="3">
        <v>34.3866996765137</v>
      </c>
      <c r="P73" s="3">
        <v>2.7482223510742201</v>
      </c>
      <c r="Q73" s="3">
        <f>+G73-I73</f>
        <v>1.6723041259023006</v>
      </c>
      <c r="R73" s="3">
        <f>H73/67.19</f>
        <v>36.353031329880935</v>
      </c>
    </row>
    <row r="74" spans="1:18" x14ac:dyDescent="0.2">
      <c r="A74" t="s">
        <v>35</v>
      </c>
      <c r="B74" s="4">
        <v>45513</v>
      </c>
      <c r="C74">
        <v>39</v>
      </c>
      <c r="D74" t="s">
        <v>30</v>
      </c>
      <c r="E74" t="s">
        <v>21</v>
      </c>
      <c r="F74" s="2">
        <v>0.58261700000000005</v>
      </c>
      <c r="G74" s="3">
        <v>30.253333333333298</v>
      </c>
      <c r="H74" s="3">
        <v>3612.1444201312902</v>
      </c>
      <c r="I74" s="3">
        <v>31.821078054813</v>
      </c>
      <c r="J74" s="3">
        <v>31.879238128662099</v>
      </c>
      <c r="K74" s="3">
        <v>0.52932279762016499</v>
      </c>
      <c r="L74" s="1">
        <v>8.1905351157332096E-4</v>
      </c>
      <c r="M74" s="3">
        <v>1.6634345219492099</v>
      </c>
      <c r="N74" s="3">
        <v>30.166816711425799</v>
      </c>
      <c r="O74" s="3">
        <v>33.251991271972699</v>
      </c>
      <c r="P74" s="3">
        <v>3.0851745605468799</v>
      </c>
      <c r="Q74" s="3">
        <f>+G74-I74</f>
        <v>-1.567744721479702</v>
      </c>
      <c r="R74" s="3">
        <f>H74/67.19</f>
        <v>53.760149131288735</v>
      </c>
    </row>
    <row r="75" spans="1:18" x14ac:dyDescent="0.2">
      <c r="A75" t="s">
        <v>35</v>
      </c>
      <c r="B75" s="4">
        <v>45513</v>
      </c>
      <c r="C75">
        <v>68</v>
      </c>
      <c r="D75" t="s">
        <v>30</v>
      </c>
      <c r="E75" t="s">
        <v>21</v>
      </c>
      <c r="F75" s="2">
        <v>0.15356266666666701</v>
      </c>
      <c r="G75" s="3">
        <v>30.07</v>
      </c>
      <c r="H75" s="3">
        <v>4363.23851203501</v>
      </c>
      <c r="I75" s="3">
        <v>31.481762564759599</v>
      </c>
      <c r="J75" s="3">
        <v>31.5600395202637</v>
      </c>
      <c r="K75" s="3">
        <v>0.88471704637606696</v>
      </c>
      <c r="L75" s="1">
        <v>1.36897675074838E-3</v>
      </c>
      <c r="M75" s="3">
        <v>2.81025258530605</v>
      </c>
      <c r="N75" s="3">
        <v>27.728105545043899</v>
      </c>
      <c r="O75" s="3">
        <v>33.569492340087898</v>
      </c>
      <c r="P75" s="3">
        <v>5.8413867950439498</v>
      </c>
      <c r="Q75" s="3">
        <f>+G75-I75</f>
        <v>-1.4117625647595986</v>
      </c>
      <c r="R75" s="3">
        <f>H75/67.19</f>
        <v>64.938808037431315</v>
      </c>
    </row>
    <row r="76" spans="1:18" hidden="1" x14ac:dyDescent="0.2">
      <c r="A76" t="s">
        <v>35</v>
      </c>
      <c r="B76" s="4">
        <v>45513</v>
      </c>
      <c r="C76">
        <v>38</v>
      </c>
      <c r="D76" t="s">
        <v>24</v>
      </c>
      <c r="E76" t="s">
        <v>21</v>
      </c>
      <c r="F76" s="2">
        <v>0.174168666666667</v>
      </c>
      <c r="G76" s="3">
        <v>31.623333333333299</v>
      </c>
      <c r="H76" s="3">
        <v>5551.9693654267003</v>
      </c>
      <c r="I76" s="3">
        <v>30.9496337413471</v>
      </c>
      <c r="J76" s="3">
        <v>30.934629440307599</v>
      </c>
      <c r="K76" s="3">
        <v>0.64530000137000099</v>
      </c>
      <c r="L76" s="1">
        <v>9.9851212628033906E-4</v>
      </c>
      <c r="M76" s="3">
        <v>2.0850004454427999</v>
      </c>
      <c r="N76" s="3">
        <v>29.387266159057599</v>
      </c>
      <c r="O76" s="3">
        <v>33.122871398925803</v>
      </c>
      <c r="P76" s="3">
        <v>3.7356052398681601</v>
      </c>
      <c r="Q76" s="3">
        <f>+G76-I76</f>
        <v>0.67369959198619966</v>
      </c>
      <c r="R76" s="3">
        <f>H76/67.19</f>
        <v>82.630888010517936</v>
      </c>
    </row>
    <row r="77" spans="1:18" hidden="1" x14ac:dyDescent="0.2">
      <c r="A77" t="s">
        <v>35</v>
      </c>
      <c r="B77" s="4">
        <v>45534</v>
      </c>
      <c r="C77">
        <v>38</v>
      </c>
      <c r="D77" t="s">
        <v>24</v>
      </c>
      <c r="E77" t="s">
        <v>32</v>
      </c>
      <c r="F77" s="2">
        <v>0.78532966666666704</v>
      </c>
      <c r="G77" s="3">
        <v>32.586666666666702</v>
      </c>
      <c r="H77" s="3">
        <v>5551.9693654267003</v>
      </c>
      <c r="I77" s="3">
        <v>30.9352266025302</v>
      </c>
      <c r="J77" s="3">
        <v>30.9353218078613</v>
      </c>
      <c r="K77" s="3">
        <v>0.36361965179779299</v>
      </c>
      <c r="L77" s="1">
        <v>6.0583336565722603E-4</v>
      </c>
      <c r="M77" s="3">
        <v>1.17542262246772</v>
      </c>
      <c r="N77" s="3">
        <v>29.926795959472699</v>
      </c>
      <c r="O77" s="3">
        <v>31.744823455810501</v>
      </c>
      <c r="P77" s="3">
        <v>1.81802749633789</v>
      </c>
      <c r="Q77" s="3">
        <f>+G77-I77</f>
        <v>1.6514400641365015</v>
      </c>
      <c r="R77" s="3">
        <f>H77/67.19</f>
        <v>82.630888010517936</v>
      </c>
    </row>
    <row r="78" spans="1:18" hidden="1" x14ac:dyDescent="0.2">
      <c r="A78" t="s">
        <v>35</v>
      </c>
      <c r="B78" s="4">
        <v>45513</v>
      </c>
      <c r="C78">
        <v>61</v>
      </c>
      <c r="D78" t="s">
        <v>24</v>
      </c>
      <c r="E78" t="s">
        <v>16</v>
      </c>
      <c r="F78" s="2">
        <v>0.51009866666666703</v>
      </c>
      <c r="G78" s="3">
        <v>28.876666666666701</v>
      </c>
      <c r="H78" s="3">
        <v>4652.6258205689301</v>
      </c>
      <c r="I78" s="3">
        <v>31.013139791278999</v>
      </c>
      <c r="J78" s="3">
        <v>31.0073432922363</v>
      </c>
      <c r="K78" s="3">
        <v>0.740364755925355</v>
      </c>
      <c r="L78" s="1">
        <v>1.1456116303929301E-3</v>
      </c>
      <c r="M78" s="3">
        <v>2.3872615314285199</v>
      </c>
      <c r="N78" s="3">
        <v>29.083164215087901</v>
      </c>
      <c r="O78" s="3">
        <v>32.995861053466797</v>
      </c>
      <c r="P78" s="3">
        <v>3.9126968383789098</v>
      </c>
      <c r="Q78" s="3">
        <f>+G78-I78</f>
        <v>-2.1364731246122979</v>
      </c>
      <c r="R78" s="3">
        <f>H78/67.19</f>
        <v>69.245807717948054</v>
      </c>
    </row>
    <row r="79" spans="1:18" hidden="1" x14ac:dyDescent="0.2">
      <c r="A79" t="s">
        <v>35</v>
      </c>
      <c r="B79" s="4">
        <v>45534</v>
      </c>
      <c r="C79">
        <v>61</v>
      </c>
      <c r="D79" t="s">
        <v>24</v>
      </c>
      <c r="E79" t="s">
        <v>32</v>
      </c>
      <c r="F79" s="2">
        <v>1.08236</v>
      </c>
      <c r="G79" s="3">
        <v>34.163333333333298</v>
      </c>
      <c r="H79" s="3">
        <v>4652.6258205689301</v>
      </c>
      <c r="I79" s="3">
        <v>30.8596321312078</v>
      </c>
      <c r="J79" s="3">
        <v>30.805370330810501</v>
      </c>
      <c r="K79" s="3">
        <v>0.57035839456069004</v>
      </c>
      <c r="L79" s="1">
        <v>9.5028457372735601E-4</v>
      </c>
      <c r="M79" s="3">
        <v>1.84823458729405</v>
      </c>
      <c r="N79" s="3">
        <v>29.790918350219702</v>
      </c>
      <c r="O79" s="3">
        <v>32.146171569824197</v>
      </c>
      <c r="P79" s="3">
        <v>2.35525321960449</v>
      </c>
      <c r="Q79" s="3">
        <f>+G79-I79</f>
        <v>3.3037012021254988</v>
      </c>
      <c r="R79" s="3">
        <f>H79/67.19</f>
        <v>69.245807717948054</v>
      </c>
    </row>
    <row r="80" spans="1:18" hidden="1" x14ac:dyDescent="0.2">
      <c r="A80" t="s">
        <v>35</v>
      </c>
      <c r="B80" s="4">
        <v>45513</v>
      </c>
      <c r="C80">
        <v>37</v>
      </c>
      <c r="D80" t="s">
        <v>15</v>
      </c>
      <c r="E80" t="s">
        <v>16</v>
      </c>
      <c r="F80" s="2">
        <v>0.173181</v>
      </c>
      <c r="G80" s="3">
        <v>32.0833333333333</v>
      </c>
      <c r="H80" s="3">
        <v>3729.7592997811798</v>
      </c>
      <c r="I80" s="3">
        <v>31.547478327795499</v>
      </c>
      <c r="J80" s="3">
        <v>31.600819587707502</v>
      </c>
      <c r="K80" s="3">
        <v>0.76247059153015395</v>
      </c>
      <c r="L80" s="1">
        <v>1.1798173407076601E-3</v>
      </c>
      <c r="M80" s="3">
        <v>2.4168986934793</v>
      </c>
      <c r="N80" s="3">
        <v>29.147031784057599</v>
      </c>
      <c r="O80" s="3">
        <v>33.570156097412102</v>
      </c>
      <c r="P80" s="3">
        <v>4.4231243133544904</v>
      </c>
      <c r="Q80" s="3">
        <f>+G80-I80</f>
        <v>0.53585500553780108</v>
      </c>
      <c r="R80" s="3">
        <f>H80/67.19</f>
        <v>55.510631043029917</v>
      </c>
    </row>
    <row r="81" spans="1:18" hidden="1" x14ac:dyDescent="0.2">
      <c r="A81" t="s">
        <v>35</v>
      </c>
      <c r="B81" s="4">
        <v>45534</v>
      </c>
      <c r="C81">
        <v>37</v>
      </c>
      <c r="D81" t="s">
        <v>15</v>
      </c>
      <c r="E81" t="s">
        <v>25</v>
      </c>
      <c r="F81" s="2">
        <v>0.36331466666666701</v>
      </c>
      <c r="G81" s="3">
        <v>33.203333333333298</v>
      </c>
      <c r="H81" s="3">
        <v>3729.7592997811798</v>
      </c>
      <c r="I81" s="3">
        <v>30.2870939671872</v>
      </c>
      <c r="J81" s="3">
        <v>30.244081497192401</v>
      </c>
      <c r="K81" s="3">
        <v>0.24776433761358199</v>
      </c>
      <c r="L81" s="1">
        <v>4.1280470349754902E-4</v>
      </c>
      <c r="M81" s="3">
        <v>0.81805252719857602</v>
      </c>
      <c r="N81" s="3">
        <v>29.651035308837901</v>
      </c>
      <c r="O81" s="3">
        <v>31.210273742675799</v>
      </c>
      <c r="P81" s="3">
        <v>1.55923843383789</v>
      </c>
      <c r="Q81" s="3">
        <f>+G81-I81</f>
        <v>2.9162393661460975</v>
      </c>
      <c r="R81" s="3">
        <f>H81/67.19</f>
        <v>55.510631043029917</v>
      </c>
    </row>
    <row r="82" spans="1:18" hidden="1" x14ac:dyDescent="0.2">
      <c r="A82" t="s">
        <v>35</v>
      </c>
      <c r="B82" s="4">
        <v>45513</v>
      </c>
      <c r="C82">
        <v>57</v>
      </c>
      <c r="D82" t="s">
        <v>15</v>
      </c>
      <c r="E82" t="s">
        <v>25</v>
      </c>
      <c r="F82" s="2">
        <v>0.74029533333333297</v>
      </c>
      <c r="G82" s="3">
        <v>30.746666666666702</v>
      </c>
      <c r="H82" s="3">
        <v>4454.0481400437602</v>
      </c>
      <c r="I82" s="3">
        <v>30.404515241925498</v>
      </c>
      <c r="J82" s="3">
        <v>30.3944044113159</v>
      </c>
      <c r="K82" s="3">
        <v>0.61906377536147295</v>
      </c>
      <c r="L82" s="1">
        <v>9.5791521048655401E-4</v>
      </c>
      <c r="M82" s="3">
        <v>2.0360915819102798</v>
      </c>
      <c r="N82" s="3">
        <v>27.7815036773682</v>
      </c>
      <c r="O82" s="3">
        <v>32.140449523925803</v>
      </c>
      <c r="P82" s="3">
        <v>4.3589458465576199</v>
      </c>
      <c r="Q82" s="3">
        <f>+G82-I82</f>
        <v>0.34215142474120341</v>
      </c>
      <c r="R82" s="3">
        <f>H82/67.19</f>
        <v>66.290342908822154</v>
      </c>
    </row>
    <row r="83" spans="1:18" hidden="1" x14ac:dyDescent="0.2">
      <c r="A83" t="s">
        <v>35</v>
      </c>
      <c r="B83" s="4">
        <v>45534</v>
      </c>
      <c r="C83">
        <v>57</v>
      </c>
      <c r="D83" t="s">
        <v>15</v>
      </c>
      <c r="E83" t="s">
        <v>32</v>
      </c>
      <c r="F83" s="2">
        <v>0.88494633333333295</v>
      </c>
      <c r="G83" s="3">
        <v>31.6033333333333</v>
      </c>
      <c r="H83" s="3">
        <v>4454.0481400437602</v>
      </c>
      <c r="I83" s="3">
        <v>30.691039449957401</v>
      </c>
      <c r="J83" s="3">
        <v>30.699863433837901</v>
      </c>
      <c r="K83" s="3">
        <v>0.20483296134536799</v>
      </c>
      <c r="L83" s="1">
        <v>3.4127595072449299E-4</v>
      </c>
      <c r="M83" s="3">
        <v>0.66740314116553301</v>
      </c>
      <c r="N83" s="3">
        <v>30.183183670043899</v>
      </c>
      <c r="O83" s="3">
        <v>31.203575134277301</v>
      </c>
      <c r="P83" s="3">
        <v>1.0203914642334</v>
      </c>
      <c r="Q83" s="3">
        <f>+G83-I83</f>
        <v>0.91229388337589867</v>
      </c>
      <c r="R83" s="3">
        <f>H83/67.19</f>
        <v>66.290342908822154</v>
      </c>
    </row>
    <row r="84" spans="1:18" hidden="1" x14ac:dyDescent="0.2">
      <c r="A84" t="s">
        <v>35</v>
      </c>
      <c r="B84" s="4">
        <v>45513</v>
      </c>
      <c r="C84">
        <v>62</v>
      </c>
      <c r="D84" t="s">
        <v>15</v>
      </c>
      <c r="E84" t="s">
        <v>16</v>
      </c>
      <c r="F84" s="2">
        <v>0.481659</v>
      </c>
      <c r="G84" s="3">
        <v>28.62</v>
      </c>
      <c r="H84" s="3">
        <v>4184.9015317286603</v>
      </c>
      <c r="I84" s="3">
        <v>30.781848433508902</v>
      </c>
      <c r="J84" s="3">
        <v>30.914257049560501</v>
      </c>
      <c r="K84" s="3">
        <v>0.67249878712876898</v>
      </c>
      <c r="L84" s="1">
        <v>1.04059846959751E-3</v>
      </c>
      <c r="M84" s="3">
        <v>2.1847251589891199</v>
      </c>
      <c r="N84" s="3">
        <v>28.834297180175799</v>
      </c>
      <c r="O84" s="3">
        <v>32.725685119628899</v>
      </c>
      <c r="P84" s="3">
        <v>3.8913879394531201</v>
      </c>
      <c r="Q84" s="3">
        <f>+G84-I84</f>
        <v>-2.1618484335089008</v>
      </c>
      <c r="R84" s="3">
        <f>H84/67.19</f>
        <v>62.284588952651589</v>
      </c>
    </row>
    <row r="85" spans="1:18" hidden="1" x14ac:dyDescent="0.2">
      <c r="A85" t="s">
        <v>35</v>
      </c>
      <c r="B85" s="4">
        <v>45534</v>
      </c>
      <c r="C85">
        <v>62</v>
      </c>
      <c r="D85" t="s">
        <v>15</v>
      </c>
      <c r="E85" t="s">
        <v>32</v>
      </c>
      <c r="F85" s="2">
        <v>1.534967</v>
      </c>
      <c r="G85" s="3">
        <v>34.223333333333301</v>
      </c>
      <c r="H85" s="3">
        <v>4184.9015317286603</v>
      </c>
      <c r="I85" s="3">
        <v>31.125223870938299</v>
      </c>
      <c r="J85" s="3">
        <v>31.065507888793899</v>
      </c>
      <c r="K85" s="3">
        <v>0.37139633880913397</v>
      </c>
      <c r="L85" s="1">
        <v>6.1879024640459402E-4</v>
      </c>
      <c r="M85" s="3">
        <v>1.1932326666922599</v>
      </c>
      <c r="N85" s="3">
        <v>30.2890815734863</v>
      </c>
      <c r="O85" s="3">
        <v>32.122482299804702</v>
      </c>
      <c r="P85" s="3">
        <v>1.83340072631836</v>
      </c>
      <c r="Q85" s="3">
        <f>+G85-I85</f>
        <v>3.0981094623950014</v>
      </c>
      <c r="R85" s="3">
        <f>H85/67.19</f>
        <v>62.284588952651589</v>
      </c>
    </row>
  </sheetData>
  <autoFilter ref="A1:R85" xr:uid="{038F1240-1249-8147-A575-00B6905B5BB9}">
    <filterColumn colId="3">
      <filters>
        <filter val="P52A14SE"/>
      </filters>
    </filterColumn>
    <sortState xmlns:xlrd2="http://schemas.microsoft.com/office/spreadsheetml/2017/richdata2" ref="A2:R43">
      <sortCondition descending="1" ref="D1:D85"/>
    </sortState>
  </autoFilter>
  <sortState xmlns:xlrd2="http://schemas.microsoft.com/office/spreadsheetml/2017/richdata2" ref="A2:Q86">
    <sortCondition ref="C1:C8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BA88-943C-4505-A12F-7E28070C15CD}">
  <dimension ref="A1:I9"/>
  <sheetViews>
    <sheetView tabSelected="1" zoomScale="160" zoomScaleNormal="160" workbookViewId="0">
      <selection activeCell="B6" sqref="B6:I6"/>
    </sheetView>
  </sheetViews>
  <sheetFormatPr baseColWidth="10" defaultColWidth="8.83203125" defaultRowHeight="16" x14ac:dyDescent="0.2"/>
  <cols>
    <col min="2" max="2" width="10.33203125" bestFit="1" customWidth="1"/>
    <col min="5" max="5" width="10.33203125" bestFit="1" customWidth="1"/>
    <col min="9" max="9" width="14.33203125" bestFit="1" customWidth="1"/>
  </cols>
  <sheetData>
    <row r="1" spans="1:9" x14ac:dyDescent="0.2">
      <c r="I1" t="s">
        <v>44</v>
      </c>
    </row>
    <row r="2" spans="1:9" x14ac:dyDescent="0.2">
      <c r="A2" t="s">
        <v>42</v>
      </c>
      <c r="B2" t="s">
        <v>27</v>
      </c>
      <c r="C2" s="3">
        <f>AVERAGE(mm!I44:I46)</f>
        <v>30.885103316774632</v>
      </c>
      <c r="E2" t="s">
        <v>27</v>
      </c>
      <c r="F2" s="3">
        <f>AVERAGE(mm!I2:I4)</f>
        <v>37.930261587533835</v>
      </c>
      <c r="G2" t="s">
        <v>43</v>
      </c>
      <c r="I2" s="3">
        <f>F2-C2</f>
        <v>7.0451582707592024</v>
      </c>
    </row>
    <row r="3" spans="1:9" x14ac:dyDescent="0.2">
      <c r="B3" t="s">
        <v>20</v>
      </c>
      <c r="C3" s="3">
        <f>AVERAGE(mm!I47:I53)</f>
        <v>30.76398519406569</v>
      </c>
      <c r="E3" t="s">
        <v>20</v>
      </c>
      <c r="F3" s="3">
        <f>AVERAGE(mm!I5:I10)</f>
        <v>34.950820363694071</v>
      </c>
      <c r="I3" s="3">
        <f t="shared" ref="I3:I9" si="0">F3-C3</f>
        <v>4.186835169628381</v>
      </c>
    </row>
    <row r="4" spans="1:9" x14ac:dyDescent="0.2">
      <c r="B4" t="s">
        <v>19</v>
      </c>
      <c r="C4" s="3">
        <f>AVERAGE(mm!I54:I59)</f>
        <v>31.937928013509801</v>
      </c>
      <c r="E4" t="s">
        <v>19</v>
      </c>
      <c r="F4" s="3">
        <f>AVERAGE(mm!I11:I16)</f>
        <v>35.786655828897082</v>
      </c>
      <c r="I4" s="3">
        <f t="shared" si="0"/>
        <v>3.8487278153872815</v>
      </c>
    </row>
    <row r="5" spans="1:9" x14ac:dyDescent="0.2">
      <c r="B5" t="s">
        <v>23</v>
      </c>
      <c r="C5" s="3">
        <f>AVERAGE(mm!I60:I67)</f>
        <v>31.515149507115989</v>
      </c>
      <c r="E5" t="s">
        <v>23</v>
      </c>
      <c r="F5" s="3">
        <f>AVERAGE(mm!I17:I22)</f>
        <v>35.6385706656596</v>
      </c>
      <c r="I5" s="3">
        <f t="shared" si="0"/>
        <v>4.1234211585436107</v>
      </c>
    </row>
    <row r="6" spans="1:9" x14ac:dyDescent="0.2">
      <c r="B6" t="s">
        <v>17</v>
      </c>
      <c r="C6" s="3">
        <f>AVERAGE(mm!I68:I73)</f>
        <v>30.978934071474068</v>
      </c>
      <c r="E6" t="s">
        <v>17</v>
      </c>
      <c r="F6" s="3">
        <f>AVERAGE(mm!I23:I28)</f>
        <v>35.354476865111899</v>
      </c>
      <c r="I6" s="3">
        <f t="shared" si="0"/>
        <v>4.3755427936378304</v>
      </c>
    </row>
    <row r="7" spans="1:9" x14ac:dyDescent="0.2">
      <c r="B7" t="s">
        <v>30</v>
      </c>
      <c r="C7" s="3">
        <f>AVERAGE(mm!I74:I75)</f>
        <v>31.6514203097863</v>
      </c>
      <c r="E7" t="s">
        <v>30</v>
      </c>
      <c r="F7" s="3">
        <f>AVERAGE(mm!I29:I31)</f>
        <v>38.526965640410999</v>
      </c>
      <c r="I7" s="3">
        <f t="shared" si="0"/>
        <v>6.8755453306246999</v>
      </c>
    </row>
    <row r="8" spans="1:9" x14ac:dyDescent="0.2">
      <c r="B8" t="s">
        <v>24</v>
      </c>
      <c r="C8" s="3">
        <f>AVERAGE(mm!I76:I79)</f>
        <v>30.939408066591024</v>
      </c>
      <c r="E8" t="s">
        <v>24</v>
      </c>
      <c r="F8" s="3">
        <f>AVERAGE(mm!I32:I37)</f>
        <v>35.84960595284678</v>
      </c>
      <c r="I8" s="3">
        <f t="shared" si="0"/>
        <v>4.9101978862557552</v>
      </c>
    </row>
    <row r="9" spans="1:9" x14ac:dyDescent="0.2">
      <c r="B9" t="s">
        <v>15</v>
      </c>
      <c r="C9" s="3">
        <f>AVERAGE(mm!I80:I85)</f>
        <v>30.806199881885465</v>
      </c>
      <c r="E9" t="s">
        <v>15</v>
      </c>
      <c r="F9" s="3">
        <f>AVERAGE(mm!I38:I43)</f>
        <v>36.0411196619538</v>
      </c>
      <c r="I9" s="3">
        <f t="shared" si="0"/>
        <v>5.2349197800683349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thermal_summary_attribute_table</vt:lpstr>
      <vt:lpstr>Sheet2</vt:lpstr>
      <vt:lpstr>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Martina Meira</cp:lastModifiedBy>
  <dcterms:created xsi:type="dcterms:W3CDTF">2025-02-10T15:12:17Z</dcterms:created>
  <dcterms:modified xsi:type="dcterms:W3CDTF">2025-03-06T14:48:36Z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2025-02-10T16:53:39Z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77afe1ff-671b-4a91-89e1-d2682e4dbddb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50, 3, 0, 1</vt:lpwstr>
  </property>
</Properties>
</file>