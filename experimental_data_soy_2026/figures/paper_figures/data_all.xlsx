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64011320473/WOPIServiceId_TP_BOX_2/WOPIUserId_-/"/>
    </mc:Choice>
  </mc:AlternateContent>
  <xr:revisionPtr revIDLastSave="1514" documentId="13_ncr:1_{BE370A51-3580-4975-9415-F57F5E32F68F}" xr6:coauthVersionLast="47" xr6:coauthVersionMax="47" xr10:uidLastSave="{5F83AF4C-88AA-4864-928C-F827699C6B98}"/>
  <bookViews>
    <workbookView xWindow="-120" yWindow="-120" windowWidth="29040" windowHeight="15720" activeTab="1" xr2:uid="{614B2A41-5726-4E45-8134-3C9F8DC2163A}"/>
  </bookViews>
  <sheets>
    <sheet name="readme" sheetId="2" r:id="rId1"/>
    <sheet name="dataAll" sheetId="1" r:id="rId2"/>
    <sheet name="Sheet1" sheetId="3" r:id="rId3"/>
  </sheets>
  <externalReferences>
    <externalReference r:id="rId4"/>
  </externalReferences>
  <definedNames>
    <definedName name="_xlnm._FilterDatabase" localSheetId="1" hidden="1">dataAll!$A$1:$X$492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1" l="1"/>
  <c r="N370" i="1"/>
  <c r="V488" i="1"/>
  <c r="W488" i="1" s="1"/>
  <c r="R488" i="1"/>
  <c r="N488" i="1"/>
  <c r="O488" i="1" s="1"/>
  <c r="L488" i="1"/>
  <c r="V492" i="1"/>
  <c r="R492" i="1"/>
  <c r="N492" i="1"/>
  <c r="O492" i="1" s="1"/>
  <c r="L492" i="1"/>
  <c r="V491" i="1"/>
  <c r="R491" i="1"/>
  <c r="N491" i="1"/>
  <c r="O491" i="1" s="1"/>
  <c r="L491" i="1"/>
  <c r="V453" i="1"/>
  <c r="W453" i="1" s="1"/>
  <c r="R453" i="1"/>
  <c r="N453" i="1"/>
  <c r="O453" i="1" s="1"/>
  <c r="L453" i="1"/>
  <c r="V410" i="1"/>
  <c r="R410" i="1"/>
  <c r="N410" i="1"/>
  <c r="O410" i="1" s="1"/>
  <c r="L410" i="1"/>
  <c r="N452" i="1"/>
  <c r="O452" i="1" s="1"/>
  <c r="L452" i="1"/>
  <c r="V451" i="1"/>
  <c r="W451" i="1" s="1"/>
  <c r="X451" i="1" s="1"/>
  <c r="R451" i="1"/>
  <c r="N451" i="1"/>
  <c r="O451" i="1" s="1"/>
  <c r="L451" i="1"/>
  <c r="V489" i="1"/>
  <c r="W489" i="1" s="1"/>
  <c r="X489" i="1" s="1"/>
  <c r="R489" i="1"/>
  <c r="N489" i="1"/>
  <c r="O489" i="1" s="1"/>
  <c r="L489" i="1"/>
  <c r="V454" i="1"/>
  <c r="R454" i="1"/>
  <c r="N454" i="1"/>
  <c r="O454" i="1" s="1"/>
  <c r="L454" i="1"/>
  <c r="V490" i="1"/>
  <c r="R490" i="1"/>
  <c r="N490" i="1"/>
  <c r="O490" i="1" s="1"/>
  <c r="L490" i="1"/>
  <c r="V412" i="1"/>
  <c r="W412" i="1" s="1"/>
  <c r="R412" i="1"/>
  <c r="N412" i="1"/>
  <c r="O412" i="1" s="1"/>
  <c r="L412" i="1"/>
  <c r="V359" i="1"/>
  <c r="W359" i="1" s="1"/>
  <c r="X359" i="1" s="1"/>
  <c r="R359" i="1"/>
  <c r="N359" i="1"/>
  <c r="O359" i="1" s="1"/>
  <c r="L359" i="1"/>
  <c r="V358" i="1"/>
  <c r="R358" i="1"/>
  <c r="N358" i="1"/>
  <c r="O358" i="1" s="1"/>
  <c r="L358" i="1"/>
  <c r="V324" i="1"/>
  <c r="W324" i="1" s="1"/>
  <c r="R324" i="1"/>
  <c r="N324" i="1"/>
  <c r="O324" i="1" s="1"/>
  <c r="L324" i="1"/>
  <c r="V356" i="1"/>
  <c r="W356" i="1" s="1"/>
  <c r="X356" i="1" s="1"/>
  <c r="R356" i="1"/>
  <c r="N356" i="1"/>
  <c r="O356" i="1" s="1"/>
  <c r="L356" i="1"/>
  <c r="V216" i="1"/>
  <c r="R216" i="1"/>
  <c r="N216" i="1"/>
  <c r="O216" i="1" s="1"/>
  <c r="L216" i="1"/>
  <c r="N355" i="1"/>
  <c r="O355" i="1" s="1"/>
  <c r="L355" i="1"/>
  <c r="V327" i="1"/>
  <c r="W327" i="1" s="1"/>
  <c r="X327" i="1" s="1"/>
  <c r="R327" i="1"/>
  <c r="N327" i="1"/>
  <c r="O327" i="1" s="1"/>
  <c r="L327" i="1"/>
  <c r="V408" i="1"/>
  <c r="R408" i="1"/>
  <c r="N408" i="1"/>
  <c r="O408" i="1" s="1"/>
  <c r="L408" i="1"/>
  <c r="V357" i="1"/>
  <c r="R357" i="1"/>
  <c r="N357" i="1"/>
  <c r="O357" i="1" s="1"/>
  <c r="L357" i="1"/>
  <c r="V409" i="1"/>
  <c r="W409" i="1" s="1"/>
  <c r="R409" i="1"/>
  <c r="N409" i="1"/>
  <c r="O409" i="1" s="1"/>
  <c r="L409" i="1"/>
  <c r="V333" i="1"/>
  <c r="R333" i="1"/>
  <c r="N333" i="1"/>
  <c r="O333" i="1" s="1"/>
  <c r="L333" i="1"/>
  <c r="V262" i="1"/>
  <c r="R262" i="1"/>
  <c r="N262" i="1"/>
  <c r="O262" i="1" s="1"/>
  <c r="L262" i="1"/>
  <c r="V261" i="1"/>
  <c r="R261" i="1"/>
  <c r="N261" i="1"/>
  <c r="O261" i="1" s="1"/>
  <c r="L261" i="1"/>
  <c r="V87" i="1"/>
  <c r="W87" i="1" s="1"/>
  <c r="X87" i="1" s="1"/>
  <c r="R87" i="1"/>
  <c r="N87" i="1"/>
  <c r="O87" i="1" s="1"/>
  <c r="L87" i="1"/>
  <c r="V259" i="1"/>
  <c r="R259" i="1"/>
  <c r="N259" i="1"/>
  <c r="O259" i="1" s="1"/>
  <c r="L259" i="1"/>
  <c r="V486" i="1"/>
  <c r="R486" i="1"/>
  <c r="N486" i="1"/>
  <c r="O486" i="1" s="1"/>
  <c r="L486" i="1"/>
  <c r="N220" i="1"/>
  <c r="O220" i="1" s="1"/>
  <c r="L220" i="1"/>
  <c r="V219" i="1"/>
  <c r="R219" i="1"/>
  <c r="N219" i="1"/>
  <c r="O219" i="1" s="1"/>
  <c r="L219" i="1"/>
  <c r="V263" i="1"/>
  <c r="R263" i="1"/>
  <c r="N263" i="1"/>
  <c r="O263" i="1" s="1"/>
  <c r="L263" i="1"/>
  <c r="V260" i="1"/>
  <c r="R260" i="1"/>
  <c r="N260" i="1"/>
  <c r="O260" i="1" s="1"/>
  <c r="L260" i="1"/>
  <c r="V323" i="1"/>
  <c r="W323" i="1" s="1"/>
  <c r="X323" i="1" s="1"/>
  <c r="R323" i="1"/>
  <c r="N323" i="1"/>
  <c r="O323" i="1" s="1"/>
  <c r="L323" i="1"/>
  <c r="V252" i="1"/>
  <c r="R252" i="1"/>
  <c r="N252" i="1"/>
  <c r="O252" i="1" s="1"/>
  <c r="L252" i="1"/>
  <c r="V160" i="1"/>
  <c r="W160" i="1" s="1"/>
  <c r="R160" i="1"/>
  <c r="N160" i="1"/>
  <c r="O160" i="1" s="1"/>
  <c r="L160" i="1"/>
  <c r="V159" i="1"/>
  <c r="R159" i="1"/>
  <c r="N159" i="1"/>
  <c r="O159" i="1" s="1"/>
  <c r="L159" i="1"/>
  <c r="V405" i="1"/>
  <c r="R405" i="1"/>
  <c r="N405" i="1"/>
  <c r="O405" i="1" s="1"/>
  <c r="L405" i="1"/>
  <c r="V124" i="1"/>
  <c r="R124" i="1"/>
  <c r="N124" i="1"/>
  <c r="O124" i="1" s="1"/>
  <c r="L124" i="1"/>
  <c r="V319" i="1"/>
  <c r="W319" i="1" s="1"/>
  <c r="R319" i="1"/>
  <c r="N319" i="1"/>
  <c r="O319" i="1" s="1"/>
  <c r="L319" i="1"/>
  <c r="N123" i="1"/>
  <c r="O123" i="1" s="1"/>
  <c r="L123" i="1"/>
  <c r="V122" i="1"/>
  <c r="W122" i="1" s="1"/>
  <c r="R122" i="1"/>
  <c r="N122" i="1"/>
  <c r="O122" i="1" s="1"/>
  <c r="L122" i="1"/>
  <c r="V161" i="1"/>
  <c r="W161" i="1" s="1"/>
  <c r="R161" i="1"/>
  <c r="N161" i="1"/>
  <c r="O161" i="1" s="1"/>
  <c r="L161" i="1"/>
  <c r="V158" i="1"/>
  <c r="W158" i="1" s="1"/>
  <c r="X158" i="1" s="1"/>
  <c r="R158" i="1"/>
  <c r="N158" i="1"/>
  <c r="O158" i="1" s="1"/>
  <c r="L158" i="1"/>
  <c r="V162" i="1"/>
  <c r="W162" i="1" s="1"/>
  <c r="X162" i="1" s="1"/>
  <c r="R162" i="1"/>
  <c r="N162" i="1"/>
  <c r="O162" i="1" s="1"/>
  <c r="L162" i="1"/>
  <c r="V241" i="1"/>
  <c r="R241" i="1"/>
  <c r="N241" i="1"/>
  <c r="O241" i="1" s="1"/>
  <c r="L241" i="1"/>
  <c r="V84" i="1"/>
  <c r="W84" i="1" s="1"/>
  <c r="R84" i="1"/>
  <c r="N84" i="1"/>
  <c r="O84" i="1" s="1"/>
  <c r="L84" i="1"/>
  <c r="V83" i="1"/>
  <c r="R83" i="1"/>
  <c r="N83" i="1"/>
  <c r="O83" i="1" s="1"/>
  <c r="L83" i="1"/>
  <c r="V211" i="1"/>
  <c r="R211" i="1"/>
  <c r="N211" i="1"/>
  <c r="O211" i="1" s="1"/>
  <c r="L211" i="1"/>
  <c r="V43" i="1"/>
  <c r="R43" i="1"/>
  <c r="N43" i="1"/>
  <c r="O43" i="1" s="1"/>
  <c r="L43" i="1"/>
  <c r="V82" i="1"/>
  <c r="W82" i="1" s="1"/>
  <c r="X82" i="1" s="1"/>
  <c r="R82" i="1"/>
  <c r="N82" i="1"/>
  <c r="O82" i="1" s="1"/>
  <c r="L82" i="1"/>
  <c r="N42" i="1"/>
  <c r="O42" i="1" s="1"/>
  <c r="L42" i="1"/>
  <c r="V41" i="1"/>
  <c r="R41" i="1"/>
  <c r="N41" i="1"/>
  <c r="O41" i="1" s="1"/>
  <c r="L41" i="1"/>
  <c r="V85" i="1"/>
  <c r="R85" i="1"/>
  <c r="N85" i="1"/>
  <c r="O85" i="1" s="1"/>
  <c r="L85" i="1"/>
  <c r="V487" i="1"/>
  <c r="R487" i="1"/>
  <c r="N487" i="1"/>
  <c r="O487" i="1" s="1"/>
  <c r="L487" i="1"/>
  <c r="V86" i="1"/>
  <c r="R86" i="1"/>
  <c r="N86" i="1"/>
  <c r="O86" i="1" s="1"/>
  <c r="L86" i="1"/>
  <c r="V121" i="1"/>
  <c r="R121" i="1"/>
  <c r="N121" i="1"/>
  <c r="O121" i="1" s="1"/>
  <c r="L121" i="1"/>
  <c r="V483" i="1"/>
  <c r="W483" i="1" s="1"/>
  <c r="X483" i="1" s="1"/>
  <c r="R483" i="1"/>
  <c r="N483" i="1"/>
  <c r="O483" i="1" s="1"/>
  <c r="L483" i="1"/>
  <c r="V450" i="1"/>
  <c r="R450" i="1"/>
  <c r="N450" i="1"/>
  <c r="O450" i="1" s="1"/>
  <c r="L450" i="1"/>
  <c r="V411" i="1"/>
  <c r="R411" i="1"/>
  <c r="N411" i="1"/>
  <c r="O411" i="1" s="1"/>
  <c r="L411" i="1"/>
  <c r="V448" i="1"/>
  <c r="R448" i="1"/>
  <c r="N448" i="1"/>
  <c r="O448" i="1" s="1"/>
  <c r="L448" i="1"/>
  <c r="V455" i="1"/>
  <c r="W455" i="1" s="1"/>
  <c r="R455" i="1"/>
  <c r="N455" i="1"/>
  <c r="O455" i="1" s="1"/>
  <c r="L455" i="1"/>
  <c r="N447" i="1"/>
  <c r="O447" i="1" s="1"/>
  <c r="L447" i="1"/>
  <c r="V446" i="1"/>
  <c r="W446" i="1" s="1"/>
  <c r="R446" i="1"/>
  <c r="N446" i="1"/>
  <c r="O446" i="1" s="1"/>
  <c r="L446" i="1"/>
  <c r="V484" i="1"/>
  <c r="R484" i="1"/>
  <c r="N484" i="1"/>
  <c r="O484" i="1" s="1"/>
  <c r="L484" i="1"/>
  <c r="V449" i="1"/>
  <c r="R449" i="1"/>
  <c r="N449" i="1"/>
  <c r="O449" i="1" s="1"/>
  <c r="L449" i="1"/>
  <c r="V485" i="1"/>
  <c r="W485" i="1" s="1"/>
  <c r="X485" i="1" s="1"/>
  <c r="R485" i="1"/>
  <c r="N485" i="1"/>
  <c r="O485" i="1" s="1"/>
  <c r="L485" i="1"/>
  <c r="V32" i="1"/>
  <c r="W32" i="1" s="1"/>
  <c r="X32" i="1" s="1"/>
  <c r="R32" i="1"/>
  <c r="N32" i="1"/>
  <c r="O32" i="1" s="1"/>
  <c r="L32" i="1"/>
  <c r="V354" i="1"/>
  <c r="R354" i="1"/>
  <c r="N354" i="1"/>
  <c r="O354" i="1" s="1"/>
  <c r="L354" i="1"/>
  <c r="V353" i="1"/>
  <c r="R353" i="1"/>
  <c r="N353" i="1"/>
  <c r="O353" i="1" s="1"/>
  <c r="L353" i="1"/>
  <c r="V325" i="1"/>
  <c r="W325" i="1" s="1"/>
  <c r="R325" i="1"/>
  <c r="N325" i="1"/>
  <c r="O325" i="1" s="1"/>
  <c r="L325" i="1"/>
  <c r="V351" i="1"/>
  <c r="R351" i="1"/>
  <c r="N351" i="1"/>
  <c r="O351" i="1" s="1"/>
  <c r="L351" i="1"/>
  <c r="V217" i="1"/>
  <c r="R217" i="1"/>
  <c r="N217" i="1"/>
  <c r="O217" i="1" s="1"/>
  <c r="L217" i="1"/>
  <c r="N350" i="1"/>
  <c r="O350" i="1" s="1"/>
  <c r="L350" i="1"/>
  <c r="V322" i="1"/>
  <c r="W322" i="1" s="1"/>
  <c r="X322" i="1" s="1"/>
  <c r="R322" i="1"/>
  <c r="N322" i="1"/>
  <c r="O322" i="1" s="1"/>
  <c r="L322" i="1"/>
  <c r="V403" i="1"/>
  <c r="R403" i="1"/>
  <c r="N403" i="1"/>
  <c r="O403" i="1" s="1"/>
  <c r="L403" i="1"/>
  <c r="V352" i="1"/>
  <c r="R352" i="1"/>
  <c r="N352" i="1"/>
  <c r="O352" i="1" s="1"/>
  <c r="L352" i="1"/>
  <c r="V404" i="1"/>
  <c r="W404" i="1" s="1"/>
  <c r="R404" i="1"/>
  <c r="N404" i="1"/>
  <c r="O404" i="1" s="1"/>
  <c r="L404" i="1"/>
  <c r="V31" i="1"/>
  <c r="R31" i="1"/>
  <c r="N31" i="1"/>
  <c r="O31" i="1" s="1"/>
  <c r="L31" i="1"/>
  <c r="V257" i="1"/>
  <c r="W257" i="1" s="1"/>
  <c r="R257" i="1"/>
  <c r="N257" i="1"/>
  <c r="O257" i="1" s="1"/>
  <c r="L257" i="1"/>
  <c r="V256" i="1"/>
  <c r="W256" i="1" s="1"/>
  <c r="R256" i="1"/>
  <c r="N256" i="1"/>
  <c r="O256" i="1" s="1"/>
  <c r="L256" i="1"/>
  <c r="V120" i="1"/>
  <c r="W120" i="1" s="1"/>
  <c r="X120" i="1" s="1"/>
  <c r="R120" i="1"/>
  <c r="N120" i="1"/>
  <c r="O120" i="1" s="1"/>
  <c r="L120" i="1"/>
  <c r="V254" i="1"/>
  <c r="R254" i="1"/>
  <c r="N254" i="1"/>
  <c r="O254" i="1" s="1"/>
  <c r="L254" i="1"/>
  <c r="V39" i="1"/>
  <c r="R39" i="1"/>
  <c r="N39" i="1"/>
  <c r="O39" i="1" s="1"/>
  <c r="L39" i="1"/>
  <c r="N215" i="1"/>
  <c r="O215" i="1" s="1"/>
  <c r="L215" i="1"/>
  <c r="V214" i="1"/>
  <c r="R214" i="1"/>
  <c r="N214" i="1"/>
  <c r="O214" i="1" s="1"/>
  <c r="L214" i="1"/>
  <c r="V258" i="1"/>
  <c r="W258" i="1" s="1"/>
  <c r="X258" i="1" s="1"/>
  <c r="R258" i="1"/>
  <c r="N258" i="1"/>
  <c r="O258" i="1" s="1"/>
  <c r="L258" i="1"/>
  <c r="V255" i="1"/>
  <c r="W255" i="1" s="1"/>
  <c r="R255" i="1"/>
  <c r="N255" i="1"/>
  <c r="O255" i="1" s="1"/>
  <c r="L255" i="1"/>
  <c r="V318" i="1"/>
  <c r="R318" i="1"/>
  <c r="N318" i="1"/>
  <c r="O318" i="1" s="1"/>
  <c r="L318" i="1"/>
  <c r="V30" i="1"/>
  <c r="R30" i="1"/>
  <c r="N30" i="1"/>
  <c r="O30" i="1" s="1"/>
  <c r="L30" i="1"/>
  <c r="V155" i="1"/>
  <c r="R155" i="1"/>
  <c r="N155" i="1"/>
  <c r="O155" i="1" s="1"/>
  <c r="L155" i="1"/>
  <c r="V154" i="1"/>
  <c r="W154" i="1" s="1"/>
  <c r="X154" i="1" s="1"/>
  <c r="R154" i="1"/>
  <c r="N154" i="1"/>
  <c r="O154" i="1" s="1"/>
  <c r="L154" i="1"/>
  <c r="V406" i="1"/>
  <c r="R406" i="1"/>
  <c r="N406" i="1"/>
  <c r="O406" i="1" s="1"/>
  <c r="L406" i="1"/>
  <c r="V119" i="1"/>
  <c r="W119" i="1" s="1"/>
  <c r="X119" i="1" s="1"/>
  <c r="R119" i="1"/>
  <c r="N119" i="1"/>
  <c r="O119" i="1" s="1"/>
  <c r="L119" i="1"/>
  <c r="V320" i="1"/>
  <c r="W320" i="1" s="1"/>
  <c r="R320" i="1"/>
  <c r="N320" i="1"/>
  <c r="O320" i="1" s="1"/>
  <c r="L320" i="1"/>
  <c r="N118" i="1"/>
  <c r="O118" i="1" s="1"/>
  <c r="L118" i="1"/>
  <c r="V117" i="1"/>
  <c r="R117" i="1"/>
  <c r="N117" i="1"/>
  <c r="O117" i="1" s="1"/>
  <c r="L117" i="1"/>
  <c r="V156" i="1"/>
  <c r="W156" i="1" s="1"/>
  <c r="X156" i="1" s="1"/>
  <c r="R156" i="1"/>
  <c r="N156" i="1"/>
  <c r="O156" i="1" s="1"/>
  <c r="L156" i="1"/>
  <c r="V153" i="1"/>
  <c r="W153" i="1" s="1"/>
  <c r="X153" i="1" s="1"/>
  <c r="R153" i="1"/>
  <c r="N153" i="1"/>
  <c r="O153" i="1" s="1"/>
  <c r="L153" i="1"/>
  <c r="V157" i="1"/>
  <c r="R157" i="1"/>
  <c r="N157" i="1"/>
  <c r="O157" i="1" s="1"/>
  <c r="L157" i="1"/>
  <c r="V29" i="1"/>
  <c r="R29" i="1"/>
  <c r="N29" i="1"/>
  <c r="O29" i="1" s="1"/>
  <c r="L29" i="1"/>
  <c r="V79" i="1"/>
  <c r="R79" i="1"/>
  <c r="N79" i="1"/>
  <c r="O79" i="1" s="1"/>
  <c r="L79" i="1"/>
  <c r="V78" i="1"/>
  <c r="R78" i="1"/>
  <c r="N78" i="1"/>
  <c r="O78" i="1" s="1"/>
  <c r="L78" i="1"/>
  <c r="V212" i="1"/>
  <c r="R212" i="1"/>
  <c r="N212" i="1"/>
  <c r="O212" i="1" s="1"/>
  <c r="L212" i="1"/>
  <c r="V38" i="1"/>
  <c r="R38" i="1"/>
  <c r="N38" i="1"/>
  <c r="O38" i="1" s="1"/>
  <c r="L38" i="1"/>
  <c r="V115" i="1"/>
  <c r="W115" i="1" s="1"/>
  <c r="X115" i="1" s="1"/>
  <c r="R115" i="1"/>
  <c r="N115" i="1"/>
  <c r="O115" i="1" s="1"/>
  <c r="L115" i="1"/>
  <c r="N37" i="1"/>
  <c r="O37" i="1" s="1"/>
  <c r="L37" i="1"/>
  <c r="V36" i="1"/>
  <c r="R36" i="1"/>
  <c r="N36" i="1"/>
  <c r="O36" i="1" s="1"/>
  <c r="L36" i="1"/>
  <c r="V80" i="1"/>
  <c r="W80" i="1" s="1"/>
  <c r="X80" i="1" s="1"/>
  <c r="R80" i="1"/>
  <c r="N80" i="1"/>
  <c r="O80" i="1" s="1"/>
  <c r="L80" i="1"/>
  <c r="V44" i="1"/>
  <c r="W44" i="1" s="1"/>
  <c r="R44" i="1"/>
  <c r="N44" i="1"/>
  <c r="O44" i="1" s="1"/>
  <c r="L44" i="1"/>
  <c r="V81" i="1"/>
  <c r="W81" i="1" s="1"/>
  <c r="X81" i="1" s="1"/>
  <c r="R81" i="1"/>
  <c r="N81" i="1"/>
  <c r="O81" i="1" s="1"/>
  <c r="L81" i="1"/>
  <c r="V28" i="1"/>
  <c r="W28" i="1" s="1"/>
  <c r="R28" i="1"/>
  <c r="N28" i="1"/>
  <c r="O28" i="1" s="1"/>
  <c r="L28" i="1"/>
  <c r="W243" i="1"/>
  <c r="X243" i="1" s="1"/>
  <c r="W200" i="1"/>
  <c r="X200" i="1" s="1"/>
  <c r="W142" i="1"/>
  <c r="X142" i="1" s="1"/>
  <c r="W104" i="1"/>
  <c r="X104" i="1" s="1"/>
  <c r="W308" i="1"/>
  <c r="X308" i="1" s="1"/>
  <c r="W17" i="1"/>
  <c r="X17" i="1" s="1"/>
  <c r="W472" i="1"/>
  <c r="X472" i="1" s="1"/>
  <c r="W67" i="1"/>
  <c r="X67" i="1" s="1"/>
  <c r="W435" i="1"/>
  <c r="X435" i="1" s="1"/>
  <c r="W392" i="1"/>
  <c r="X392" i="1" s="1"/>
  <c r="W174" i="1"/>
  <c r="X174" i="1" s="1"/>
  <c r="W110" i="1"/>
  <c r="X110" i="1" s="1"/>
  <c r="W179" i="1"/>
  <c r="X179" i="1" s="1"/>
  <c r="W68" i="1"/>
  <c r="X68" i="1" s="1"/>
  <c r="W206" i="1"/>
  <c r="X206" i="1" s="1"/>
  <c r="W478" i="1"/>
  <c r="X478" i="1" s="1"/>
  <c r="W148" i="1"/>
  <c r="X148" i="1" s="1"/>
  <c r="W73" i="1"/>
  <c r="X73" i="1" s="1"/>
  <c r="W40" i="1"/>
  <c r="X40" i="1" s="1"/>
  <c r="W249" i="1"/>
  <c r="X249" i="1" s="1"/>
  <c r="W473" i="1"/>
  <c r="X473" i="1" s="1"/>
  <c r="W281" i="1"/>
  <c r="X281" i="1" s="1"/>
  <c r="W201" i="1"/>
  <c r="X201" i="1" s="1"/>
  <c r="W244" i="1"/>
  <c r="X244" i="1" s="1"/>
  <c r="W18" i="1"/>
  <c r="X18" i="1" s="1"/>
  <c r="W105" i="1"/>
  <c r="X105" i="1" s="1"/>
  <c r="W143" i="1"/>
  <c r="X143" i="1" s="1"/>
  <c r="W441" i="1"/>
  <c r="X441" i="1" s="1"/>
  <c r="W309" i="1"/>
  <c r="X309" i="1" s="1"/>
  <c r="W398" i="1"/>
  <c r="X398" i="1" s="1"/>
  <c r="W436" i="1"/>
  <c r="X436" i="1" s="1"/>
  <c r="W393" i="1"/>
  <c r="X393" i="1" s="1"/>
  <c r="W175" i="1"/>
  <c r="X175" i="1" s="1"/>
  <c r="W314" i="1"/>
  <c r="X314" i="1" s="1"/>
  <c r="W64" i="1"/>
  <c r="X64" i="1" s="1"/>
  <c r="W111" i="1"/>
  <c r="X111" i="1" s="1"/>
  <c r="W282" i="1"/>
  <c r="X282" i="1" s="1"/>
  <c r="W180" i="1"/>
  <c r="X180" i="1" s="1"/>
  <c r="W149" i="1"/>
  <c r="X149" i="1" s="1"/>
  <c r="W207" i="1"/>
  <c r="X207" i="1" s="1"/>
  <c r="W24" i="1"/>
  <c r="X24" i="1" s="1"/>
  <c r="W250" i="1"/>
  <c r="X250" i="1" s="1"/>
  <c r="W74" i="1"/>
  <c r="X74" i="1" s="1"/>
  <c r="W479" i="1"/>
  <c r="X479" i="1" s="1"/>
  <c r="W202" i="1"/>
  <c r="X202" i="1" s="1"/>
  <c r="W69" i="1"/>
  <c r="X69" i="1" s="1"/>
  <c r="W245" i="1"/>
  <c r="X245" i="1" s="1"/>
  <c r="W144" i="1"/>
  <c r="X144" i="1" s="1"/>
  <c r="W106" i="1"/>
  <c r="X106" i="1" s="1"/>
  <c r="W310" i="1"/>
  <c r="X310" i="1" s="1"/>
  <c r="W474" i="1"/>
  <c r="X474" i="1" s="1"/>
  <c r="W442" i="1"/>
  <c r="X442" i="1" s="1"/>
  <c r="W437" i="1"/>
  <c r="X437" i="1" s="1"/>
  <c r="W399" i="1"/>
  <c r="X399" i="1" s="1"/>
  <c r="W394" i="1"/>
  <c r="X394" i="1" s="1"/>
  <c r="W176" i="1"/>
  <c r="X176" i="1" s="1"/>
  <c r="W315" i="1"/>
  <c r="X315" i="1" s="1"/>
  <c r="W25" i="1"/>
  <c r="X25" i="1" s="1"/>
  <c r="W93" i="1"/>
  <c r="X93" i="1" s="1"/>
  <c r="W112" i="1"/>
  <c r="X112" i="1" s="1"/>
  <c r="W150" i="1"/>
  <c r="X150" i="1" s="1"/>
  <c r="W208" i="1"/>
  <c r="X208" i="1" s="1"/>
  <c r="W251" i="1"/>
  <c r="X251" i="1" s="1"/>
  <c r="W181" i="1"/>
  <c r="X181" i="1" s="1"/>
  <c r="W480" i="1"/>
  <c r="X480" i="1" s="1"/>
  <c r="W75" i="1"/>
  <c r="X75" i="1" s="1"/>
  <c r="W283" i="1"/>
  <c r="X283" i="1" s="1"/>
  <c r="W246" i="1"/>
  <c r="X246" i="1" s="1"/>
  <c r="W311" i="1"/>
  <c r="X311" i="1" s="1"/>
  <c r="W145" i="1"/>
  <c r="X145" i="1" s="1"/>
  <c r="W107" i="1"/>
  <c r="X107" i="1" s="1"/>
  <c r="W203" i="1"/>
  <c r="X203" i="1" s="1"/>
  <c r="W70" i="1"/>
  <c r="X70" i="1" s="1"/>
  <c r="W475" i="1"/>
  <c r="X475" i="1" s="1"/>
  <c r="W443" i="1"/>
  <c r="X443" i="1" s="1"/>
  <c r="W438" i="1"/>
  <c r="X438" i="1" s="1"/>
  <c r="W400" i="1"/>
  <c r="X400" i="1" s="1"/>
  <c r="W395" i="1"/>
  <c r="X395" i="1" s="1"/>
  <c r="W177" i="1"/>
  <c r="X177" i="1" s="1"/>
  <c r="W182" i="1"/>
  <c r="X182" i="1" s="1"/>
  <c r="W116" i="1"/>
  <c r="X116" i="1" s="1"/>
  <c r="W26" i="1"/>
  <c r="X26" i="1" s="1"/>
  <c r="W76" i="1"/>
  <c r="X76" i="1" s="1"/>
  <c r="W77" i="1"/>
  <c r="X77" i="1" s="1"/>
  <c r="W247" i="1"/>
  <c r="X247" i="1" s="1"/>
  <c r="W151" i="1"/>
  <c r="X151" i="1" s="1"/>
  <c r="W146" i="1"/>
  <c r="X146" i="1" s="1"/>
  <c r="W113" i="1"/>
  <c r="X113" i="1" s="1"/>
  <c r="W312" i="1"/>
  <c r="X312" i="1" s="1"/>
  <c r="W204" i="1"/>
  <c r="X204" i="1" s="1"/>
  <c r="W114" i="1"/>
  <c r="X114" i="1" s="1"/>
  <c r="W108" i="1"/>
  <c r="X108" i="1" s="1"/>
  <c r="W152" i="1"/>
  <c r="X152" i="1" s="1"/>
  <c r="W34" i="1"/>
  <c r="X34" i="1" s="1"/>
  <c r="W210" i="1"/>
  <c r="X210" i="1" s="1"/>
  <c r="W71" i="1"/>
  <c r="X71" i="1" s="1"/>
  <c r="W476" i="1"/>
  <c r="X476" i="1" s="1"/>
  <c r="W209" i="1"/>
  <c r="X209" i="1" s="1"/>
  <c r="W439" i="1"/>
  <c r="X439" i="1" s="1"/>
  <c r="W183" i="1"/>
  <c r="X183" i="1" s="1"/>
  <c r="W396" i="1"/>
  <c r="X396" i="1" s="1"/>
  <c r="W178" i="1"/>
  <c r="X178" i="1" s="1"/>
  <c r="W27" i="1"/>
  <c r="X27" i="1" s="1"/>
  <c r="W303" i="1"/>
  <c r="X303" i="1" s="1"/>
  <c r="W444" i="1"/>
  <c r="X444" i="1" s="1"/>
  <c r="W284" i="1"/>
  <c r="X284" i="1" s="1"/>
  <c r="W316" i="1"/>
  <c r="X316" i="1" s="1"/>
  <c r="W401" i="1"/>
  <c r="X401" i="1" s="1"/>
  <c r="W72" i="1"/>
  <c r="X72" i="1" s="1"/>
  <c r="W285" i="1"/>
  <c r="X285" i="1" s="1"/>
  <c r="W109" i="1"/>
  <c r="X109" i="1" s="1"/>
  <c r="W205" i="1"/>
  <c r="X205" i="1" s="1"/>
  <c r="W248" i="1"/>
  <c r="X248" i="1" s="1"/>
  <c r="W313" i="1"/>
  <c r="X313" i="1" s="1"/>
  <c r="W317" i="1"/>
  <c r="X317" i="1" s="1"/>
  <c r="W147" i="1"/>
  <c r="X147" i="1" s="1"/>
  <c r="W402" i="1"/>
  <c r="X402" i="1" s="1"/>
  <c r="W253" i="1"/>
  <c r="X253" i="1" s="1"/>
  <c r="W477" i="1"/>
  <c r="X477" i="1" s="1"/>
  <c r="W482" i="1"/>
  <c r="X482" i="1" s="1"/>
  <c r="W481" i="1"/>
  <c r="X481" i="1" s="1"/>
  <c r="W440" i="1"/>
  <c r="X440" i="1" s="1"/>
  <c r="W445" i="1"/>
  <c r="X445" i="1" s="1"/>
  <c r="W397" i="1"/>
  <c r="X397" i="1" s="1"/>
  <c r="W173" i="1"/>
  <c r="X173" i="1" s="1"/>
  <c r="S412" i="1" l="1"/>
  <c r="S159" i="1"/>
  <c r="S353" i="1"/>
  <c r="S212" i="1"/>
  <c r="S406" i="1"/>
  <c r="S323" i="1"/>
  <c r="S155" i="1"/>
  <c r="S257" i="1"/>
  <c r="S319" i="1"/>
  <c r="S409" i="1"/>
  <c r="S120" i="1"/>
  <c r="S448" i="1"/>
  <c r="S161" i="1"/>
  <c r="S486" i="1"/>
  <c r="W260" i="1"/>
  <c r="X260" i="1" s="1"/>
  <c r="S262" i="1"/>
  <c r="S252" i="1"/>
  <c r="S263" i="1"/>
  <c r="S38" i="1"/>
  <c r="S325" i="1"/>
  <c r="S446" i="1"/>
  <c r="S411" i="1"/>
  <c r="S211" i="1"/>
  <c r="S405" i="1"/>
  <c r="S490" i="1"/>
  <c r="S115" i="1"/>
  <c r="S403" i="1"/>
  <c r="S85" i="1"/>
  <c r="S79" i="1"/>
  <c r="S80" i="1"/>
  <c r="S28" i="1"/>
  <c r="S404" i="1"/>
  <c r="S214" i="1"/>
  <c r="S241" i="1"/>
  <c r="S410" i="1"/>
  <c r="S255" i="1"/>
  <c r="S39" i="1"/>
  <c r="S485" i="1"/>
  <c r="S86" i="1"/>
  <c r="S453" i="1"/>
  <c r="X488" i="1"/>
  <c r="S84" i="1"/>
  <c r="S483" i="1"/>
  <c r="S454" i="1"/>
  <c r="S352" i="1"/>
  <c r="S119" i="1"/>
  <c r="S41" i="1"/>
  <c r="S324" i="1"/>
  <c r="S256" i="1"/>
  <c r="S492" i="1"/>
  <c r="S36" i="1"/>
  <c r="S121" i="1"/>
  <c r="X319" i="1"/>
  <c r="X324" i="1"/>
  <c r="S153" i="1"/>
  <c r="X161" i="1"/>
  <c r="S351" i="1"/>
  <c r="S83" i="1"/>
  <c r="S358" i="1"/>
  <c r="S450" i="1"/>
  <c r="W408" i="1"/>
  <c r="X408" i="1" s="1"/>
  <c r="S356" i="1"/>
  <c r="S217" i="1"/>
  <c r="S259" i="1"/>
  <c r="W38" i="1"/>
  <c r="X38" i="1" s="1"/>
  <c r="S162" i="1"/>
  <c r="S82" i="1"/>
  <c r="S87" i="1"/>
  <c r="S408" i="1"/>
  <c r="X256" i="1"/>
  <c r="S449" i="1"/>
  <c r="W121" i="1"/>
  <c r="X121" i="1" s="1"/>
  <c r="S122" i="1"/>
  <c r="S160" i="1"/>
  <c r="S254" i="1"/>
  <c r="S320" i="1"/>
  <c r="S157" i="1"/>
  <c r="S357" i="1"/>
  <c r="S117" i="1"/>
  <c r="S489" i="1"/>
  <c r="S81" i="1"/>
  <c r="S30" i="1"/>
  <c r="S216" i="1"/>
  <c r="S124" i="1"/>
  <c r="S333" i="1"/>
  <c r="S260" i="1"/>
  <c r="S44" i="1"/>
  <c r="S322" i="1"/>
  <c r="S455" i="1"/>
  <c r="S451" i="1"/>
  <c r="S29" i="1"/>
  <c r="S318" i="1"/>
  <c r="S484" i="1"/>
  <c r="S43" i="1"/>
  <c r="S261" i="1"/>
  <c r="W354" i="1"/>
  <c r="X354" i="1" s="1"/>
  <c r="W79" i="1"/>
  <c r="X79" i="1" s="1"/>
  <c r="W211" i="1"/>
  <c r="X211" i="1" s="1"/>
  <c r="W36" i="1"/>
  <c r="X36" i="1" s="1"/>
  <c r="X44" i="1"/>
  <c r="X320" i="1"/>
  <c r="W214" i="1"/>
  <c r="X214" i="1" s="1"/>
  <c r="X122" i="1"/>
  <c r="X412" i="1"/>
  <c r="W492" i="1"/>
  <c r="X492" i="1" s="1"/>
  <c r="W490" i="1"/>
  <c r="X490" i="1" s="1"/>
  <c r="W212" i="1"/>
  <c r="X212" i="1" s="1"/>
  <c r="W157" i="1"/>
  <c r="X157" i="1" s="1"/>
  <c r="W155" i="1"/>
  <c r="X155" i="1" s="1"/>
  <c r="W318" i="1"/>
  <c r="X318" i="1" s="1"/>
  <c r="W39" i="1"/>
  <c r="X39" i="1" s="1"/>
  <c r="X455" i="1"/>
  <c r="W86" i="1"/>
  <c r="X86" i="1" s="1"/>
  <c r="W85" i="1"/>
  <c r="X85" i="1" s="1"/>
  <c r="W405" i="1"/>
  <c r="X405" i="1" s="1"/>
  <c r="W262" i="1"/>
  <c r="X262" i="1" s="1"/>
  <c r="X409" i="1"/>
  <c r="S327" i="1"/>
  <c r="W406" i="1"/>
  <c r="X406" i="1" s="1"/>
  <c r="X257" i="1"/>
  <c r="X84" i="1"/>
  <c r="S158" i="1"/>
  <c r="W263" i="1"/>
  <c r="X263" i="1" s="1"/>
  <c r="W217" i="1"/>
  <c r="X217" i="1" s="1"/>
  <c r="X325" i="1"/>
  <c r="S32" i="1"/>
  <c r="S78" i="1"/>
  <c r="S31" i="1"/>
  <c r="S487" i="1"/>
  <c r="S154" i="1"/>
  <c r="S219" i="1"/>
  <c r="X28" i="1"/>
  <c r="W449" i="1"/>
  <c r="X449" i="1" s="1"/>
  <c r="X446" i="1"/>
  <c r="W78" i="1"/>
  <c r="X78" i="1" s="1"/>
  <c r="W31" i="1"/>
  <c r="X31" i="1" s="1"/>
  <c r="W487" i="1"/>
  <c r="X487" i="1" s="1"/>
  <c r="W358" i="1"/>
  <c r="X358" i="1" s="1"/>
  <c r="W30" i="1"/>
  <c r="X30" i="1" s="1"/>
  <c r="X255" i="1"/>
  <c r="W352" i="1"/>
  <c r="X352" i="1" s="1"/>
  <c r="W448" i="1"/>
  <c r="X448" i="1" s="1"/>
  <c r="W41" i="1"/>
  <c r="X41" i="1" s="1"/>
  <c r="W219" i="1"/>
  <c r="X219" i="1" s="1"/>
  <c r="W261" i="1"/>
  <c r="X261" i="1" s="1"/>
  <c r="W333" i="1"/>
  <c r="X333" i="1" s="1"/>
  <c r="W29" i="1"/>
  <c r="X29" i="1" s="1"/>
  <c r="W117" i="1"/>
  <c r="X117" i="1" s="1"/>
  <c r="W43" i="1"/>
  <c r="X43" i="1" s="1"/>
  <c r="W83" i="1"/>
  <c r="X83" i="1" s="1"/>
  <c r="W124" i="1"/>
  <c r="X124" i="1" s="1"/>
  <c r="W159" i="1"/>
  <c r="X159" i="1" s="1"/>
  <c r="W259" i="1"/>
  <c r="X259" i="1" s="1"/>
  <c r="X453" i="1"/>
  <c r="S488" i="1"/>
  <c r="W351" i="1"/>
  <c r="X351" i="1" s="1"/>
  <c r="S359" i="1"/>
  <c r="W484" i="1"/>
  <c r="X484" i="1" s="1"/>
  <c r="X404" i="1"/>
  <c r="W411" i="1"/>
  <c r="X411" i="1" s="1"/>
  <c r="X160" i="1"/>
  <c r="W410" i="1"/>
  <c r="X410" i="1" s="1"/>
  <c r="S258" i="1"/>
  <c r="S354" i="1"/>
  <c r="S156" i="1"/>
  <c r="S491" i="1"/>
  <c r="W254" i="1"/>
  <c r="X254" i="1" s="1"/>
  <c r="W403" i="1"/>
  <c r="X403" i="1" s="1"/>
  <c r="W450" i="1"/>
  <c r="X450" i="1" s="1"/>
  <c r="W252" i="1"/>
  <c r="X252" i="1" s="1"/>
  <c r="W216" i="1"/>
  <c r="X216" i="1" s="1"/>
  <c r="W454" i="1"/>
  <c r="X454" i="1" s="1"/>
  <c r="W353" i="1"/>
  <c r="X353" i="1" s="1"/>
  <c r="W241" i="1"/>
  <c r="X241" i="1" s="1"/>
  <c r="W486" i="1"/>
  <c r="X486" i="1" s="1"/>
  <c r="W357" i="1"/>
  <c r="X357" i="1" s="1"/>
  <c r="W491" i="1"/>
  <c r="X491" i="1" s="1"/>
  <c r="N390" i="1"/>
  <c r="O390" i="1" s="1"/>
  <c r="L390" i="1"/>
  <c r="N429" i="1"/>
  <c r="O429" i="1" s="1"/>
  <c r="L429" i="1"/>
  <c r="N430" i="1"/>
  <c r="O430" i="1" s="1"/>
  <c r="L430" i="1"/>
  <c r="N434" i="1"/>
  <c r="O434" i="1" s="1"/>
  <c r="L434" i="1"/>
  <c r="N389" i="1"/>
  <c r="O389" i="1" s="1"/>
  <c r="L389" i="1"/>
  <c r="N432" i="1"/>
  <c r="O432" i="1" s="1"/>
  <c r="L432" i="1"/>
  <c r="N433" i="1"/>
  <c r="O433" i="1" s="1"/>
  <c r="L433" i="1"/>
  <c r="N391" i="1"/>
  <c r="O391" i="1" s="1"/>
  <c r="L391" i="1"/>
  <c r="N431" i="1"/>
  <c r="O431" i="1" s="1"/>
  <c r="L431" i="1"/>
  <c r="N345" i="1"/>
  <c r="O345" i="1" s="1"/>
  <c r="L345" i="1"/>
  <c r="N347" i="1"/>
  <c r="O347" i="1" s="1"/>
  <c r="L347" i="1"/>
  <c r="N375" i="1"/>
  <c r="O375" i="1" s="1"/>
  <c r="L375" i="1"/>
  <c r="N388" i="1"/>
  <c r="O388" i="1" s="1"/>
  <c r="L388" i="1"/>
  <c r="N344" i="1"/>
  <c r="O344" i="1" s="1"/>
  <c r="L344" i="1"/>
  <c r="N386" i="1"/>
  <c r="O386" i="1" s="1"/>
  <c r="L386" i="1"/>
  <c r="N387" i="1"/>
  <c r="O387" i="1" s="1"/>
  <c r="L387" i="1"/>
  <c r="N346" i="1"/>
  <c r="O346" i="1" s="1"/>
  <c r="L346" i="1"/>
  <c r="N349" i="1"/>
  <c r="O349" i="1" s="1"/>
  <c r="L349" i="1"/>
  <c r="N279" i="1"/>
  <c r="O279" i="1" s="1"/>
  <c r="L279" i="1"/>
  <c r="N302" i="1"/>
  <c r="O302" i="1" s="1"/>
  <c r="L302" i="1"/>
  <c r="N326" i="1"/>
  <c r="O326" i="1" s="1"/>
  <c r="L326" i="1"/>
  <c r="N307" i="1"/>
  <c r="O307" i="1" s="1"/>
  <c r="L307" i="1"/>
  <c r="N278" i="1"/>
  <c r="O278" i="1" s="1"/>
  <c r="L278" i="1"/>
  <c r="N305" i="1"/>
  <c r="O305" i="1" s="1"/>
  <c r="L305" i="1"/>
  <c r="N306" i="1"/>
  <c r="O306" i="1" s="1"/>
  <c r="L306" i="1"/>
  <c r="N280" i="1"/>
  <c r="O280" i="1" s="1"/>
  <c r="L280" i="1"/>
  <c r="N304" i="1"/>
  <c r="O304" i="1" s="1"/>
  <c r="L304" i="1"/>
  <c r="N238" i="1"/>
  <c r="O238" i="1" s="1"/>
  <c r="L238" i="1"/>
  <c r="N240" i="1"/>
  <c r="O240" i="1" s="1"/>
  <c r="L240" i="1"/>
  <c r="N291" i="1"/>
  <c r="O291" i="1" s="1"/>
  <c r="L291" i="1"/>
  <c r="N277" i="1"/>
  <c r="O277" i="1" s="1"/>
  <c r="L277" i="1"/>
  <c r="N237" i="1"/>
  <c r="O237" i="1" s="1"/>
  <c r="L237" i="1"/>
  <c r="N275" i="1"/>
  <c r="O275" i="1" s="1"/>
  <c r="L275" i="1"/>
  <c r="N276" i="1"/>
  <c r="O276" i="1" s="1"/>
  <c r="L276" i="1"/>
  <c r="N239" i="1"/>
  <c r="O239" i="1" s="1"/>
  <c r="L239" i="1"/>
  <c r="N242" i="1"/>
  <c r="O242" i="1" s="1"/>
  <c r="L242" i="1"/>
  <c r="N136" i="1"/>
  <c r="O136" i="1" s="1"/>
  <c r="L136" i="1"/>
  <c r="N138" i="1"/>
  <c r="O138" i="1" s="1"/>
  <c r="L138" i="1"/>
  <c r="N213" i="1"/>
  <c r="O213" i="1" s="1"/>
  <c r="L213" i="1"/>
  <c r="N141" i="1"/>
  <c r="O141" i="1" s="1"/>
  <c r="L141" i="1"/>
  <c r="N66" i="1"/>
  <c r="O66" i="1" s="1"/>
  <c r="L66" i="1"/>
  <c r="N139" i="1"/>
  <c r="O139" i="1" s="1"/>
  <c r="L139" i="1"/>
  <c r="N140" i="1"/>
  <c r="O140" i="1" s="1"/>
  <c r="L140" i="1"/>
  <c r="N137" i="1"/>
  <c r="O137" i="1" s="1"/>
  <c r="L137" i="1"/>
  <c r="N65" i="1"/>
  <c r="O65" i="1" s="1"/>
  <c r="L65" i="1"/>
  <c r="N23" i="1"/>
  <c r="O23" i="1" s="1"/>
  <c r="L23" i="1"/>
  <c r="N62" i="1"/>
  <c r="O62" i="1" s="1"/>
  <c r="L62" i="1"/>
  <c r="N35" i="1"/>
  <c r="O35" i="1" s="1"/>
  <c r="L35" i="1"/>
  <c r="N63" i="1"/>
  <c r="O63" i="1" s="1"/>
  <c r="L63" i="1"/>
  <c r="N22" i="1"/>
  <c r="O22" i="1" s="1"/>
  <c r="L22" i="1"/>
  <c r="N20" i="1"/>
  <c r="O20" i="1" s="1"/>
  <c r="L20" i="1"/>
  <c r="N21" i="1"/>
  <c r="O21" i="1" s="1"/>
  <c r="L21" i="1"/>
  <c r="N61" i="1"/>
  <c r="O61" i="1" s="1"/>
  <c r="L61" i="1"/>
  <c r="N19" i="1"/>
  <c r="O19" i="1" s="1"/>
  <c r="L19" i="1"/>
  <c r="N471" i="1"/>
  <c r="O471" i="1" s="1"/>
  <c r="L471" i="1"/>
  <c r="N103" i="1"/>
  <c r="O103" i="1" s="1"/>
  <c r="L103" i="1"/>
  <c r="N199" i="1"/>
  <c r="O199" i="1" s="1"/>
  <c r="L199" i="1"/>
  <c r="N135" i="1"/>
  <c r="O135" i="1" s="1"/>
  <c r="L135" i="1"/>
  <c r="N274" i="1"/>
  <c r="O274" i="1" s="1"/>
  <c r="L274" i="1"/>
  <c r="N16" i="1"/>
  <c r="O16" i="1" s="1"/>
  <c r="L16" i="1"/>
  <c r="N428" i="1"/>
  <c r="O428" i="1" s="1"/>
  <c r="L428" i="1"/>
  <c r="N60" i="1"/>
  <c r="O60" i="1" s="1"/>
  <c r="L60" i="1"/>
  <c r="N343" i="1"/>
  <c r="O343" i="1" s="1"/>
  <c r="L343" i="1"/>
  <c r="N385" i="1"/>
  <c r="O385" i="1" s="1"/>
  <c r="L385" i="1"/>
  <c r="N236" i="1"/>
  <c r="O236" i="1" s="1"/>
  <c r="L236" i="1"/>
  <c r="N301" i="1"/>
  <c r="O301" i="1" s="1"/>
  <c r="L301" i="1"/>
  <c r="N470" i="1"/>
  <c r="O470" i="1" s="1"/>
  <c r="L470" i="1"/>
  <c r="N102" i="1"/>
  <c r="O102" i="1" s="1"/>
  <c r="L102" i="1"/>
  <c r="N198" i="1"/>
  <c r="O198" i="1" s="1"/>
  <c r="L198" i="1"/>
  <c r="N134" i="1"/>
  <c r="O134" i="1" s="1"/>
  <c r="L134" i="1"/>
  <c r="N273" i="1"/>
  <c r="O273" i="1" s="1"/>
  <c r="L273" i="1"/>
  <c r="N15" i="1"/>
  <c r="O15" i="1" s="1"/>
  <c r="L15" i="1"/>
  <c r="N427" i="1"/>
  <c r="O427" i="1" s="1"/>
  <c r="L427" i="1"/>
  <c r="N59" i="1"/>
  <c r="O59" i="1" s="1"/>
  <c r="L59" i="1"/>
  <c r="N342" i="1"/>
  <c r="O342" i="1" s="1"/>
  <c r="L342" i="1"/>
  <c r="N384" i="1"/>
  <c r="O384" i="1" s="1"/>
  <c r="L384" i="1"/>
  <c r="N235" i="1"/>
  <c r="O235" i="1" s="1"/>
  <c r="L235" i="1"/>
  <c r="N300" i="1"/>
  <c r="O300" i="1" s="1"/>
  <c r="L300" i="1"/>
  <c r="N469" i="1"/>
  <c r="O469" i="1" s="1"/>
  <c r="L469" i="1"/>
  <c r="N101" i="1"/>
  <c r="O101" i="1" s="1"/>
  <c r="L101" i="1"/>
  <c r="N197" i="1"/>
  <c r="O197" i="1" s="1"/>
  <c r="L197" i="1"/>
  <c r="N133" i="1"/>
  <c r="O133" i="1" s="1"/>
  <c r="L133" i="1"/>
  <c r="N272" i="1"/>
  <c r="O272" i="1" s="1"/>
  <c r="L272" i="1"/>
  <c r="N14" i="1"/>
  <c r="O14" i="1" s="1"/>
  <c r="L14" i="1"/>
  <c r="N426" i="1"/>
  <c r="O426" i="1" s="1"/>
  <c r="L426" i="1"/>
  <c r="N58" i="1"/>
  <c r="O58" i="1" s="1"/>
  <c r="L58" i="1"/>
  <c r="N341" i="1"/>
  <c r="O341" i="1" s="1"/>
  <c r="L341" i="1"/>
  <c r="N383" i="1"/>
  <c r="O383" i="1" s="1"/>
  <c r="L383" i="1"/>
  <c r="N234" i="1"/>
  <c r="O234" i="1" s="1"/>
  <c r="L234" i="1"/>
  <c r="N299" i="1"/>
  <c r="O299" i="1" s="1"/>
  <c r="L299" i="1"/>
  <c r="N468" i="1"/>
  <c r="O468" i="1" s="1"/>
  <c r="L468" i="1"/>
  <c r="N100" i="1"/>
  <c r="O100" i="1" s="1"/>
  <c r="L100" i="1"/>
  <c r="N196" i="1"/>
  <c r="O196" i="1" s="1"/>
  <c r="L196" i="1"/>
  <c r="N132" i="1"/>
  <c r="O132" i="1" s="1"/>
  <c r="L132" i="1"/>
  <c r="N271" i="1"/>
  <c r="O271" i="1" s="1"/>
  <c r="L271" i="1"/>
  <c r="N13" i="1"/>
  <c r="O13" i="1" s="1"/>
  <c r="L13" i="1"/>
  <c r="N425" i="1"/>
  <c r="O425" i="1" s="1"/>
  <c r="L425" i="1"/>
  <c r="N57" i="1"/>
  <c r="O57" i="1" s="1"/>
  <c r="L57" i="1"/>
  <c r="N340" i="1"/>
  <c r="O340" i="1" s="1"/>
  <c r="L340" i="1"/>
  <c r="N382" i="1"/>
  <c r="O382" i="1" s="1"/>
  <c r="L382" i="1"/>
  <c r="N233" i="1"/>
  <c r="O233" i="1" s="1"/>
  <c r="L233" i="1"/>
  <c r="N298" i="1"/>
  <c r="O298" i="1" s="1"/>
  <c r="L298" i="1"/>
  <c r="N467" i="1"/>
  <c r="O467" i="1" s="1"/>
  <c r="L467" i="1"/>
  <c r="N99" i="1"/>
  <c r="O99" i="1" s="1"/>
  <c r="L99" i="1"/>
  <c r="N195" i="1"/>
  <c r="O195" i="1" s="1"/>
  <c r="L195" i="1"/>
  <c r="N131" i="1"/>
  <c r="O131" i="1" s="1"/>
  <c r="L131" i="1"/>
  <c r="N270" i="1"/>
  <c r="O270" i="1" s="1"/>
  <c r="L270" i="1"/>
  <c r="N12" i="1"/>
  <c r="O12" i="1" s="1"/>
  <c r="L12" i="1"/>
  <c r="N424" i="1"/>
  <c r="O424" i="1" s="1"/>
  <c r="L424" i="1"/>
  <c r="N56" i="1"/>
  <c r="O56" i="1" s="1"/>
  <c r="L56" i="1"/>
  <c r="N339" i="1"/>
  <c r="O339" i="1" s="1"/>
  <c r="L339" i="1"/>
  <c r="N381" i="1"/>
  <c r="O381" i="1" s="1"/>
  <c r="L381" i="1"/>
  <c r="N232" i="1"/>
  <c r="O232" i="1" s="1"/>
  <c r="L232" i="1"/>
  <c r="N297" i="1"/>
  <c r="O297" i="1" s="1"/>
  <c r="L297" i="1"/>
  <c r="N466" i="1"/>
  <c r="O466" i="1" s="1"/>
  <c r="L466" i="1"/>
  <c r="N98" i="1"/>
  <c r="O98" i="1" s="1"/>
  <c r="L98" i="1"/>
  <c r="N194" i="1"/>
  <c r="O194" i="1" s="1"/>
  <c r="L194" i="1"/>
  <c r="N130" i="1"/>
  <c r="O130" i="1" s="1"/>
  <c r="L130" i="1"/>
  <c r="N269" i="1"/>
  <c r="O269" i="1" s="1"/>
  <c r="L269" i="1"/>
  <c r="N7" i="1"/>
  <c r="O7" i="1" s="1"/>
  <c r="L7" i="1"/>
  <c r="N423" i="1"/>
  <c r="O423" i="1" s="1"/>
  <c r="L423" i="1"/>
  <c r="N55" i="1"/>
  <c r="O55" i="1" s="1"/>
  <c r="L55" i="1"/>
  <c r="N338" i="1"/>
  <c r="O338" i="1" s="1"/>
  <c r="L338" i="1"/>
  <c r="N380" i="1"/>
  <c r="O380" i="1" s="1"/>
  <c r="L380" i="1"/>
  <c r="N231" i="1"/>
  <c r="O231" i="1" s="1"/>
  <c r="L231" i="1"/>
  <c r="N296" i="1"/>
  <c r="O296" i="1" s="1"/>
  <c r="L296" i="1"/>
  <c r="V193" i="1"/>
  <c r="U193" i="1"/>
  <c r="R193" i="1"/>
  <c r="N193" i="1"/>
  <c r="O193" i="1" s="1"/>
  <c r="M193" i="1"/>
  <c r="L193" i="1" s="1"/>
  <c r="V407" i="1"/>
  <c r="U407" i="1"/>
  <c r="R407" i="1"/>
  <c r="N407" i="1"/>
  <c r="O407" i="1" s="1"/>
  <c r="M407" i="1"/>
  <c r="L407" i="1" s="1"/>
  <c r="V172" i="1"/>
  <c r="U172" i="1"/>
  <c r="R172" i="1"/>
  <c r="N172" i="1"/>
  <c r="O172" i="1" s="1"/>
  <c r="M172" i="1"/>
  <c r="L172" i="1" s="1"/>
  <c r="V54" i="1"/>
  <c r="U54" i="1"/>
  <c r="R54" i="1"/>
  <c r="N54" i="1"/>
  <c r="O54" i="1" s="1"/>
  <c r="M54" i="1"/>
  <c r="L54" i="1" s="1"/>
  <c r="V188" i="1"/>
  <c r="U188" i="1"/>
  <c r="R188" i="1"/>
  <c r="N188" i="1"/>
  <c r="O188" i="1" s="1"/>
  <c r="L188" i="1"/>
  <c r="V6" i="1"/>
  <c r="U6" i="1"/>
  <c r="R6" i="1"/>
  <c r="N6" i="1"/>
  <c r="O6" i="1" s="1"/>
  <c r="L6" i="1"/>
  <c r="V167" i="1"/>
  <c r="U167" i="1"/>
  <c r="R167" i="1"/>
  <c r="N167" i="1"/>
  <c r="O167" i="1" s="1"/>
  <c r="L167" i="1"/>
  <c r="V49" i="1"/>
  <c r="U49" i="1"/>
  <c r="R49" i="1"/>
  <c r="N49" i="1"/>
  <c r="O49" i="1" s="1"/>
  <c r="L49" i="1"/>
  <c r="V377" i="1"/>
  <c r="U377" i="1"/>
  <c r="R377" i="1"/>
  <c r="N377" i="1"/>
  <c r="O377" i="1" s="1"/>
  <c r="M377" i="1"/>
  <c r="L377" i="1" s="1"/>
  <c r="V369" i="1"/>
  <c r="U369" i="1"/>
  <c r="R369" i="1"/>
  <c r="N369" i="1"/>
  <c r="O369" i="1" s="1"/>
  <c r="M369" i="1"/>
  <c r="L369" i="1" s="1"/>
  <c r="V422" i="1"/>
  <c r="U422" i="1"/>
  <c r="R422" i="1"/>
  <c r="N422" i="1"/>
  <c r="O422" i="1" s="1"/>
  <c r="M422" i="1"/>
  <c r="L422" i="1" s="1"/>
  <c r="V379" i="1"/>
  <c r="U379" i="1"/>
  <c r="R379" i="1"/>
  <c r="N379" i="1"/>
  <c r="O379" i="1" s="1"/>
  <c r="M379" i="1"/>
  <c r="L379" i="1" s="1"/>
  <c r="V290" i="1"/>
  <c r="U290" i="1"/>
  <c r="R290" i="1"/>
  <c r="N290" i="1"/>
  <c r="O290" i="1" s="1"/>
  <c r="L290" i="1"/>
  <c r="V364" i="1"/>
  <c r="U364" i="1"/>
  <c r="R364" i="1"/>
  <c r="N364" i="1"/>
  <c r="O364" i="1" s="1"/>
  <c r="L364" i="1"/>
  <c r="V417" i="1"/>
  <c r="U417" i="1"/>
  <c r="R417" i="1"/>
  <c r="N417" i="1"/>
  <c r="O417" i="1" s="1"/>
  <c r="L417" i="1"/>
  <c r="V374" i="1"/>
  <c r="U374" i="1"/>
  <c r="R374" i="1"/>
  <c r="N374" i="1"/>
  <c r="O374" i="1" s="1"/>
  <c r="L374" i="1"/>
  <c r="V378" i="1"/>
  <c r="U378" i="1"/>
  <c r="R378" i="1"/>
  <c r="N378" i="1"/>
  <c r="O378" i="1" s="1"/>
  <c r="M378" i="1"/>
  <c r="L378" i="1" s="1"/>
  <c r="V129" i="1"/>
  <c r="U129" i="1"/>
  <c r="R129" i="1"/>
  <c r="N129" i="1"/>
  <c r="O129" i="1" s="1"/>
  <c r="M129" i="1"/>
  <c r="L129" i="1" s="1"/>
  <c r="V230" i="1"/>
  <c r="U230" i="1"/>
  <c r="R230" i="1"/>
  <c r="N230" i="1"/>
  <c r="O230" i="1" s="1"/>
  <c r="M230" i="1"/>
  <c r="L230" i="1" s="1"/>
  <c r="V268" i="1"/>
  <c r="U268" i="1"/>
  <c r="R268" i="1"/>
  <c r="N268" i="1"/>
  <c r="O268" i="1" s="1"/>
  <c r="M268" i="1"/>
  <c r="L268" i="1" s="1"/>
  <c r="V465" i="1"/>
  <c r="U465" i="1"/>
  <c r="R465" i="1"/>
  <c r="N465" i="1"/>
  <c r="O465" i="1" s="1"/>
  <c r="M465" i="1"/>
  <c r="L465" i="1" s="1"/>
  <c r="V376" i="1"/>
  <c r="U376" i="1"/>
  <c r="R376" i="1"/>
  <c r="N376" i="1"/>
  <c r="O376" i="1" s="1"/>
  <c r="L376" i="1"/>
  <c r="V332" i="1"/>
  <c r="U332" i="1"/>
  <c r="R332" i="1"/>
  <c r="N332" i="1"/>
  <c r="O332" i="1" s="1"/>
  <c r="L332" i="1"/>
  <c r="V225" i="1"/>
  <c r="U225" i="1"/>
  <c r="R225" i="1"/>
  <c r="N225" i="1"/>
  <c r="O225" i="1" s="1"/>
  <c r="L225" i="1"/>
  <c r="V460" i="1"/>
  <c r="U460" i="1"/>
  <c r="R460" i="1"/>
  <c r="N460" i="1"/>
  <c r="O460" i="1" s="1"/>
  <c r="L460" i="1"/>
  <c r="V92" i="1"/>
  <c r="U92" i="1"/>
  <c r="R92" i="1"/>
  <c r="N92" i="1"/>
  <c r="O92" i="1" s="1"/>
  <c r="L92" i="1"/>
  <c r="V192" i="1"/>
  <c r="U192" i="1"/>
  <c r="R192" i="1"/>
  <c r="N192" i="1"/>
  <c r="O192" i="1" s="1"/>
  <c r="M192" i="1"/>
  <c r="L192" i="1" s="1"/>
  <c r="V348" i="1"/>
  <c r="U348" i="1"/>
  <c r="R348" i="1"/>
  <c r="N348" i="1"/>
  <c r="O348" i="1" s="1"/>
  <c r="M348" i="1"/>
  <c r="L348" i="1" s="1"/>
  <c r="V171" i="1"/>
  <c r="U171" i="1"/>
  <c r="R171" i="1"/>
  <c r="N171" i="1"/>
  <c r="O171" i="1" s="1"/>
  <c r="M171" i="1"/>
  <c r="L171" i="1" s="1"/>
  <c r="V53" i="1"/>
  <c r="U53" i="1"/>
  <c r="R53" i="1"/>
  <c r="N53" i="1"/>
  <c r="O53" i="1" s="1"/>
  <c r="M53" i="1"/>
  <c r="L53" i="1" s="1"/>
  <c r="V187" i="1"/>
  <c r="U187" i="1"/>
  <c r="R187" i="1"/>
  <c r="N187" i="1"/>
  <c r="O187" i="1" s="1"/>
  <c r="L187" i="1"/>
  <c r="V5" i="1"/>
  <c r="U5" i="1"/>
  <c r="R5" i="1"/>
  <c r="N5" i="1"/>
  <c r="O5" i="1" s="1"/>
  <c r="L5" i="1"/>
  <c r="V166" i="1"/>
  <c r="U166" i="1"/>
  <c r="R166" i="1"/>
  <c r="N166" i="1"/>
  <c r="O166" i="1" s="1"/>
  <c r="L166" i="1"/>
  <c r="V48" i="1"/>
  <c r="U48" i="1"/>
  <c r="R48" i="1"/>
  <c r="N48" i="1"/>
  <c r="O48" i="1" s="1"/>
  <c r="L48" i="1"/>
  <c r="V335" i="1"/>
  <c r="U335" i="1"/>
  <c r="R335" i="1"/>
  <c r="N335" i="1"/>
  <c r="O335" i="1" s="1"/>
  <c r="M335" i="1"/>
  <c r="L335" i="1" s="1"/>
  <c r="V368" i="1"/>
  <c r="U368" i="1"/>
  <c r="R368" i="1"/>
  <c r="N368" i="1"/>
  <c r="O368" i="1" s="1"/>
  <c r="M368" i="1"/>
  <c r="L368" i="1" s="1"/>
  <c r="V421" i="1"/>
  <c r="U421" i="1"/>
  <c r="R421" i="1"/>
  <c r="N421" i="1"/>
  <c r="O421" i="1" s="1"/>
  <c r="M421" i="1"/>
  <c r="L421" i="1" s="1"/>
  <c r="V337" i="1"/>
  <c r="U337" i="1"/>
  <c r="R337" i="1"/>
  <c r="N337" i="1"/>
  <c r="O337" i="1" s="1"/>
  <c r="M337" i="1"/>
  <c r="L337" i="1" s="1"/>
  <c r="V289" i="1"/>
  <c r="U289" i="1"/>
  <c r="R289" i="1"/>
  <c r="N289" i="1"/>
  <c r="O289" i="1" s="1"/>
  <c r="L289" i="1"/>
  <c r="V363" i="1"/>
  <c r="U363" i="1"/>
  <c r="R363" i="1"/>
  <c r="N363" i="1"/>
  <c r="O363" i="1" s="1"/>
  <c r="L363" i="1"/>
  <c r="V416" i="1"/>
  <c r="U416" i="1"/>
  <c r="R416" i="1"/>
  <c r="N416" i="1"/>
  <c r="O416" i="1" s="1"/>
  <c r="L416" i="1"/>
  <c r="V373" i="1"/>
  <c r="U373" i="1"/>
  <c r="R373" i="1"/>
  <c r="N373" i="1"/>
  <c r="O373" i="1" s="1"/>
  <c r="L373" i="1"/>
  <c r="V336" i="1"/>
  <c r="U336" i="1"/>
  <c r="R336" i="1"/>
  <c r="N336" i="1"/>
  <c r="O336" i="1" s="1"/>
  <c r="M336" i="1"/>
  <c r="L336" i="1" s="1"/>
  <c r="V128" i="1"/>
  <c r="U128" i="1"/>
  <c r="R128" i="1"/>
  <c r="N128" i="1"/>
  <c r="O128" i="1" s="1"/>
  <c r="M128" i="1"/>
  <c r="L128" i="1" s="1"/>
  <c r="V229" i="1"/>
  <c r="U229" i="1"/>
  <c r="R229" i="1"/>
  <c r="N229" i="1"/>
  <c r="O229" i="1" s="1"/>
  <c r="M229" i="1"/>
  <c r="L229" i="1" s="1"/>
  <c r="V267" i="1"/>
  <c r="U267" i="1"/>
  <c r="R267" i="1"/>
  <c r="N267" i="1"/>
  <c r="O267" i="1" s="1"/>
  <c r="M267" i="1"/>
  <c r="L267" i="1" s="1"/>
  <c r="V464" i="1"/>
  <c r="U464" i="1"/>
  <c r="R464" i="1"/>
  <c r="N464" i="1"/>
  <c r="O464" i="1" s="1"/>
  <c r="M464" i="1"/>
  <c r="L464" i="1" s="1"/>
  <c r="V334" i="1"/>
  <c r="U334" i="1"/>
  <c r="R334" i="1"/>
  <c r="N334" i="1"/>
  <c r="O334" i="1" s="1"/>
  <c r="M334" i="1"/>
  <c r="L334" i="1" s="1"/>
  <c r="V331" i="1"/>
  <c r="U331" i="1"/>
  <c r="R331" i="1"/>
  <c r="N331" i="1"/>
  <c r="O331" i="1" s="1"/>
  <c r="L331" i="1"/>
  <c r="V224" i="1"/>
  <c r="U224" i="1"/>
  <c r="R224" i="1"/>
  <c r="N224" i="1"/>
  <c r="O224" i="1" s="1"/>
  <c r="L224" i="1"/>
  <c r="V459" i="1"/>
  <c r="U459" i="1"/>
  <c r="R459" i="1"/>
  <c r="N459" i="1"/>
  <c r="O459" i="1" s="1"/>
  <c r="L459" i="1"/>
  <c r="V91" i="1"/>
  <c r="U91" i="1"/>
  <c r="R91" i="1"/>
  <c r="N91" i="1"/>
  <c r="O91" i="1" s="1"/>
  <c r="L91" i="1"/>
  <c r="V191" i="1"/>
  <c r="U191" i="1"/>
  <c r="R191" i="1"/>
  <c r="N191" i="1"/>
  <c r="O191" i="1" s="1"/>
  <c r="L191" i="1"/>
  <c r="V321" i="1"/>
  <c r="U321" i="1"/>
  <c r="R321" i="1"/>
  <c r="N321" i="1"/>
  <c r="O321" i="1" s="1"/>
  <c r="L321" i="1"/>
  <c r="V170" i="1"/>
  <c r="U170" i="1"/>
  <c r="R170" i="1"/>
  <c r="N170" i="1"/>
  <c r="O170" i="1" s="1"/>
  <c r="L170" i="1"/>
  <c r="V52" i="1"/>
  <c r="U52" i="1"/>
  <c r="R52" i="1"/>
  <c r="N52" i="1"/>
  <c r="O52" i="1" s="1"/>
  <c r="L52" i="1"/>
  <c r="V186" i="1"/>
  <c r="U186" i="1"/>
  <c r="R186" i="1"/>
  <c r="N186" i="1"/>
  <c r="O186" i="1" s="1"/>
  <c r="L186" i="1"/>
  <c r="V4" i="1"/>
  <c r="U4" i="1"/>
  <c r="R4" i="1"/>
  <c r="N4" i="1"/>
  <c r="O4" i="1" s="1"/>
  <c r="L4" i="1"/>
  <c r="V165" i="1"/>
  <c r="U165" i="1"/>
  <c r="R165" i="1"/>
  <c r="N165" i="1"/>
  <c r="O165" i="1" s="1"/>
  <c r="L165" i="1"/>
  <c r="V47" i="1"/>
  <c r="U47" i="1"/>
  <c r="R47" i="1"/>
  <c r="N47" i="1"/>
  <c r="O47" i="1" s="1"/>
  <c r="L47" i="1"/>
  <c r="V293" i="1"/>
  <c r="U293" i="1"/>
  <c r="R293" i="1"/>
  <c r="N293" i="1"/>
  <c r="O293" i="1" s="1"/>
  <c r="L293" i="1"/>
  <c r="V367" i="1"/>
  <c r="U367" i="1"/>
  <c r="R367" i="1"/>
  <c r="N367" i="1"/>
  <c r="O367" i="1" s="1"/>
  <c r="L367" i="1"/>
  <c r="V420" i="1"/>
  <c r="U420" i="1"/>
  <c r="R420" i="1"/>
  <c r="N420" i="1"/>
  <c r="O420" i="1" s="1"/>
  <c r="L420" i="1"/>
  <c r="V295" i="1"/>
  <c r="U295" i="1"/>
  <c r="R295" i="1"/>
  <c r="N295" i="1"/>
  <c r="O295" i="1" s="1"/>
  <c r="L295" i="1"/>
  <c r="V288" i="1"/>
  <c r="U288" i="1"/>
  <c r="R288" i="1"/>
  <c r="N288" i="1"/>
  <c r="O288" i="1" s="1"/>
  <c r="L288" i="1"/>
  <c r="V362" i="1"/>
  <c r="U362" i="1"/>
  <c r="R362" i="1"/>
  <c r="N362" i="1"/>
  <c r="O362" i="1" s="1"/>
  <c r="L362" i="1"/>
  <c r="V415" i="1"/>
  <c r="U415" i="1"/>
  <c r="R415" i="1"/>
  <c r="N415" i="1"/>
  <c r="O415" i="1" s="1"/>
  <c r="L415" i="1"/>
  <c r="V372" i="1"/>
  <c r="U372" i="1"/>
  <c r="R372" i="1"/>
  <c r="N372" i="1"/>
  <c r="O372" i="1" s="1"/>
  <c r="L372" i="1"/>
  <c r="V294" i="1"/>
  <c r="U294" i="1"/>
  <c r="R294" i="1"/>
  <c r="N294" i="1"/>
  <c r="O294" i="1" s="1"/>
  <c r="L294" i="1"/>
  <c r="V127" i="1"/>
  <c r="U127" i="1"/>
  <c r="R127" i="1"/>
  <c r="N127" i="1"/>
  <c r="O127" i="1" s="1"/>
  <c r="L127" i="1"/>
  <c r="V228" i="1"/>
  <c r="U228" i="1"/>
  <c r="R228" i="1"/>
  <c r="N228" i="1"/>
  <c r="O228" i="1" s="1"/>
  <c r="L228" i="1"/>
  <c r="V266" i="1"/>
  <c r="U266" i="1"/>
  <c r="R266" i="1"/>
  <c r="N266" i="1"/>
  <c r="O266" i="1" s="1"/>
  <c r="L266" i="1"/>
  <c r="V463" i="1"/>
  <c r="U463" i="1"/>
  <c r="R463" i="1"/>
  <c r="N463" i="1"/>
  <c r="O463" i="1" s="1"/>
  <c r="L463" i="1"/>
  <c r="V292" i="1"/>
  <c r="U292" i="1"/>
  <c r="R292" i="1"/>
  <c r="N292" i="1"/>
  <c r="O292" i="1" s="1"/>
  <c r="L292" i="1"/>
  <c r="V330" i="1"/>
  <c r="U330" i="1"/>
  <c r="R330" i="1"/>
  <c r="N330" i="1"/>
  <c r="O330" i="1" s="1"/>
  <c r="L330" i="1"/>
  <c r="V223" i="1"/>
  <c r="U223" i="1"/>
  <c r="R223" i="1"/>
  <c r="N223" i="1"/>
  <c r="O223" i="1" s="1"/>
  <c r="L223" i="1"/>
  <c r="V458" i="1"/>
  <c r="U458" i="1"/>
  <c r="R458" i="1"/>
  <c r="N458" i="1"/>
  <c r="O458" i="1" s="1"/>
  <c r="L458" i="1"/>
  <c r="V90" i="1"/>
  <c r="U90" i="1"/>
  <c r="R90" i="1"/>
  <c r="N90" i="1"/>
  <c r="O90" i="1" s="1"/>
  <c r="L90" i="1"/>
  <c r="V190" i="1"/>
  <c r="U190" i="1"/>
  <c r="R190" i="1"/>
  <c r="N190" i="1"/>
  <c r="O190" i="1" s="1"/>
  <c r="L190" i="1"/>
  <c r="V218" i="1"/>
  <c r="U218" i="1"/>
  <c r="R218" i="1"/>
  <c r="N218" i="1"/>
  <c r="O218" i="1" s="1"/>
  <c r="L218" i="1"/>
  <c r="V169" i="1"/>
  <c r="U169" i="1"/>
  <c r="R169" i="1"/>
  <c r="N169" i="1"/>
  <c r="O169" i="1" s="1"/>
  <c r="L169" i="1"/>
  <c r="V51" i="1"/>
  <c r="U51" i="1"/>
  <c r="R51" i="1"/>
  <c r="N51" i="1"/>
  <c r="O51" i="1" s="1"/>
  <c r="L51" i="1"/>
  <c r="V185" i="1"/>
  <c r="U185" i="1"/>
  <c r="R185" i="1"/>
  <c r="N185" i="1"/>
  <c r="O185" i="1" s="1"/>
  <c r="L185" i="1"/>
  <c r="V3" i="1"/>
  <c r="U3" i="1"/>
  <c r="R3" i="1"/>
  <c r="N3" i="1"/>
  <c r="O3" i="1" s="1"/>
  <c r="L3" i="1"/>
  <c r="V164" i="1"/>
  <c r="U164" i="1"/>
  <c r="R164" i="1"/>
  <c r="N164" i="1"/>
  <c r="O164" i="1" s="1"/>
  <c r="L164" i="1"/>
  <c r="V46" i="1"/>
  <c r="U46" i="1"/>
  <c r="R46" i="1"/>
  <c r="N46" i="1"/>
  <c r="O46" i="1" s="1"/>
  <c r="L46" i="1"/>
  <c r="V95" i="1"/>
  <c r="U95" i="1"/>
  <c r="R95" i="1"/>
  <c r="N95" i="1"/>
  <c r="O95" i="1" s="1"/>
  <c r="L95" i="1"/>
  <c r="V366" i="1"/>
  <c r="U366" i="1"/>
  <c r="R366" i="1"/>
  <c r="N366" i="1"/>
  <c r="O366" i="1" s="1"/>
  <c r="L366" i="1"/>
  <c r="V419" i="1"/>
  <c r="U419" i="1"/>
  <c r="R419" i="1"/>
  <c r="N419" i="1"/>
  <c r="O419" i="1" s="1"/>
  <c r="L419" i="1"/>
  <c r="V97" i="1"/>
  <c r="U97" i="1"/>
  <c r="R97" i="1"/>
  <c r="N97" i="1"/>
  <c r="O97" i="1" s="1"/>
  <c r="L97" i="1"/>
  <c r="V287" i="1"/>
  <c r="U287" i="1"/>
  <c r="R287" i="1"/>
  <c r="N287" i="1"/>
  <c r="O287" i="1" s="1"/>
  <c r="L287" i="1"/>
  <c r="V361" i="1"/>
  <c r="U361" i="1"/>
  <c r="R361" i="1"/>
  <c r="N361" i="1"/>
  <c r="O361" i="1" s="1"/>
  <c r="L361" i="1"/>
  <c r="V414" i="1"/>
  <c r="U414" i="1"/>
  <c r="R414" i="1"/>
  <c r="N414" i="1"/>
  <c r="O414" i="1" s="1"/>
  <c r="L414" i="1"/>
  <c r="V371" i="1"/>
  <c r="U371" i="1"/>
  <c r="R371" i="1"/>
  <c r="N371" i="1"/>
  <c r="O371" i="1" s="1"/>
  <c r="L371" i="1"/>
  <c r="V96" i="1"/>
  <c r="U96" i="1"/>
  <c r="R96" i="1"/>
  <c r="N96" i="1"/>
  <c r="O96" i="1" s="1"/>
  <c r="L96" i="1"/>
  <c r="V126" i="1"/>
  <c r="U126" i="1"/>
  <c r="R126" i="1"/>
  <c r="N126" i="1"/>
  <c r="O126" i="1" s="1"/>
  <c r="L126" i="1"/>
  <c r="V227" i="1"/>
  <c r="U227" i="1"/>
  <c r="R227" i="1"/>
  <c r="N227" i="1"/>
  <c r="O227" i="1" s="1"/>
  <c r="L227" i="1"/>
  <c r="V265" i="1"/>
  <c r="U265" i="1"/>
  <c r="R265" i="1"/>
  <c r="N265" i="1"/>
  <c r="O265" i="1" s="1"/>
  <c r="L265" i="1"/>
  <c r="V462" i="1"/>
  <c r="U462" i="1"/>
  <c r="R462" i="1"/>
  <c r="N462" i="1"/>
  <c r="O462" i="1" s="1"/>
  <c r="L462" i="1"/>
  <c r="V94" i="1"/>
  <c r="U94" i="1"/>
  <c r="R94" i="1"/>
  <c r="N94" i="1"/>
  <c r="O94" i="1" s="1"/>
  <c r="L94" i="1"/>
  <c r="V329" i="1"/>
  <c r="U329" i="1"/>
  <c r="R329" i="1"/>
  <c r="N329" i="1"/>
  <c r="O329" i="1" s="1"/>
  <c r="L329" i="1"/>
  <c r="V222" i="1"/>
  <c r="U222" i="1"/>
  <c r="R222" i="1"/>
  <c r="N222" i="1"/>
  <c r="O222" i="1" s="1"/>
  <c r="L222" i="1"/>
  <c r="V457" i="1"/>
  <c r="U457" i="1"/>
  <c r="R457" i="1"/>
  <c r="N457" i="1"/>
  <c r="O457" i="1" s="1"/>
  <c r="L457" i="1"/>
  <c r="V89" i="1"/>
  <c r="U89" i="1"/>
  <c r="R89" i="1"/>
  <c r="N89" i="1"/>
  <c r="O89" i="1" s="1"/>
  <c r="L89" i="1"/>
  <c r="V189" i="1"/>
  <c r="U189" i="1"/>
  <c r="R189" i="1"/>
  <c r="N189" i="1"/>
  <c r="O189" i="1" s="1"/>
  <c r="L189" i="1"/>
  <c r="V33" i="1"/>
  <c r="U33" i="1"/>
  <c r="R33" i="1"/>
  <c r="N33" i="1"/>
  <c r="O33" i="1" s="1"/>
  <c r="L33" i="1"/>
  <c r="V168" i="1"/>
  <c r="U168" i="1"/>
  <c r="R168" i="1"/>
  <c r="N168" i="1"/>
  <c r="O168" i="1" s="1"/>
  <c r="L168" i="1"/>
  <c r="V50" i="1"/>
  <c r="U50" i="1"/>
  <c r="R50" i="1"/>
  <c r="N50" i="1"/>
  <c r="O50" i="1" s="1"/>
  <c r="L50" i="1"/>
  <c r="V184" i="1"/>
  <c r="R184" i="1"/>
  <c r="N184" i="1"/>
  <c r="O184" i="1" s="1"/>
  <c r="L184" i="1"/>
  <c r="V2" i="1"/>
  <c r="W2" i="1" s="1"/>
  <c r="R2" i="1"/>
  <c r="N2" i="1"/>
  <c r="O2" i="1" s="1"/>
  <c r="L2" i="1"/>
  <c r="V163" i="1"/>
  <c r="W163" i="1" s="1"/>
  <c r="X163" i="1" s="1"/>
  <c r="R163" i="1"/>
  <c r="N163" i="1"/>
  <c r="O163" i="1" s="1"/>
  <c r="L163" i="1"/>
  <c r="V45" i="1"/>
  <c r="W45" i="1" s="1"/>
  <c r="X45" i="1" s="1"/>
  <c r="R45" i="1"/>
  <c r="N45" i="1"/>
  <c r="O45" i="1" s="1"/>
  <c r="L45" i="1"/>
  <c r="V9" i="1"/>
  <c r="U9" i="1"/>
  <c r="R9" i="1"/>
  <c r="N9" i="1"/>
  <c r="O9" i="1" s="1"/>
  <c r="L9" i="1"/>
  <c r="V365" i="1"/>
  <c r="U365" i="1"/>
  <c r="R365" i="1"/>
  <c r="N365" i="1"/>
  <c r="O365" i="1" s="1"/>
  <c r="L365" i="1"/>
  <c r="V418" i="1"/>
  <c r="U418" i="1"/>
  <c r="R418" i="1"/>
  <c r="N418" i="1"/>
  <c r="O418" i="1" s="1"/>
  <c r="L418" i="1"/>
  <c r="V11" i="1"/>
  <c r="U11" i="1"/>
  <c r="R11" i="1"/>
  <c r="N11" i="1"/>
  <c r="O11" i="1" s="1"/>
  <c r="L11" i="1"/>
  <c r="V286" i="1"/>
  <c r="W286" i="1" s="1"/>
  <c r="X286" i="1" s="1"/>
  <c r="R286" i="1"/>
  <c r="N286" i="1"/>
  <c r="O286" i="1" s="1"/>
  <c r="L286" i="1"/>
  <c r="V360" i="1"/>
  <c r="R360" i="1"/>
  <c r="N360" i="1"/>
  <c r="O360" i="1" s="1"/>
  <c r="L360" i="1"/>
  <c r="V413" i="1"/>
  <c r="W413" i="1" s="1"/>
  <c r="R413" i="1"/>
  <c r="N413" i="1"/>
  <c r="O413" i="1" s="1"/>
  <c r="L413" i="1"/>
  <c r="V370" i="1"/>
  <c r="W370" i="1" s="1"/>
  <c r="X370" i="1" s="1"/>
  <c r="R370" i="1"/>
  <c r="O370" i="1"/>
  <c r="L370" i="1"/>
  <c r="V10" i="1"/>
  <c r="U10" i="1"/>
  <c r="R10" i="1"/>
  <c r="N10" i="1"/>
  <c r="O10" i="1" s="1"/>
  <c r="L10" i="1"/>
  <c r="V125" i="1"/>
  <c r="U125" i="1"/>
  <c r="R125" i="1"/>
  <c r="N125" i="1"/>
  <c r="O125" i="1" s="1"/>
  <c r="L125" i="1"/>
  <c r="V226" i="1"/>
  <c r="U226" i="1"/>
  <c r="R226" i="1"/>
  <c r="N226" i="1"/>
  <c r="O226" i="1" s="1"/>
  <c r="L226" i="1"/>
  <c r="V264" i="1"/>
  <c r="U264" i="1"/>
  <c r="R264" i="1"/>
  <c r="N264" i="1"/>
  <c r="O264" i="1" s="1"/>
  <c r="L264" i="1"/>
  <c r="V461" i="1"/>
  <c r="U461" i="1"/>
  <c r="R461" i="1"/>
  <c r="N461" i="1"/>
  <c r="O461" i="1" s="1"/>
  <c r="L461" i="1"/>
  <c r="V8" i="1"/>
  <c r="U8" i="1"/>
  <c r="R8" i="1"/>
  <c r="N8" i="1"/>
  <c r="O8" i="1" s="1"/>
  <c r="L8" i="1"/>
  <c r="V328" i="1"/>
  <c r="R328" i="1"/>
  <c r="N328" i="1"/>
  <c r="O328" i="1" s="1"/>
  <c r="L328" i="1"/>
  <c r="V221" i="1"/>
  <c r="R221" i="1"/>
  <c r="N221" i="1"/>
  <c r="O221" i="1" s="1"/>
  <c r="L221" i="1"/>
  <c r="V456" i="1"/>
  <c r="W456" i="1" s="1"/>
  <c r="R456" i="1"/>
  <c r="N456" i="1"/>
  <c r="O456" i="1" s="1"/>
  <c r="L456" i="1"/>
  <c r="V88" i="1"/>
  <c r="W88" i="1" s="1"/>
  <c r="X88" i="1" s="1"/>
  <c r="R88" i="1"/>
  <c r="N88" i="1"/>
  <c r="O88" i="1" s="1"/>
  <c r="L88" i="1"/>
  <c r="W33" i="1" l="1"/>
  <c r="X33" i="1" s="1"/>
  <c r="W461" i="1"/>
  <c r="X461" i="1" s="1"/>
  <c r="W8" i="1"/>
  <c r="X8" i="1" s="1"/>
  <c r="W164" i="1"/>
  <c r="X164" i="1" s="1"/>
  <c r="W348" i="1"/>
  <c r="X348" i="1" s="1"/>
  <c r="W228" i="1"/>
  <c r="X228" i="1" s="1"/>
  <c r="W47" i="1"/>
  <c r="X47" i="1" s="1"/>
  <c r="W419" i="1"/>
  <c r="X419" i="1" s="1"/>
  <c r="W266" i="1"/>
  <c r="X266" i="1" s="1"/>
  <c r="W225" i="1"/>
  <c r="X225" i="1" s="1"/>
  <c r="S458" i="1"/>
  <c r="W218" i="1"/>
  <c r="X218" i="1" s="1"/>
  <c r="W128" i="1"/>
  <c r="X128" i="1" s="1"/>
  <c r="W292" i="1"/>
  <c r="X292" i="1" s="1"/>
  <c r="W52" i="1"/>
  <c r="X52" i="1" s="1"/>
  <c r="S185" i="1"/>
  <c r="W51" i="1"/>
  <c r="X51" i="1" s="1"/>
  <c r="W337" i="1"/>
  <c r="X337" i="1" s="1"/>
  <c r="W374" i="1"/>
  <c r="X374" i="1" s="1"/>
  <c r="S419" i="1"/>
  <c r="S365" i="1"/>
  <c r="W365" i="1"/>
  <c r="X365" i="1" s="1"/>
  <c r="S368" i="1"/>
  <c r="S337" i="1"/>
  <c r="S265" i="1"/>
  <c r="W53" i="1"/>
  <c r="X53" i="1" s="1"/>
  <c r="W94" i="1"/>
  <c r="X94" i="1" s="1"/>
  <c r="W226" i="1"/>
  <c r="X226" i="1" s="1"/>
  <c r="W457" i="1"/>
  <c r="X457" i="1" s="1"/>
  <c r="W95" i="1"/>
  <c r="X95" i="1" s="1"/>
  <c r="S127" i="1"/>
  <c r="S334" i="1"/>
  <c r="S348" i="1"/>
  <c r="W50" i="1"/>
  <c r="X50" i="1" s="1"/>
  <c r="S293" i="1"/>
  <c r="S287" i="1"/>
  <c r="S294" i="1"/>
  <c r="W9" i="1"/>
  <c r="X9" i="1" s="1"/>
  <c r="W230" i="1"/>
  <c r="X230" i="1" s="1"/>
  <c r="W6" i="1"/>
  <c r="X6" i="1" s="1"/>
  <c r="W172" i="1"/>
  <c r="X172" i="1" s="1"/>
  <c r="S10" i="1"/>
  <c r="W188" i="1"/>
  <c r="X188" i="1" s="1"/>
  <c r="S189" i="1"/>
  <c r="S11" i="1"/>
  <c r="S50" i="1"/>
  <c r="S125" i="1"/>
  <c r="S164" i="1"/>
  <c r="W268" i="1"/>
  <c r="X268" i="1" s="1"/>
  <c r="W293" i="1"/>
  <c r="X293" i="1" s="1"/>
  <c r="W458" i="1"/>
  <c r="X458" i="1" s="1"/>
  <c r="W415" i="1"/>
  <c r="X415" i="1" s="1"/>
  <c r="W336" i="1"/>
  <c r="X336" i="1" s="1"/>
  <c r="S168" i="1"/>
  <c r="W294" i="1"/>
  <c r="X294" i="1" s="1"/>
  <c r="W335" i="1"/>
  <c r="X335" i="1" s="1"/>
  <c r="W377" i="1"/>
  <c r="X377" i="1" s="1"/>
  <c r="W265" i="1"/>
  <c r="X265" i="1" s="1"/>
  <c r="X2" i="1"/>
  <c r="S371" i="1"/>
  <c r="W420" i="1"/>
  <c r="X420" i="1" s="1"/>
  <c r="S6" i="1"/>
  <c r="S186" i="1"/>
  <c r="W91" i="1"/>
  <c r="X91" i="1" s="1"/>
  <c r="W11" i="1"/>
  <c r="X11" i="1" s="1"/>
  <c r="W418" i="1"/>
  <c r="X418" i="1" s="1"/>
  <c r="S188" i="1"/>
  <c r="W417" i="1"/>
  <c r="X417" i="1" s="1"/>
  <c r="S222" i="1"/>
  <c r="S370" i="1"/>
  <c r="S329" i="1"/>
  <c r="S90" i="1"/>
  <c r="S230" i="1"/>
  <c r="W329" i="1"/>
  <c r="X329" i="1" s="1"/>
  <c r="S414" i="1"/>
  <c r="S191" i="1"/>
  <c r="S227" i="1"/>
  <c r="S2" i="1"/>
  <c r="S193" i="1"/>
  <c r="S331" i="1"/>
  <c r="S169" i="1"/>
  <c r="S463" i="1"/>
  <c r="S288" i="1"/>
  <c r="S367" i="1"/>
  <c r="S225" i="1"/>
  <c r="S418" i="1"/>
  <c r="S461" i="1"/>
  <c r="W295" i="1"/>
  <c r="X295" i="1" s="1"/>
  <c r="W328" i="1"/>
  <c r="X328" i="1" s="1"/>
  <c r="W126" i="1"/>
  <c r="X126" i="1" s="1"/>
  <c r="W287" i="1"/>
  <c r="X287" i="1" s="1"/>
  <c r="S330" i="1"/>
  <c r="W376" i="1"/>
  <c r="X376" i="1" s="1"/>
  <c r="W170" i="1"/>
  <c r="X170" i="1" s="1"/>
  <c r="W414" i="1"/>
  <c r="X414" i="1" s="1"/>
  <c r="W3" i="1"/>
  <c r="X3" i="1" s="1"/>
  <c r="W330" i="1"/>
  <c r="X330" i="1" s="1"/>
  <c r="W372" i="1"/>
  <c r="X372" i="1" s="1"/>
  <c r="W165" i="1"/>
  <c r="X165" i="1" s="1"/>
  <c r="W373" i="1"/>
  <c r="X373" i="1" s="1"/>
  <c r="W5" i="1"/>
  <c r="X5" i="1" s="1"/>
  <c r="S378" i="1"/>
  <c r="S462" i="1"/>
  <c r="S97" i="1"/>
  <c r="S46" i="1"/>
  <c r="W184" i="1"/>
  <c r="X184" i="1" s="1"/>
  <c r="W129" i="1"/>
  <c r="X129" i="1" s="1"/>
  <c r="S88" i="1"/>
  <c r="X456" i="1"/>
  <c r="W89" i="1"/>
  <c r="X89" i="1" s="1"/>
  <c r="W96" i="1"/>
  <c r="X96" i="1" s="1"/>
  <c r="W369" i="1"/>
  <c r="X369" i="1" s="1"/>
  <c r="W189" i="1"/>
  <c r="X189" i="1" s="1"/>
  <c r="W10" i="1"/>
  <c r="X10" i="1" s="1"/>
  <c r="S218" i="1"/>
  <c r="S264" i="1"/>
  <c r="S45" i="1"/>
  <c r="W462" i="1"/>
  <c r="X462" i="1" s="1"/>
  <c r="W190" i="1"/>
  <c r="X190" i="1" s="1"/>
  <c r="S266" i="1"/>
  <c r="W459" i="1"/>
  <c r="X459" i="1" s="1"/>
  <c r="W171" i="1"/>
  <c r="X171" i="1" s="1"/>
  <c r="W465" i="1"/>
  <c r="X465" i="1" s="1"/>
  <c r="S167" i="1"/>
  <c r="S129" i="1"/>
  <c r="S126" i="1"/>
  <c r="S89" i="1"/>
  <c r="S366" i="1"/>
  <c r="W264" i="1"/>
  <c r="X264" i="1" s="1"/>
  <c r="X413" i="1"/>
  <c r="W227" i="1"/>
  <c r="X227" i="1" s="1"/>
  <c r="W361" i="1"/>
  <c r="X361" i="1" s="1"/>
  <c r="W97" i="1"/>
  <c r="X97" i="1" s="1"/>
  <c r="S295" i="1"/>
  <c r="W267" i="1"/>
  <c r="X267" i="1" s="1"/>
  <c r="W416" i="1"/>
  <c r="X416" i="1" s="1"/>
  <c r="W92" i="1"/>
  <c r="X92" i="1" s="1"/>
  <c r="W379" i="1"/>
  <c r="X379" i="1" s="1"/>
  <c r="S94" i="1"/>
  <c r="W168" i="1"/>
  <c r="X168" i="1" s="1"/>
  <c r="W366" i="1"/>
  <c r="X366" i="1" s="1"/>
  <c r="W185" i="1"/>
  <c r="X185" i="1" s="1"/>
  <c r="W223" i="1"/>
  <c r="X223" i="1" s="1"/>
  <c r="W191" i="1"/>
  <c r="X191" i="1" s="1"/>
  <c r="W332" i="1"/>
  <c r="X332" i="1" s="1"/>
  <c r="S374" i="1"/>
  <c r="W229" i="1"/>
  <c r="X229" i="1" s="1"/>
  <c r="S290" i="1"/>
  <c r="S190" i="1"/>
  <c r="S184" i="1"/>
  <c r="S223" i="1"/>
  <c r="S91" i="1"/>
  <c r="S5" i="1"/>
  <c r="S369" i="1"/>
  <c r="S163" i="1"/>
  <c r="S47" i="1"/>
  <c r="S267" i="1"/>
  <c r="S335" i="1"/>
  <c r="S171" i="1"/>
  <c r="S92" i="1"/>
  <c r="S413" i="1"/>
  <c r="S321" i="1"/>
  <c r="S336" i="1"/>
  <c r="S363" i="1"/>
  <c r="S332" i="1"/>
  <c r="S268" i="1"/>
  <c r="S407" i="1"/>
  <c r="S328" i="1"/>
  <c r="S459" i="1"/>
  <c r="S417" i="1"/>
  <c r="S415" i="1"/>
  <c r="S421" i="1"/>
  <c r="S54" i="1"/>
  <c r="S457" i="1"/>
  <c r="S187" i="1"/>
  <c r="S379" i="1"/>
  <c r="S377" i="1"/>
  <c r="S9" i="1"/>
  <c r="S165" i="1"/>
  <c r="S48" i="1"/>
  <c r="S460" i="1"/>
  <c r="S52" i="1"/>
  <c r="S229" i="1"/>
  <c r="S289" i="1"/>
  <c r="S376" i="1"/>
  <c r="S456" i="1"/>
  <c r="S372" i="1"/>
  <c r="S51" i="1"/>
  <c r="S224" i="1"/>
  <c r="S373" i="1"/>
  <c r="S96" i="1"/>
  <c r="S292" i="1"/>
  <c r="S362" i="1"/>
  <c r="S364" i="1"/>
  <c r="S361" i="1"/>
  <c r="S422" i="1"/>
  <c r="S172" i="1"/>
  <c r="S360" i="1"/>
  <c r="S226" i="1"/>
  <c r="S286" i="1"/>
  <c r="S4" i="1"/>
  <c r="S166" i="1"/>
  <c r="S53" i="1"/>
  <c r="S49" i="1"/>
  <c r="S95" i="1"/>
  <c r="S420" i="1"/>
  <c r="S464" i="1"/>
  <c r="S128" i="1"/>
  <c r="S192" i="1"/>
  <c r="S465" i="1"/>
  <c r="S221" i="1"/>
  <c r="S3" i="1"/>
  <c r="S228" i="1"/>
  <c r="S170" i="1"/>
  <c r="S416" i="1"/>
  <c r="W125" i="1"/>
  <c r="X125" i="1" s="1"/>
  <c r="W222" i="1"/>
  <c r="X222" i="1" s="1"/>
  <c r="W371" i="1"/>
  <c r="X371" i="1" s="1"/>
  <c r="W46" i="1"/>
  <c r="X46" i="1" s="1"/>
  <c r="W90" i="1"/>
  <c r="X90" i="1" s="1"/>
  <c r="W127" i="1"/>
  <c r="X127" i="1" s="1"/>
  <c r="W367" i="1"/>
  <c r="X367" i="1" s="1"/>
  <c r="W321" i="1"/>
  <c r="X321" i="1" s="1"/>
  <c r="W187" i="1"/>
  <c r="X187" i="1" s="1"/>
  <c r="W460" i="1"/>
  <c r="X460" i="1" s="1"/>
  <c r="W169" i="1"/>
  <c r="X169" i="1" s="1"/>
  <c r="W463" i="1"/>
  <c r="X463" i="1" s="1"/>
  <c r="W288" i="1"/>
  <c r="X288" i="1" s="1"/>
  <c r="W186" i="1"/>
  <c r="X186" i="1" s="1"/>
  <c r="W331" i="1"/>
  <c r="X331" i="1" s="1"/>
  <c r="W363" i="1"/>
  <c r="X363" i="1" s="1"/>
  <c r="W421" i="1"/>
  <c r="X421" i="1" s="1"/>
  <c r="W48" i="1"/>
  <c r="X48" i="1" s="1"/>
  <c r="W407" i="1"/>
  <c r="X407" i="1" s="1"/>
  <c r="W364" i="1"/>
  <c r="X364" i="1" s="1"/>
  <c r="W422" i="1"/>
  <c r="X422" i="1" s="1"/>
  <c r="W49" i="1"/>
  <c r="X49" i="1" s="1"/>
  <c r="W221" i="1"/>
  <c r="X221" i="1" s="1"/>
  <c r="S8" i="1"/>
  <c r="W360" i="1"/>
  <c r="X360" i="1" s="1"/>
  <c r="S33" i="1"/>
  <c r="W378" i="1"/>
  <c r="X378" i="1" s="1"/>
  <c r="W362" i="1"/>
  <c r="X362" i="1" s="1"/>
  <c r="W4" i="1"/>
  <c r="X4" i="1" s="1"/>
  <c r="W224" i="1"/>
  <c r="X224" i="1" s="1"/>
  <c r="W464" i="1"/>
  <c r="X464" i="1" s="1"/>
  <c r="W289" i="1"/>
  <c r="X289" i="1" s="1"/>
  <c r="W166" i="1"/>
  <c r="X166" i="1" s="1"/>
  <c r="W192" i="1"/>
  <c r="X192" i="1" s="1"/>
  <c r="W54" i="1"/>
  <c r="X54" i="1" s="1"/>
  <c r="W334" i="1"/>
  <c r="X334" i="1" s="1"/>
  <c r="W368" i="1"/>
  <c r="X368" i="1" s="1"/>
  <c r="W290" i="1"/>
  <c r="X290" i="1" s="1"/>
  <c r="W167" i="1"/>
  <c r="X167" i="1" s="1"/>
  <c r="W193" i="1"/>
  <c r="X193" i="1" s="1"/>
</calcChain>
</file>

<file path=xl/sharedStrings.xml><?xml version="1.0" encoding="utf-8"?>
<sst xmlns="http://schemas.openxmlformats.org/spreadsheetml/2006/main" count="1064" uniqueCount="61">
  <si>
    <t>RepNo</t>
  </si>
  <si>
    <t>day</t>
  </si>
  <si>
    <t>Module</t>
  </si>
  <si>
    <t>Scale</t>
  </si>
  <si>
    <t>Genotype</t>
  </si>
  <si>
    <t>Treatment</t>
  </si>
  <si>
    <t>Initial_w</t>
  </si>
  <si>
    <t>Final_w</t>
  </si>
  <si>
    <t>start_time</t>
  </si>
  <si>
    <t>end_time</t>
  </si>
  <si>
    <t>treatment_time_seg</t>
  </si>
  <si>
    <t>treatment_time_mins</t>
  </si>
  <si>
    <t>Transpiration_g</t>
  </si>
  <si>
    <t>Transpiration_mg</t>
  </si>
  <si>
    <t>RelativeTransp</t>
  </si>
  <si>
    <t>LeafArea_squarecm</t>
  </si>
  <si>
    <t>LeafArea_squarem</t>
  </si>
  <si>
    <t>TR_mg_sqm_seg</t>
  </si>
  <si>
    <t>avg_temperature</t>
  </si>
  <si>
    <t>avg_rh</t>
  </si>
  <si>
    <t>e_s</t>
  </si>
  <si>
    <t>e_a</t>
  </si>
  <si>
    <t>avg_vpd</t>
  </si>
  <si>
    <t>PI377574</t>
  </si>
  <si>
    <t>PI603418D</t>
  </si>
  <si>
    <t>PI398617</t>
  </si>
  <si>
    <t>PI424231</t>
  </si>
  <si>
    <t>PI404191</t>
  </si>
  <si>
    <t>PI398198</t>
  </si>
  <si>
    <t>PI471938</t>
  </si>
  <si>
    <t>PI603171</t>
  </si>
  <si>
    <t>PI442012A</t>
  </si>
  <si>
    <t>PI416937</t>
  </si>
  <si>
    <t>AG43XF2</t>
  </si>
  <si>
    <t>PI398272</t>
  </si>
  <si>
    <t>A5959</t>
  </si>
  <si>
    <t>PI398492</t>
  </si>
  <si>
    <t>WUE_class</t>
  </si>
  <si>
    <t>high_wilting</t>
  </si>
  <si>
    <t>Nonplastic, Low WUE</t>
  </si>
  <si>
    <t>MAGIC parent</t>
  </si>
  <si>
    <t>Plastic, High WUE</t>
  </si>
  <si>
    <t>slow_wilting</t>
  </si>
  <si>
    <t>Target values:</t>
  </si>
  <si>
    <t>temp_celsius</t>
  </si>
  <si>
    <t>RH</t>
  </si>
  <si>
    <t>VPD (kPa)</t>
  </si>
  <si>
    <t>DayNo</t>
  </si>
  <si>
    <t>Date</t>
  </si>
  <si>
    <t>gsw1</t>
  </si>
  <si>
    <t>gsw2</t>
  </si>
  <si>
    <t>gsw3</t>
  </si>
  <si>
    <t>Tleaf3</t>
  </si>
  <si>
    <t>Tleaf1</t>
  </si>
  <si>
    <t>Tleaf2</t>
  </si>
  <si>
    <t>Rep</t>
  </si>
  <si>
    <t>WUE Class</t>
  </si>
  <si>
    <t>all</t>
  </si>
  <si>
    <t>1,2,3</t>
  </si>
  <si>
    <t>1,2,4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</si>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</sst>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F400]h:mm:ss\ AM/PM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Aptos Narrow"/>
      <family val="2"/>
      <scheme val="minor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.6"/>
      <color rgb="FF373A3C"/>
      <name val="Source Sans Pro"/>
      <family val="2"/>
    </font>
    <font>
      <sz val="9.6"/>
      <color rgb="FF373A3C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2" fontId="0" fillId="0" borderId="0" xfId="0" applyNumberFormat="1"/>
    <xf numFmtId="2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21" fontId="0" fillId="0" borderId="0" xfId="0" applyNumberFormat="1"/>
    <xf numFmtId="1" fontId="0" fillId="0" borderId="0" xfId="0" applyNumberFormat="1"/>
    <xf numFmtId="166" fontId="0" fillId="0" borderId="0" xfId="0" applyNumberFormat="1"/>
    <xf numFmtId="0" fontId="2" fillId="0" borderId="0" xfId="0" applyFont="1"/>
    <xf numFmtId="2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0" fillId="2" borderId="2" xfId="0" applyFill="1" applyBorder="1"/>
    <xf numFmtId="0" fontId="0" fillId="3" borderId="0" xfId="0" applyFill="1"/>
    <xf numFmtId="14" fontId="0" fillId="3" borderId="0" xfId="0" applyNumberFormat="1" applyFill="1"/>
    <xf numFmtId="0" fontId="0" fillId="3" borderId="2" xfId="0" applyFill="1" applyBorder="1"/>
    <xf numFmtId="0" fontId="4" fillId="0" borderId="0" xfId="0" applyFont="1" applyAlignment="1">
      <alignment horizontal="left" vertical="top" readingOrder="1"/>
    </xf>
    <xf numFmtId="0" fontId="3" fillId="0" borderId="1" xfId="0" applyFont="1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eira\Box\Experiments-2026\Soy-GC\Experiment%202026\RepNo1\growth_chamber_info\humidity.csv" TargetMode="External"/><Relationship Id="rId1" Type="http://schemas.openxmlformats.org/officeDocument/2006/relationships/externalLinkPath" Target="RepNo1/growth_chamber_info/humidit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midity"/>
    </sheetNames>
    <sheetDataSet>
      <sheetData sheetId="0">
        <row r="20277">
          <cell r="B20277">
            <v>68</v>
          </cell>
        </row>
        <row r="20430">
          <cell r="B20430">
            <v>60</v>
          </cell>
        </row>
        <row r="20431">
          <cell r="B20431">
            <v>61</v>
          </cell>
        </row>
        <row r="20432">
          <cell r="B20432">
            <v>62</v>
          </cell>
        </row>
        <row r="20433">
          <cell r="B20433">
            <v>62</v>
          </cell>
        </row>
        <row r="20434">
          <cell r="B20434">
            <v>62</v>
          </cell>
        </row>
        <row r="20435">
          <cell r="B20435">
            <v>63</v>
          </cell>
        </row>
        <row r="20436">
          <cell r="B20436">
            <v>63</v>
          </cell>
        </row>
        <row r="20437">
          <cell r="B20437">
            <v>63</v>
          </cell>
        </row>
        <row r="20438">
          <cell r="B20438">
            <v>64</v>
          </cell>
        </row>
        <row r="20439">
          <cell r="B20439">
            <v>64</v>
          </cell>
        </row>
        <row r="20440">
          <cell r="B20440">
            <v>64</v>
          </cell>
        </row>
        <row r="20441">
          <cell r="B20441">
            <v>64</v>
          </cell>
        </row>
        <row r="20442">
          <cell r="B20442">
            <v>63</v>
          </cell>
        </row>
        <row r="20443">
          <cell r="B20443">
            <v>62</v>
          </cell>
        </row>
        <row r="20444">
          <cell r="B20444">
            <v>61</v>
          </cell>
        </row>
        <row r="20445">
          <cell r="B20445">
            <v>60</v>
          </cell>
        </row>
        <row r="20446">
          <cell r="B20446">
            <v>59</v>
          </cell>
        </row>
        <row r="20447">
          <cell r="B20447">
            <v>58</v>
          </cell>
        </row>
        <row r="20448">
          <cell r="B20448">
            <v>57</v>
          </cell>
        </row>
        <row r="20449">
          <cell r="B20449">
            <v>56</v>
          </cell>
        </row>
        <row r="20450">
          <cell r="B20450">
            <v>55</v>
          </cell>
        </row>
        <row r="20451">
          <cell r="B20451">
            <v>54</v>
          </cell>
        </row>
        <row r="20452">
          <cell r="B20452">
            <v>54</v>
          </cell>
        </row>
        <row r="20453">
          <cell r="B20453">
            <v>53</v>
          </cell>
        </row>
        <row r="20454">
          <cell r="B20454">
            <v>53</v>
          </cell>
        </row>
        <row r="20455">
          <cell r="B20455">
            <v>52</v>
          </cell>
        </row>
        <row r="20456">
          <cell r="B20456">
            <v>52</v>
          </cell>
        </row>
        <row r="20457">
          <cell r="B20457">
            <v>52</v>
          </cell>
        </row>
        <row r="20458">
          <cell r="B20458">
            <v>53</v>
          </cell>
        </row>
        <row r="20459">
          <cell r="B20459">
            <v>54</v>
          </cell>
        </row>
        <row r="20460">
          <cell r="B20460">
            <v>56</v>
          </cell>
        </row>
        <row r="20461">
          <cell r="B20461">
            <v>57</v>
          </cell>
        </row>
        <row r="20462">
          <cell r="B20462">
            <v>58</v>
          </cell>
        </row>
        <row r="20463">
          <cell r="B20463">
            <v>59</v>
          </cell>
        </row>
        <row r="20464">
          <cell r="B20464">
            <v>60</v>
          </cell>
        </row>
        <row r="20465">
          <cell r="B20465">
            <v>61</v>
          </cell>
        </row>
        <row r="20466">
          <cell r="B20466">
            <v>62</v>
          </cell>
        </row>
        <row r="20467">
          <cell r="B20467">
            <v>62</v>
          </cell>
        </row>
        <row r="20468">
          <cell r="B20468">
            <v>63</v>
          </cell>
        </row>
        <row r="20469">
          <cell r="B20469">
            <v>63</v>
          </cell>
        </row>
        <row r="20470">
          <cell r="B20470">
            <v>63</v>
          </cell>
        </row>
        <row r="20471">
          <cell r="B20471">
            <v>63</v>
          </cell>
        </row>
        <row r="20472">
          <cell r="B20472">
            <v>63</v>
          </cell>
        </row>
        <row r="20473">
          <cell r="B20473">
            <v>62</v>
          </cell>
        </row>
        <row r="20474">
          <cell r="B20474">
            <v>61</v>
          </cell>
        </row>
        <row r="20475">
          <cell r="B20475">
            <v>60</v>
          </cell>
        </row>
        <row r="20476">
          <cell r="B20476">
            <v>59</v>
          </cell>
        </row>
        <row r="20477">
          <cell r="B20477">
            <v>58</v>
          </cell>
        </row>
        <row r="20478">
          <cell r="B20478">
            <v>57</v>
          </cell>
        </row>
        <row r="20479">
          <cell r="B20479">
            <v>56</v>
          </cell>
        </row>
        <row r="20480">
          <cell r="B20480">
            <v>55</v>
          </cell>
        </row>
        <row r="20481">
          <cell r="B20481">
            <v>54</v>
          </cell>
        </row>
        <row r="20482">
          <cell r="B20482">
            <v>53</v>
          </cell>
        </row>
        <row r="20483">
          <cell r="B20483">
            <v>53</v>
          </cell>
        </row>
        <row r="20484">
          <cell r="B20484">
            <v>52</v>
          </cell>
        </row>
        <row r="20485">
          <cell r="B20485">
            <v>52</v>
          </cell>
        </row>
        <row r="20486">
          <cell r="B20486">
            <v>52</v>
          </cell>
        </row>
        <row r="20487">
          <cell r="B20487">
            <v>51</v>
          </cell>
        </row>
        <row r="20488">
          <cell r="B20488">
            <v>52</v>
          </cell>
        </row>
        <row r="20489">
          <cell r="B20489">
            <v>54</v>
          </cell>
        </row>
        <row r="20490">
          <cell r="B20490">
            <v>55</v>
          </cell>
        </row>
        <row r="20491">
          <cell r="B20491">
            <v>57</v>
          </cell>
        </row>
        <row r="20492">
          <cell r="B20492">
            <v>58</v>
          </cell>
        </row>
        <row r="20493">
          <cell r="B20493">
            <v>59</v>
          </cell>
        </row>
        <row r="20494">
          <cell r="B20494">
            <v>60</v>
          </cell>
        </row>
        <row r="20495">
          <cell r="B20495">
            <v>61</v>
          </cell>
        </row>
        <row r="20496">
          <cell r="B20496">
            <v>61</v>
          </cell>
        </row>
        <row r="20497">
          <cell r="B20497">
            <v>62</v>
          </cell>
        </row>
        <row r="20498">
          <cell r="B20498">
            <v>62</v>
          </cell>
        </row>
        <row r="20499">
          <cell r="B20499">
            <v>62</v>
          </cell>
        </row>
        <row r="20500">
          <cell r="B20500">
            <v>63</v>
          </cell>
        </row>
        <row r="20501">
          <cell r="B20501">
            <v>63</v>
          </cell>
        </row>
        <row r="20502">
          <cell r="B20502">
            <v>63</v>
          </cell>
        </row>
        <row r="20503">
          <cell r="B20503">
            <v>63</v>
          </cell>
        </row>
        <row r="20504">
          <cell r="B20504">
            <v>63</v>
          </cell>
        </row>
        <row r="20505">
          <cell r="B20505">
            <v>63</v>
          </cell>
        </row>
        <row r="20506">
          <cell r="B20506">
            <v>63</v>
          </cell>
        </row>
        <row r="20507">
          <cell r="B20507">
            <v>63</v>
          </cell>
        </row>
        <row r="20508">
          <cell r="B20508">
            <v>62</v>
          </cell>
        </row>
        <row r="20509">
          <cell r="B20509">
            <v>61</v>
          </cell>
        </row>
        <row r="20510">
          <cell r="B20510">
            <v>60</v>
          </cell>
        </row>
        <row r="20511">
          <cell r="B20511">
            <v>59</v>
          </cell>
        </row>
        <row r="20512">
          <cell r="B20512">
            <v>58</v>
          </cell>
        </row>
        <row r="20513">
          <cell r="B20513">
            <v>57</v>
          </cell>
        </row>
        <row r="20514">
          <cell r="B20514">
            <v>56</v>
          </cell>
        </row>
        <row r="20515">
          <cell r="B20515">
            <v>55</v>
          </cell>
        </row>
        <row r="20516">
          <cell r="B20516">
            <v>55</v>
          </cell>
        </row>
        <row r="20517">
          <cell r="B20517">
            <v>54</v>
          </cell>
        </row>
        <row r="20518">
          <cell r="B20518">
            <v>53</v>
          </cell>
        </row>
        <row r="20519">
          <cell r="B20519">
            <v>52</v>
          </cell>
        </row>
        <row r="20520">
          <cell r="B20520">
            <v>52</v>
          </cell>
        </row>
        <row r="20521">
          <cell r="B20521">
            <v>51</v>
          </cell>
        </row>
        <row r="20522">
          <cell r="B20522">
            <v>51</v>
          </cell>
        </row>
        <row r="20523">
          <cell r="B20523">
            <v>50</v>
          </cell>
        </row>
        <row r="20576">
          <cell r="B20576">
            <v>46</v>
          </cell>
        </row>
        <row r="20577">
          <cell r="B20577">
            <v>46</v>
          </cell>
        </row>
        <row r="20578">
          <cell r="B20578">
            <v>46</v>
          </cell>
        </row>
        <row r="20579">
          <cell r="B20579">
            <v>46</v>
          </cell>
        </row>
        <row r="20580">
          <cell r="B20580">
            <v>46</v>
          </cell>
        </row>
        <row r="20581">
          <cell r="B20581">
            <v>45</v>
          </cell>
        </row>
        <row r="20582">
          <cell r="B20582">
            <v>46</v>
          </cell>
        </row>
        <row r="20583">
          <cell r="B20583">
            <v>45</v>
          </cell>
        </row>
        <row r="20584">
          <cell r="B20584">
            <v>46</v>
          </cell>
        </row>
        <row r="20585">
          <cell r="B20585">
            <v>45</v>
          </cell>
        </row>
        <row r="20586">
          <cell r="B20586">
            <v>46</v>
          </cell>
        </row>
        <row r="20587">
          <cell r="B20587">
            <v>46</v>
          </cell>
        </row>
        <row r="20588">
          <cell r="B20588">
            <v>46</v>
          </cell>
        </row>
        <row r="20589">
          <cell r="B20589">
            <v>46</v>
          </cell>
        </row>
        <row r="20590">
          <cell r="B20590">
            <v>46</v>
          </cell>
        </row>
        <row r="20591">
          <cell r="B20591">
            <v>47</v>
          </cell>
        </row>
        <row r="20592">
          <cell r="B20592">
            <v>48</v>
          </cell>
        </row>
        <row r="20593">
          <cell r="B20593">
            <v>50</v>
          </cell>
        </row>
        <row r="20594">
          <cell r="B20594">
            <v>52</v>
          </cell>
        </row>
        <row r="20595">
          <cell r="B20595">
            <v>54</v>
          </cell>
        </row>
        <row r="20596">
          <cell r="B20596">
            <v>55</v>
          </cell>
        </row>
        <row r="20597">
          <cell r="B20597">
            <v>56</v>
          </cell>
        </row>
        <row r="20598">
          <cell r="B20598">
            <v>56</v>
          </cell>
        </row>
        <row r="20599">
          <cell r="B20599">
            <v>55</v>
          </cell>
        </row>
        <row r="20600">
          <cell r="B20600">
            <v>54</v>
          </cell>
        </row>
        <row r="20601">
          <cell r="B20601">
            <v>53</v>
          </cell>
        </row>
        <row r="20602">
          <cell r="B20602">
            <v>52</v>
          </cell>
        </row>
        <row r="20603">
          <cell r="B20603">
            <v>52</v>
          </cell>
        </row>
        <row r="20604">
          <cell r="B20604">
            <v>51</v>
          </cell>
        </row>
        <row r="20605">
          <cell r="B20605">
            <v>51</v>
          </cell>
        </row>
        <row r="20606">
          <cell r="B20606">
            <v>50</v>
          </cell>
        </row>
        <row r="20607">
          <cell r="B20607">
            <v>50</v>
          </cell>
        </row>
        <row r="20608">
          <cell r="B20608">
            <v>49</v>
          </cell>
        </row>
        <row r="20609">
          <cell r="B20609">
            <v>49</v>
          </cell>
        </row>
        <row r="20610">
          <cell r="B20610">
            <v>48</v>
          </cell>
        </row>
        <row r="20611">
          <cell r="B20611">
            <v>48</v>
          </cell>
        </row>
        <row r="20612">
          <cell r="B20612">
            <v>48</v>
          </cell>
        </row>
        <row r="20613">
          <cell r="B20613">
            <v>48</v>
          </cell>
        </row>
        <row r="20614">
          <cell r="B20614">
            <v>48</v>
          </cell>
        </row>
        <row r="20615">
          <cell r="B20615">
            <v>47</v>
          </cell>
        </row>
        <row r="20616">
          <cell r="B20616">
            <v>47</v>
          </cell>
        </row>
        <row r="20617">
          <cell r="B20617">
            <v>47</v>
          </cell>
        </row>
        <row r="20618">
          <cell r="B20618">
            <v>47</v>
          </cell>
        </row>
        <row r="20619">
          <cell r="B20619">
            <v>47</v>
          </cell>
        </row>
        <row r="20620">
          <cell r="B20620">
            <v>47</v>
          </cell>
        </row>
        <row r="20621">
          <cell r="B20621">
            <v>47</v>
          </cell>
        </row>
        <row r="20622">
          <cell r="B20622">
            <v>47</v>
          </cell>
        </row>
        <row r="20623">
          <cell r="B20623">
            <v>46</v>
          </cell>
        </row>
        <row r="20624">
          <cell r="B20624">
            <v>46</v>
          </cell>
        </row>
        <row r="20625">
          <cell r="B20625">
            <v>46</v>
          </cell>
        </row>
        <row r="20626">
          <cell r="B20626">
            <v>46</v>
          </cell>
        </row>
        <row r="20627">
          <cell r="B20627">
            <v>46</v>
          </cell>
        </row>
        <row r="20628">
          <cell r="B20628">
            <v>46</v>
          </cell>
        </row>
        <row r="20629">
          <cell r="B20629">
            <v>46</v>
          </cell>
        </row>
        <row r="20630">
          <cell r="B20630">
            <v>46</v>
          </cell>
        </row>
        <row r="20631">
          <cell r="B20631">
            <v>46</v>
          </cell>
        </row>
        <row r="20632">
          <cell r="B20632">
            <v>46</v>
          </cell>
        </row>
        <row r="20633">
          <cell r="B20633">
            <v>46</v>
          </cell>
        </row>
        <row r="20634">
          <cell r="B20634">
            <v>46</v>
          </cell>
        </row>
        <row r="20635">
          <cell r="B20635">
            <v>46</v>
          </cell>
        </row>
        <row r="20636">
          <cell r="B20636">
            <v>46</v>
          </cell>
        </row>
        <row r="20637">
          <cell r="B20637">
            <v>46</v>
          </cell>
        </row>
        <row r="20638">
          <cell r="B20638">
            <v>46</v>
          </cell>
        </row>
        <row r="20639">
          <cell r="B20639">
            <v>46</v>
          </cell>
        </row>
        <row r="20640">
          <cell r="B20640">
            <v>46</v>
          </cell>
        </row>
        <row r="20641">
          <cell r="B20641">
            <v>46</v>
          </cell>
        </row>
        <row r="20642">
          <cell r="B20642">
            <v>46</v>
          </cell>
        </row>
        <row r="20643">
          <cell r="B20643">
            <v>46</v>
          </cell>
        </row>
        <row r="20644">
          <cell r="B20644">
            <v>46</v>
          </cell>
        </row>
        <row r="20645">
          <cell r="B20645">
            <v>46</v>
          </cell>
        </row>
        <row r="20646">
          <cell r="B20646">
            <v>46</v>
          </cell>
        </row>
        <row r="20647">
          <cell r="B20647">
            <v>46</v>
          </cell>
        </row>
        <row r="20648">
          <cell r="B20648">
            <v>46</v>
          </cell>
        </row>
        <row r="20649">
          <cell r="B20649">
            <v>45</v>
          </cell>
        </row>
        <row r="20650">
          <cell r="B20650">
            <v>46</v>
          </cell>
        </row>
        <row r="20651">
          <cell r="B20651">
            <v>46</v>
          </cell>
        </row>
        <row r="20652">
          <cell r="B20652">
            <v>45</v>
          </cell>
        </row>
        <row r="20653">
          <cell r="B20653">
            <v>45</v>
          </cell>
        </row>
        <row r="20654">
          <cell r="B20654">
            <v>45</v>
          </cell>
        </row>
        <row r="20655">
          <cell r="B20655">
            <v>45</v>
          </cell>
        </row>
        <row r="20656">
          <cell r="B20656">
            <v>45</v>
          </cell>
        </row>
        <row r="20657">
          <cell r="B20657">
            <v>45</v>
          </cell>
        </row>
        <row r="20658">
          <cell r="B20658">
            <v>45</v>
          </cell>
        </row>
        <row r="20659">
          <cell r="B20659">
            <v>45</v>
          </cell>
        </row>
        <row r="20660">
          <cell r="B20660">
            <v>45</v>
          </cell>
        </row>
        <row r="20661">
          <cell r="B20661">
            <v>45</v>
          </cell>
        </row>
        <row r="20662">
          <cell r="B20662">
            <v>46</v>
          </cell>
        </row>
        <row r="20663">
          <cell r="B20663">
            <v>46</v>
          </cell>
        </row>
        <row r="20664">
          <cell r="B20664">
            <v>47</v>
          </cell>
        </row>
        <row r="20665">
          <cell r="B20665">
            <v>48</v>
          </cell>
        </row>
        <row r="20666">
          <cell r="B20666">
            <v>50</v>
          </cell>
        </row>
        <row r="20667">
          <cell r="B20667">
            <v>52</v>
          </cell>
        </row>
        <row r="20731">
          <cell r="B20731">
            <v>34</v>
          </cell>
        </row>
        <row r="20732">
          <cell r="B20732">
            <v>33</v>
          </cell>
        </row>
        <row r="20733">
          <cell r="B20733">
            <v>32</v>
          </cell>
        </row>
        <row r="20734">
          <cell r="B20734">
            <v>32</v>
          </cell>
        </row>
        <row r="20735">
          <cell r="B20735">
            <v>31</v>
          </cell>
        </row>
        <row r="20736">
          <cell r="B20736">
            <v>31</v>
          </cell>
        </row>
        <row r="20737">
          <cell r="B20737">
            <v>32</v>
          </cell>
        </row>
        <row r="20738">
          <cell r="B20738">
            <v>33</v>
          </cell>
        </row>
        <row r="20739">
          <cell r="B20739">
            <v>34</v>
          </cell>
        </row>
        <row r="20740">
          <cell r="B20740">
            <v>35</v>
          </cell>
        </row>
        <row r="20741">
          <cell r="B20741">
            <v>36</v>
          </cell>
        </row>
        <row r="20742">
          <cell r="B20742">
            <v>37</v>
          </cell>
        </row>
        <row r="20743">
          <cell r="B20743">
            <v>38</v>
          </cell>
        </row>
        <row r="20744">
          <cell r="B20744">
            <v>39</v>
          </cell>
        </row>
        <row r="20745">
          <cell r="B20745">
            <v>39</v>
          </cell>
        </row>
        <row r="20746">
          <cell r="B20746">
            <v>40</v>
          </cell>
        </row>
        <row r="20747">
          <cell r="B20747">
            <v>40</v>
          </cell>
        </row>
        <row r="20748">
          <cell r="B20748">
            <v>40</v>
          </cell>
        </row>
        <row r="20749">
          <cell r="B20749">
            <v>40</v>
          </cell>
        </row>
        <row r="20750">
          <cell r="B20750">
            <v>40</v>
          </cell>
        </row>
        <row r="20751">
          <cell r="B20751">
            <v>40</v>
          </cell>
        </row>
        <row r="20752">
          <cell r="B20752">
            <v>40</v>
          </cell>
        </row>
        <row r="20753">
          <cell r="B20753">
            <v>40</v>
          </cell>
        </row>
        <row r="20754">
          <cell r="B20754">
            <v>40</v>
          </cell>
        </row>
        <row r="20755">
          <cell r="B20755">
            <v>40</v>
          </cell>
        </row>
        <row r="20756">
          <cell r="B20756">
            <v>40</v>
          </cell>
        </row>
        <row r="20757">
          <cell r="B20757">
            <v>40</v>
          </cell>
        </row>
        <row r="20758">
          <cell r="B20758">
            <v>40</v>
          </cell>
        </row>
        <row r="20759">
          <cell r="B20759">
            <v>40</v>
          </cell>
        </row>
        <row r="20760">
          <cell r="B20760">
            <v>40</v>
          </cell>
        </row>
        <row r="20761">
          <cell r="B20761">
            <v>40</v>
          </cell>
        </row>
        <row r="20762">
          <cell r="B20762">
            <v>40</v>
          </cell>
        </row>
        <row r="20763">
          <cell r="B20763">
            <v>40</v>
          </cell>
        </row>
        <row r="20764">
          <cell r="B20764">
            <v>40</v>
          </cell>
        </row>
        <row r="20765">
          <cell r="B20765">
            <v>40</v>
          </cell>
        </row>
        <row r="20766">
          <cell r="B20766">
            <v>39</v>
          </cell>
        </row>
        <row r="20767">
          <cell r="B20767">
            <v>38</v>
          </cell>
        </row>
        <row r="20768">
          <cell r="B20768">
            <v>37</v>
          </cell>
        </row>
        <row r="20769">
          <cell r="B20769">
            <v>36</v>
          </cell>
        </row>
        <row r="20770">
          <cell r="B20770">
            <v>35</v>
          </cell>
        </row>
        <row r="20771">
          <cell r="B20771">
            <v>34</v>
          </cell>
        </row>
        <row r="20772">
          <cell r="B20772">
            <v>33</v>
          </cell>
        </row>
        <row r="20773">
          <cell r="B20773">
            <v>32</v>
          </cell>
        </row>
        <row r="20774">
          <cell r="B20774">
            <v>32</v>
          </cell>
        </row>
        <row r="20775">
          <cell r="B20775">
            <v>31</v>
          </cell>
        </row>
        <row r="20776">
          <cell r="B20776">
            <v>31</v>
          </cell>
        </row>
        <row r="20777">
          <cell r="B20777">
            <v>32</v>
          </cell>
        </row>
        <row r="20778">
          <cell r="B20778">
            <v>33</v>
          </cell>
        </row>
        <row r="20779">
          <cell r="B20779">
            <v>34</v>
          </cell>
        </row>
        <row r="20780">
          <cell r="B20780">
            <v>35</v>
          </cell>
        </row>
        <row r="20781">
          <cell r="B20781">
            <v>36</v>
          </cell>
        </row>
        <row r="20782">
          <cell r="B20782">
            <v>36</v>
          </cell>
        </row>
        <row r="20783">
          <cell r="B20783">
            <v>37</v>
          </cell>
        </row>
        <row r="20784">
          <cell r="B20784">
            <v>37</v>
          </cell>
        </row>
        <row r="20785">
          <cell r="B20785">
            <v>38</v>
          </cell>
        </row>
        <row r="20786">
          <cell r="B20786">
            <v>38</v>
          </cell>
        </row>
        <row r="20787">
          <cell r="B20787">
            <v>38</v>
          </cell>
        </row>
        <row r="20788">
          <cell r="B20788">
            <v>38</v>
          </cell>
        </row>
        <row r="20789">
          <cell r="B20789">
            <v>38</v>
          </cell>
        </row>
        <row r="20790">
          <cell r="B20790">
            <v>38</v>
          </cell>
        </row>
        <row r="20791">
          <cell r="B20791">
            <v>38</v>
          </cell>
        </row>
        <row r="20792">
          <cell r="B20792">
            <v>38</v>
          </cell>
        </row>
        <row r="20793">
          <cell r="B20793">
            <v>38</v>
          </cell>
        </row>
        <row r="20794">
          <cell r="B20794">
            <v>38</v>
          </cell>
        </row>
        <row r="20795">
          <cell r="B20795">
            <v>38</v>
          </cell>
        </row>
        <row r="20796">
          <cell r="B20796">
            <v>38</v>
          </cell>
        </row>
        <row r="20797">
          <cell r="B20797">
            <v>38</v>
          </cell>
        </row>
        <row r="20798">
          <cell r="B20798">
            <v>38</v>
          </cell>
        </row>
        <row r="20799">
          <cell r="B20799">
            <v>38</v>
          </cell>
        </row>
        <row r="20800">
          <cell r="B20800">
            <v>38</v>
          </cell>
        </row>
        <row r="20801">
          <cell r="B20801">
            <v>38</v>
          </cell>
        </row>
        <row r="20802">
          <cell r="B20802">
            <v>38</v>
          </cell>
        </row>
        <row r="20803">
          <cell r="B20803">
            <v>38</v>
          </cell>
        </row>
        <row r="20804">
          <cell r="B20804">
            <v>38</v>
          </cell>
        </row>
        <row r="20805">
          <cell r="B20805">
            <v>38</v>
          </cell>
        </row>
        <row r="20806">
          <cell r="B20806">
            <v>38</v>
          </cell>
        </row>
        <row r="20807">
          <cell r="B20807">
            <v>38</v>
          </cell>
        </row>
        <row r="20808">
          <cell r="B20808">
            <v>39</v>
          </cell>
        </row>
        <row r="20809">
          <cell r="B20809">
            <v>38</v>
          </cell>
        </row>
        <row r="20810">
          <cell r="B20810">
            <v>38</v>
          </cell>
        </row>
        <row r="20811">
          <cell r="B20811">
            <v>39</v>
          </cell>
        </row>
        <row r="20812">
          <cell r="B20812">
            <v>39</v>
          </cell>
        </row>
        <row r="20813">
          <cell r="B20813">
            <v>39</v>
          </cell>
        </row>
        <row r="20814">
          <cell r="B20814">
            <v>39</v>
          </cell>
        </row>
        <row r="20815">
          <cell r="B20815">
            <v>39</v>
          </cell>
        </row>
        <row r="20816">
          <cell r="B20816">
            <v>39</v>
          </cell>
        </row>
        <row r="20817">
          <cell r="B20817">
            <v>39</v>
          </cell>
        </row>
        <row r="20818">
          <cell r="B20818">
            <v>39</v>
          </cell>
        </row>
        <row r="20819">
          <cell r="B20819">
            <v>39</v>
          </cell>
        </row>
        <row r="20820">
          <cell r="B20820">
            <v>39</v>
          </cell>
        </row>
        <row r="20821">
          <cell r="B20821">
            <v>38</v>
          </cell>
        </row>
        <row r="20822">
          <cell r="B20822">
            <v>34</v>
          </cell>
        </row>
        <row r="20898">
          <cell r="B20898">
            <v>20</v>
          </cell>
        </row>
        <row r="20899">
          <cell r="B20899">
            <v>20</v>
          </cell>
        </row>
        <row r="20900">
          <cell r="B20900">
            <v>20</v>
          </cell>
        </row>
        <row r="20901">
          <cell r="B20901">
            <v>20</v>
          </cell>
        </row>
        <row r="20902">
          <cell r="B20902">
            <v>20</v>
          </cell>
        </row>
        <row r="20903">
          <cell r="B20903">
            <v>20</v>
          </cell>
        </row>
        <row r="20904">
          <cell r="B20904">
            <v>20</v>
          </cell>
        </row>
        <row r="20905">
          <cell r="B20905">
            <v>19</v>
          </cell>
        </row>
        <row r="20906">
          <cell r="B20906">
            <v>19</v>
          </cell>
        </row>
        <row r="20907">
          <cell r="B20907">
            <v>19</v>
          </cell>
        </row>
        <row r="20908">
          <cell r="B20908">
            <v>19</v>
          </cell>
        </row>
        <row r="20909">
          <cell r="B20909">
            <v>19</v>
          </cell>
        </row>
        <row r="20910">
          <cell r="B20910">
            <v>19</v>
          </cell>
        </row>
        <row r="20911">
          <cell r="B20911">
            <v>19</v>
          </cell>
        </row>
        <row r="20912">
          <cell r="B20912">
            <v>19</v>
          </cell>
        </row>
        <row r="20913">
          <cell r="B20913">
            <v>19</v>
          </cell>
        </row>
        <row r="20914">
          <cell r="B20914">
            <v>19</v>
          </cell>
        </row>
        <row r="20915">
          <cell r="B20915">
            <v>19</v>
          </cell>
        </row>
        <row r="20916">
          <cell r="B20916">
            <v>19</v>
          </cell>
        </row>
        <row r="20917">
          <cell r="B20917">
            <v>19</v>
          </cell>
        </row>
        <row r="20918">
          <cell r="B20918">
            <v>19</v>
          </cell>
        </row>
        <row r="20919">
          <cell r="B20919">
            <v>19</v>
          </cell>
        </row>
        <row r="20920">
          <cell r="B20920">
            <v>19</v>
          </cell>
        </row>
        <row r="20921">
          <cell r="B20921">
            <v>19</v>
          </cell>
        </row>
        <row r="20922">
          <cell r="B20922">
            <v>19</v>
          </cell>
        </row>
        <row r="20923">
          <cell r="B20923">
            <v>19</v>
          </cell>
        </row>
        <row r="20924">
          <cell r="B20924">
            <v>19</v>
          </cell>
        </row>
        <row r="20925">
          <cell r="B20925">
            <v>18</v>
          </cell>
        </row>
        <row r="20926">
          <cell r="B20926">
            <v>19</v>
          </cell>
        </row>
        <row r="20927">
          <cell r="B20927">
            <v>18</v>
          </cell>
        </row>
        <row r="20928">
          <cell r="B20928">
            <v>18</v>
          </cell>
        </row>
        <row r="20929">
          <cell r="B20929">
            <v>18</v>
          </cell>
        </row>
        <row r="20930">
          <cell r="B20930">
            <v>18</v>
          </cell>
        </row>
        <row r="20931">
          <cell r="B20931">
            <v>18</v>
          </cell>
        </row>
        <row r="20932">
          <cell r="B20932">
            <v>18</v>
          </cell>
        </row>
        <row r="20933">
          <cell r="B20933">
            <v>18</v>
          </cell>
        </row>
        <row r="20934">
          <cell r="B20934">
            <v>18</v>
          </cell>
        </row>
        <row r="20935">
          <cell r="B20935">
            <v>18</v>
          </cell>
        </row>
        <row r="20936">
          <cell r="B20936">
            <v>18</v>
          </cell>
        </row>
        <row r="20937">
          <cell r="B20937">
            <v>18</v>
          </cell>
        </row>
        <row r="20938">
          <cell r="B20938">
            <v>18</v>
          </cell>
        </row>
        <row r="20939">
          <cell r="B20939">
            <v>18</v>
          </cell>
        </row>
        <row r="20940">
          <cell r="B20940">
            <v>18</v>
          </cell>
        </row>
        <row r="20941">
          <cell r="B20941">
            <v>19</v>
          </cell>
        </row>
        <row r="20942">
          <cell r="B20942">
            <v>20</v>
          </cell>
        </row>
        <row r="20943">
          <cell r="B20943">
            <v>21</v>
          </cell>
        </row>
        <row r="20944">
          <cell r="B20944">
            <v>22</v>
          </cell>
        </row>
        <row r="20945">
          <cell r="B20945">
            <v>23</v>
          </cell>
        </row>
        <row r="20946">
          <cell r="B20946">
            <v>24</v>
          </cell>
        </row>
        <row r="20947">
          <cell r="B20947">
            <v>25</v>
          </cell>
        </row>
        <row r="20948">
          <cell r="B20948">
            <v>26</v>
          </cell>
        </row>
        <row r="20949">
          <cell r="B20949">
            <v>27</v>
          </cell>
        </row>
        <row r="20950">
          <cell r="B20950">
            <v>27</v>
          </cell>
        </row>
        <row r="20951">
          <cell r="B20951">
            <v>27</v>
          </cell>
        </row>
        <row r="20952">
          <cell r="B20952">
            <v>26</v>
          </cell>
        </row>
        <row r="20953">
          <cell r="B20953">
            <v>25</v>
          </cell>
        </row>
        <row r="20954">
          <cell r="B20954">
            <v>24</v>
          </cell>
        </row>
        <row r="20955">
          <cell r="B20955">
            <v>24</v>
          </cell>
        </row>
        <row r="20956">
          <cell r="B20956">
            <v>23</v>
          </cell>
        </row>
        <row r="20957">
          <cell r="B20957">
            <v>23</v>
          </cell>
        </row>
        <row r="20958">
          <cell r="B20958">
            <v>22</v>
          </cell>
        </row>
        <row r="20959">
          <cell r="B20959">
            <v>22</v>
          </cell>
        </row>
        <row r="20960">
          <cell r="B20960">
            <v>21</v>
          </cell>
        </row>
        <row r="20961">
          <cell r="B20961">
            <v>21</v>
          </cell>
        </row>
        <row r="20962">
          <cell r="B20962">
            <v>21</v>
          </cell>
        </row>
        <row r="20963">
          <cell r="B20963">
            <v>20</v>
          </cell>
        </row>
        <row r="20964">
          <cell r="B20964">
            <v>20</v>
          </cell>
        </row>
        <row r="20965">
          <cell r="B20965">
            <v>20</v>
          </cell>
        </row>
        <row r="20966">
          <cell r="B20966">
            <v>20</v>
          </cell>
        </row>
        <row r="20967">
          <cell r="B20967">
            <v>19</v>
          </cell>
        </row>
        <row r="20968">
          <cell r="B20968">
            <v>19</v>
          </cell>
        </row>
        <row r="20969">
          <cell r="B20969">
            <v>19</v>
          </cell>
        </row>
        <row r="20970">
          <cell r="B20970">
            <v>19</v>
          </cell>
        </row>
        <row r="20971">
          <cell r="B20971">
            <v>19</v>
          </cell>
        </row>
        <row r="20972">
          <cell r="B20972">
            <v>19</v>
          </cell>
        </row>
        <row r="20973">
          <cell r="B20973">
            <v>19</v>
          </cell>
        </row>
        <row r="20974">
          <cell r="B20974">
            <v>18</v>
          </cell>
        </row>
        <row r="20975">
          <cell r="B20975">
            <v>18</v>
          </cell>
        </row>
        <row r="20976">
          <cell r="B20976">
            <v>18</v>
          </cell>
        </row>
        <row r="20977">
          <cell r="B20977">
            <v>18</v>
          </cell>
        </row>
        <row r="20978">
          <cell r="B20978">
            <v>18</v>
          </cell>
        </row>
        <row r="20979">
          <cell r="B20979">
            <v>18</v>
          </cell>
        </row>
        <row r="20980">
          <cell r="B20980">
            <v>18</v>
          </cell>
        </row>
        <row r="20981">
          <cell r="B20981">
            <v>18</v>
          </cell>
        </row>
        <row r="20982">
          <cell r="B20982">
            <v>18</v>
          </cell>
        </row>
        <row r="20983">
          <cell r="B20983">
            <v>18</v>
          </cell>
        </row>
        <row r="20984">
          <cell r="B20984">
            <v>18</v>
          </cell>
        </row>
        <row r="20985">
          <cell r="B20985">
            <v>17</v>
          </cell>
        </row>
        <row r="20986">
          <cell r="B20986">
            <v>18</v>
          </cell>
        </row>
        <row r="23313">
          <cell r="B23313">
            <v>72</v>
          </cell>
        </row>
        <row r="23314">
          <cell r="B23314">
            <v>71</v>
          </cell>
        </row>
        <row r="23315">
          <cell r="B23315">
            <v>71</v>
          </cell>
        </row>
        <row r="23316">
          <cell r="B23316">
            <v>72</v>
          </cell>
        </row>
        <row r="23317">
          <cell r="B23317">
            <v>71</v>
          </cell>
        </row>
        <row r="23318">
          <cell r="B23318">
            <v>72</v>
          </cell>
        </row>
        <row r="23319">
          <cell r="B23319">
            <v>71</v>
          </cell>
        </row>
        <row r="23320">
          <cell r="B23320">
            <v>72</v>
          </cell>
        </row>
        <row r="23321">
          <cell r="B23321">
            <v>72</v>
          </cell>
        </row>
        <row r="23322">
          <cell r="B23322">
            <v>72</v>
          </cell>
        </row>
        <row r="23323">
          <cell r="B23323">
            <v>72</v>
          </cell>
        </row>
        <row r="23324">
          <cell r="B23324">
            <v>72</v>
          </cell>
        </row>
        <row r="23325">
          <cell r="B23325">
            <v>72</v>
          </cell>
        </row>
        <row r="23326">
          <cell r="B23326">
            <v>72</v>
          </cell>
        </row>
        <row r="23327">
          <cell r="B23327">
            <v>72</v>
          </cell>
        </row>
        <row r="23328">
          <cell r="B23328">
            <v>72</v>
          </cell>
        </row>
        <row r="23329">
          <cell r="B23329">
            <v>72</v>
          </cell>
        </row>
        <row r="23330">
          <cell r="B23330">
            <v>72</v>
          </cell>
        </row>
        <row r="23331">
          <cell r="B23331">
            <v>72</v>
          </cell>
        </row>
        <row r="23332">
          <cell r="B23332">
            <v>72</v>
          </cell>
        </row>
        <row r="23333">
          <cell r="B23333">
            <v>72</v>
          </cell>
        </row>
        <row r="23334">
          <cell r="B23334">
            <v>72</v>
          </cell>
        </row>
        <row r="23335">
          <cell r="B23335">
            <v>72</v>
          </cell>
        </row>
        <row r="23336">
          <cell r="B23336">
            <v>72</v>
          </cell>
        </row>
        <row r="23337">
          <cell r="B23337">
            <v>72</v>
          </cell>
        </row>
        <row r="23338">
          <cell r="B23338">
            <v>72</v>
          </cell>
        </row>
        <row r="23339">
          <cell r="B23339">
            <v>72</v>
          </cell>
        </row>
        <row r="23340">
          <cell r="B23340">
            <v>72</v>
          </cell>
        </row>
        <row r="23341">
          <cell r="B23341">
            <v>72</v>
          </cell>
        </row>
        <row r="23342">
          <cell r="B23342">
            <v>72</v>
          </cell>
        </row>
        <row r="23343">
          <cell r="B23343">
            <v>72</v>
          </cell>
        </row>
        <row r="23344">
          <cell r="B23344">
            <v>72</v>
          </cell>
        </row>
        <row r="23345">
          <cell r="B23345">
            <v>72</v>
          </cell>
        </row>
        <row r="23346">
          <cell r="B23346">
            <v>72</v>
          </cell>
        </row>
        <row r="23347">
          <cell r="B23347">
            <v>72</v>
          </cell>
        </row>
        <row r="23348">
          <cell r="B23348">
            <v>72</v>
          </cell>
        </row>
        <row r="23349">
          <cell r="B23349">
            <v>72</v>
          </cell>
        </row>
        <row r="23350">
          <cell r="B23350">
            <v>72</v>
          </cell>
        </row>
        <row r="23351">
          <cell r="B23351">
            <v>72</v>
          </cell>
        </row>
        <row r="23352">
          <cell r="B23352">
            <v>72</v>
          </cell>
        </row>
        <row r="23353">
          <cell r="B23353">
            <v>72</v>
          </cell>
        </row>
        <row r="23354">
          <cell r="B23354">
            <v>72</v>
          </cell>
        </row>
        <row r="23355">
          <cell r="B23355">
            <v>72</v>
          </cell>
        </row>
        <row r="23356">
          <cell r="B23356">
            <v>72</v>
          </cell>
        </row>
        <row r="23357">
          <cell r="B23357">
            <v>72</v>
          </cell>
        </row>
        <row r="23358">
          <cell r="B23358">
            <v>72</v>
          </cell>
        </row>
        <row r="23359">
          <cell r="B23359">
            <v>72</v>
          </cell>
        </row>
        <row r="23360">
          <cell r="B23360">
            <v>72</v>
          </cell>
        </row>
        <row r="23361">
          <cell r="B23361">
            <v>72</v>
          </cell>
        </row>
        <row r="23362">
          <cell r="B23362">
            <v>72</v>
          </cell>
        </row>
        <row r="23363">
          <cell r="B23363">
            <v>72</v>
          </cell>
        </row>
        <row r="23364">
          <cell r="B23364">
            <v>72</v>
          </cell>
        </row>
        <row r="23365">
          <cell r="B23365">
            <v>72</v>
          </cell>
        </row>
        <row r="23366">
          <cell r="B23366">
            <v>72</v>
          </cell>
        </row>
        <row r="23367">
          <cell r="B23367">
            <v>72</v>
          </cell>
        </row>
        <row r="23368">
          <cell r="B23368">
            <v>72</v>
          </cell>
        </row>
        <row r="23369">
          <cell r="B23369">
            <v>72</v>
          </cell>
        </row>
        <row r="23370">
          <cell r="B23370">
            <v>72</v>
          </cell>
        </row>
        <row r="23371">
          <cell r="B23371">
            <v>72</v>
          </cell>
        </row>
        <row r="23372">
          <cell r="B23372">
            <v>72</v>
          </cell>
        </row>
        <row r="23373">
          <cell r="B23373">
            <v>72</v>
          </cell>
        </row>
        <row r="23374">
          <cell r="B23374">
            <v>72</v>
          </cell>
        </row>
        <row r="23375">
          <cell r="B23375">
            <v>72</v>
          </cell>
        </row>
        <row r="23376">
          <cell r="B23376">
            <v>72</v>
          </cell>
        </row>
        <row r="23377">
          <cell r="B23377">
            <v>72</v>
          </cell>
        </row>
        <row r="23378">
          <cell r="B23378">
            <v>72</v>
          </cell>
        </row>
        <row r="23379">
          <cell r="B23379">
            <v>72</v>
          </cell>
        </row>
        <row r="23380">
          <cell r="B23380">
            <v>72</v>
          </cell>
        </row>
        <row r="23381">
          <cell r="B23381">
            <v>72</v>
          </cell>
        </row>
        <row r="23382">
          <cell r="B23382">
            <v>72</v>
          </cell>
        </row>
        <row r="23383">
          <cell r="B23383">
            <v>72</v>
          </cell>
        </row>
        <row r="23384">
          <cell r="B23384">
            <v>72</v>
          </cell>
        </row>
        <row r="23385">
          <cell r="B23385">
            <v>72</v>
          </cell>
        </row>
        <row r="23386">
          <cell r="B23386">
            <v>72</v>
          </cell>
        </row>
        <row r="23387">
          <cell r="B23387">
            <v>72</v>
          </cell>
        </row>
        <row r="23388">
          <cell r="B23388">
            <v>72</v>
          </cell>
        </row>
        <row r="23389">
          <cell r="B23389">
            <v>72</v>
          </cell>
        </row>
        <row r="23390">
          <cell r="B23390">
            <v>72</v>
          </cell>
        </row>
        <row r="23391">
          <cell r="B23391">
            <v>72</v>
          </cell>
        </row>
        <row r="23392">
          <cell r="B23392">
            <v>72</v>
          </cell>
        </row>
        <row r="23393">
          <cell r="B23393">
            <v>72</v>
          </cell>
        </row>
        <row r="23394">
          <cell r="B23394">
            <v>72</v>
          </cell>
        </row>
        <row r="23395">
          <cell r="B23395">
            <v>72</v>
          </cell>
        </row>
        <row r="23396">
          <cell r="B23396">
            <v>72</v>
          </cell>
        </row>
        <row r="23397">
          <cell r="B23397">
            <v>72</v>
          </cell>
        </row>
        <row r="23398">
          <cell r="B23398">
            <v>72</v>
          </cell>
        </row>
        <row r="23399">
          <cell r="B23399">
            <v>71</v>
          </cell>
        </row>
        <row r="23400">
          <cell r="B23400">
            <v>70</v>
          </cell>
        </row>
        <row r="23401">
          <cell r="B23401">
            <v>69</v>
          </cell>
        </row>
        <row r="23480">
          <cell r="B23480">
            <v>63</v>
          </cell>
        </row>
        <row r="23481">
          <cell r="B23481">
            <v>62</v>
          </cell>
        </row>
        <row r="23482">
          <cell r="B23482">
            <v>61</v>
          </cell>
        </row>
        <row r="23483">
          <cell r="B23483">
            <v>60</v>
          </cell>
        </row>
        <row r="23484">
          <cell r="B23484">
            <v>59</v>
          </cell>
        </row>
        <row r="23485">
          <cell r="B23485">
            <v>58</v>
          </cell>
        </row>
        <row r="23486">
          <cell r="B23486">
            <v>57</v>
          </cell>
        </row>
        <row r="23487">
          <cell r="B23487">
            <v>56</v>
          </cell>
        </row>
        <row r="23488">
          <cell r="B23488">
            <v>56</v>
          </cell>
        </row>
        <row r="23489">
          <cell r="B23489">
            <v>55</v>
          </cell>
        </row>
        <row r="23490">
          <cell r="B23490">
            <v>54</v>
          </cell>
        </row>
        <row r="23491">
          <cell r="B23491">
            <v>54</v>
          </cell>
        </row>
        <row r="23492">
          <cell r="B23492">
            <v>53</v>
          </cell>
        </row>
        <row r="23493">
          <cell r="B23493">
            <v>52</v>
          </cell>
        </row>
        <row r="23494">
          <cell r="B23494">
            <v>52</v>
          </cell>
        </row>
        <row r="23495">
          <cell r="B23495">
            <v>51</v>
          </cell>
        </row>
        <row r="23496">
          <cell r="B23496">
            <v>51</v>
          </cell>
        </row>
        <row r="23497">
          <cell r="B23497">
            <v>50</v>
          </cell>
        </row>
        <row r="23498">
          <cell r="B23498">
            <v>50</v>
          </cell>
        </row>
        <row r="23499">
          <cell r="B23499">
            <v>51</v>
          </cell>
        </row>
        <row r="23500">
          <cell r="B23500">
            <v>52</v>
          </cell>
        </row>
        <row r="23501">
          <cell r="B23501">
            <v>53</v>
          </cell>
        </row>
        <row r="23502">
          <cell r="B23502">
            <v>55</v>
          </cell>
        </row>
        <row r="23503">
          <cell r="B23503">
            <v>56</v>
          </cell>
        </row>
        <row r="23504">
          <cell r="B23504">
            <v>58</v>
          </cell>
        </row>
        <row r="23505">
          <cell r="B23505">
            <v>59</v>
          </cell>
        </row>
        <row r="23506">
          <cell r="B23506">
            <v>59</v>
          </cell>
        </row>
        <row r="23507">
          <cell r="B23507">
            <v>59</v>
          </cell>
        </row>
        <row r="23508">
          <cell r="B23508">
            <v>60</v>
          </cell>
        </row>
        <row r="23509">
          <cell r="B23509">
            <v>60</v>
          </cell>
        </row>
        <row r="23510">
          <cell r="B23510">
            <v>60</v>
          </cell>
        </row>
        <row r="23511">
          <cell r="B23511">
            <v>60</v>
          </cell>
        </row>
        <row r="23512">
          <cell r="B23512">
            <v>59</v>
          </cell>
        </row>
        <row r="23513">
          <cell r="B23513">
            <v>59</v>
          </cell>
        </row>
        <row r="23514">
          <cell r="B23514">
            <v>59</v>
          </cell>
        </row>
        <row r="23515">
          <cell r="B23515">
            <v>60</v>
          </cell>
        </row>
        <row r="23516">
          <cell r="B23516">
            <v>59</v>
          </cell>
        </row>
        <row r="23517">
          <cell r="B23517">
            <v>58</v>
          </cell>
        </row>
        <row r="23518">
          <cell r="B23518">
            <v>57</v>
          </cell>
        </row>
        <row r="23519">
          <cell r="B23519">
            <v>56</v>
          </cell>
        </row>
        <row r="23520">
          <cell r="B23520">
            <v>55</v>
          </cell>
        </row>
        <row r="23521">
          <cell r="B23521">
            <v>54</v>
          </cell>
        </row>
        <row r="23522">
          <cell r="B23522">
            <v>53</v>
          </cell>
        </row>
        <row r="23523">
          <cell r="B23523">
            <v>52</v>
          </cell>
        </row>
        <row r="23524">
          <cell r="B23524">
            <v>51</v>
          </cell>
        </row>
        <row r="23525">
          <cell r="B23525">
            <v>50</v>
          </cell>
        </row>
        <row r="23526">
          <cell r="B23526">
            <v>50</v>
          </cell>
        </row>
        <row r="23527">
          <cell r="B23527">
            <v>49</v>
          </cell>
        </row>
        <row r="23528">
          <cell r="B23528">
            <v>49</v>
          </cell>
        </row>
        <row r="23529">
          <cell r="B23529">
            <v>50</v>
          </cell>
        </row>
        <row r="23530">
          <cell r="B23530">
            <v>51</v>
          </cell>
        </row>
        <row r="23531">
          <cell r="B23531">
            <v>52</v>
          </cell>
        </row>
        <row r="23532">
          <cell r="B23532">
            <v>53</v>
          </cell>
        </row>
        <row r="23533">
          <cell r="B23533">
            <v>54</v>
          </cell>
        </row>
        <row r="23534">
          <cell r="B23534">
            <v>55</v>
          </cell>
        </row>
        <row r="23535">
          <cell r="B23535">
            <v>56</v>
          </cell>
        </row>
        <row r="23536">
          <cell r="B23536">
            <v>56</v>
          </cell>
        </row>
        <row r="23537">
          <cell r="B23537">
            <v>57</v>
          </cell>
        </row>
        <row r="23538">
          <cell r="B23538">
            <v>57</v>
          </cell>
        </row>
        <row r="23539">
          <cell r="B23539">
            <v>57</v>
          </cell>
        </row>
        <row r="23540">
          <cell r="B23540">
            <v>57</v>
          </cell>
        </row>
        <row r="23541">
          <cell r="B23541">
            <v>57</v>
          </cell>
        </row>
        <row r="23542">
          <cell r="B23542">
            <v>57</v>
          </cell>
        </row>
        <row r="23543">
          <cell r="B23543">
            <v>57</v>
          </cell>
        </row>
        <row r="23544">
          <cell r="B23544">
            <v>57</v>
          </cell>
        </row>
        <row r="23545">
          <cell r="B23545">
            <v>57</v>
          </cell>
        </row>
        <row r="23546">
          <cell r="B23546">
            <v>57</v>
          </cell>
        </row>
        <row r="23547">
          <cell r="B23547">
            <v>57</v>
          </cell>
        </row>
        <row r="23548">
          <cell r="B23548">
            <v>57</v>
          </cell>
        </row>
        <row r="23549">
          <cell r="B23549">
            <v>57</v>
          </cell>
        </row>
        <row r="23550">
          <cell r="B23550">
            <v>57</v>
          </cell>
        </row>
        <row r="23551">
          <cell r="B23551">
            <v>57</v>
          </cell>
        </row>
        <row r="23552">
          <cell r="B23552">
            <v>57</v>
          </cell>
        </row>
        <row r="23553">
          <cell r="B23553">
            <v>57</v>
          </cell>
        </row>
        <row r="23554">
          <cell r="B23554">
            <v>56</v>
          </cell>
        </row>
        <row r="23555">
          <cell r="B23555">
            <v>57</v>
          </cell>
        </row>
        <row r="23556">
          <cell r="B23556">
            <v>57</v>
          </cell>
        </row>
        <row r="23557">
          <cell r="B23557">
            <v>57</v>
          </cell>
        </row>
        <row r="23558">
          <cell r="B23558">
            <v>56</v>
          </cell>
        </row>
        <row r="23559">
          <cell r="B23559">
            <v>57</v>
          </cell>
        </row>
        <row r="23560">
          <cell r="B23560">
            <v>57</v>
          </cell>
        </row>
        <row r="23561">
          <cell r="B23561">
            <v>56</v>
          </cell>
        </row>
        <row r="23562">
          <cell r="B23562">
            <v>57</v>
          </cell>
        </row>
        <row r="23563">
          <cell r="B23563">
            <v>57</v>
          </cell>
        </row>
        <row r="23564">
          <cell r="B23564">
            <v>57</v>
          </cell>
        </row>
        <row r="23565">
          <cell r="B23565">
            <v>57</v>
          </cell>
        </row>
        <row r="23566">
          <cell r="B23566">
            <v>56</v>
          </cell>
        </row>
        <row r="23567">
          <cell r="B23567">
            <v>55</v>
          </cell>
        </row>
        <row r="23568">
          <cell r="B23568">
            <v>54</v>
          </cell>
        </row>
        <row r="23569">
          <cell r="B23569">
            <v>50</v>
          </cell>
        </row>
        <row r="23570">
          <cell r="B23570">
            <v>49</v>
          </cell>
        </row>
        <row r="23571">
          <cell r="B23571">
            <v>49</v>
          </cell>
        </row>
        <row r="23635">
          <cell r="B23635">
            <v>46</v>
          </cell>
        </row>
        <row r="23636">
          <cell r="B23636">
            <v>47</v>
          </cell>
        </row>
        <row r="23637">
          <cell r="B23637">
            <v>49</v>
          </cell>
        </row>
        <row r="23638">
          <cell r="B23638">
            <v>50</v>
          </cell>
        </row>
        <row r="23639">
          <cell r="B23639">
            <v>51</v>
          </cell>
        </row>
        <row r="23640">
          <cell r="B23640">
            <v>52</v>
          </cell>
        </row>
        <row r="23641">
          <cell r="B23641">
            <v>53</v>
          </cell>
        </row>
        <row r="23642">
          <cell r="B23642">
            <v>54</v>
          </cell>
        </row>
        <row r="23643">
          <cell r="B23643">
            <v>54</v>
          </cell>
        </row>
        <row r="23644">
          <cell r="B23644">
            <v>54</v>
          </cell>
        </row>
        <row r="23645">
          <cell r="B23645">
            <v>55</v>
          </cell>
        </row>
        <row r="23646">
          <cell r="B23646">
            <v>54</v>
          </cell>
        </row>
        <row r="23647">
          <cell r="B23647">
            <v>53</v>
          </cell>
        </row>
        <row r="23648">
          <cell r="B23648">
            <v>52</v>
          </cell>
        </row>
        <row r="23649">
          <cell r="B23649">
            <v>51</v>
          </cell>
        </row>
        <row r="23650">
          <cell r="B23650">
            <v>50</v>
          </cell>
        </row>
        <row r="23651">
          <cell r="B23651">
            <v>49</v>
          </cell>
        </row>
        <row r="23652">
          <cell r="B23652">
            <v>48</v>
          </cell>
        </row>
        <row r="23653">
          <cell r="B23653">
            <v>48</v>
          </cell>
        </row>
        <row r="23654">
          <cell r="B23654">
            <v>47</v>
          </cell>
        </row>
        <row r="23655">
          <cell r="B23655">
            <v>47</v>
          </cell>
        </row>
        <row r="23656">
          <cell r="B23656">
            <v>46</v>
          </cell>
        </row>
        <row r="23657">
          <cell r="B23657">
            <v>46</v>
          </cell>
        </row>
        <row r="23658">
          <cell r="B23658">
            <v>45</v>
          </cell>
        </row>
        <row r="23659">
          <cell r="B23659">
            <v>45</v>
          </cell>
        </row>
        <row r="23660">
          <cell r="B23660">
            <v>45</v>
          </cell>
        </row>
        <row r="23661">
          <cell r="B23661">
            <v>45</v>
          </cell>
        </row>
        <row r="23662">
          <cell r="B23662">
            <v>44</v>
          </cell>
        </row>
        <row r="23663">
          <cell r="B23663">
            <v>44</v>
          </cell>
        </row>
        <row r="23664">
          <cell r="B23664">
            <v>44</v>
          </cell>
        </row>
        <row r="23665">
          <cell r="B23665">
            <v>44</v>
          </cell>
        </row>
        <row r="23666">
          <cell r="B23666">
            <v>44</v>
          </cell>
        </row>
        <row r="23667">
          <cell r="B23667">
            <v>43</v>
          </cell>
        </row>
        <row r="23668">
          <cell r="B23668">
            <v>44</v>
          </cell>
        </row>
        <row r="23669">
          <cell r="B23669">
            <v>44</v>
          </cell>
        </row>
        <row r="23670">
          <cell r="B23670">
            <v>44</v>
          </cell>
        </row>
        <row r="23671">
          <cell r="B23671">
            <v>45</v>
          </cell>
        </row>
        <row r="23672">
          <cell r="B23672">
            <v>46</v>
          </cell>
        </row>
        <row r="23673">
          <cell r="B23673">
            <v>48</v>
          </cell>
        </row>
        <row r="23674">
          <cell r="B23674">
            <v>49</v>
          </cell>
        </row>
        <row r="23675">
          <cell r="B23675">
            <v>50</v>
          </cell>
        </row>
        <row r="23676">
          <cell r="B23676">
            <v>51</v>
          </cell>
        </row>
        <row r="23677">
          <cell r="B23677">
            <v>52</v>
          </cell>
        </row>
        <row r="23678">
          <cell r="B23678">
            <v>53</v>
          </cell>
        </row>
        <row r="23679">
          <cell r="B23679">
            <v>54</v>
          </cell>
        </row>
        <row r="23680">
          <cell r="B23680">
            <v>54</v>
          </cell>
        </row>
        <row r="23681">
          <cell r="B23681">
            <v>55</v>
          </cell>
        </row>
        <row r="23682">
          <cell r="B23682">
            <v>54</v>
          </cell>
        </row>
        <row r="23683">
          <cell r="B23683">
            <v>53</v>
          </cell>
        </row>
        <row r="23684">
          <cell r="B23684">
            <v>52</v>
          </cell>
        </row>
        <row r="23685">
          <cell r="B23685">
            <v>51</v>
          </cell>
        </row>
        <row r="23686">
          <cell r="B23686">
            <v>50</v>
          </cell>
        </row>
        <row r="23687">
          <cell r="B23687">
            <v>49</v>
          </cell>
        </row>
        <row r="23688">
          <cell r="B23688">
            <v>48</v>
          </cell>
        </row>
        <row r="23689">
          <cell r="B23689">
            <v>47</v>
          </cell>
        </row>
        <row r="23690">
          <cell r="B23690">
            <v>47</v>
          </cell>
        </row>
        <row r="23691">
          <cell r="B23691">
            <v>46</v>
          </cell>
        </row>
        <row r="23692">
          <cell r="B23692">
            <v>46</v>
          </cell>
        </row>
        <row r="23693">
          <cell r="B23693">
            <v>45</v>
          </cell>
        </row>
        <row r="23694">
          <cell r="B23694">
            <v>45</v>
          </cell>
        </row>
        <row r="23695">
          <cell r="B23695">
            <v>45</v>
          </cell>
        </row>
        <row r="23696">
          <cell r="B23696">
            <v>44</v>
          </cell>
        </row>
        <row r="23697">
          <cell r="B23697">
            <v>44</v>
          </cell>
        </row>
        <row r="23698">
          <cell r="B23698">
            <v>44</v>
          </cell>
        </row>
        <row r="23699">
          <cell r="B23699">
            <v>44</v>
          </cell>
        </row>
        <row r="23700">
          <cell r="B23700">
            <v>43</v>
          </cell>
        </row>
        <row r="23701">
          <cell r="B23701">
            <v>43</v>
          </cell>
        </row>
        <row r="23702">
          <cell r="B23702">
            <v>43</v>
          </cell>
        </row>
        <row r="23703">
          <cell r="B23703">
            <v>43</v>
          </cell>
        </row>
        <row r="23704">
          <cell r="B23704">
            <v>44</v>
          </cell>
        </row>
        <row r="23705">
          <cell r="B23705">
            <v>45</v>
          </cell>
        </row>
        <row r="23706">
          <cell r="B23706">
            <v>46</v>
          </cell>
        </row>
        <row r="23707">
          <cell r="B23707">
            <v>48</v>
          </cell>
        </row>
        <row r="23708">
          <cell r="B23708">
            <v>49</v>
          </cell>
        </row>
        <row r="23709">
          <cell r="B23709">
            <v>51</v>
          </cell>
        </row>
        <row r="23710">
          <cell r="B23710">
            <v>52</v>
          </cell>
        </row>
        <row r="23711">
          <cell r="B23711">
            <v>53</v>
          </cell>
        </row>
        <row r="23712">
          <cell r="B23712">
            <v>53</v>
          </cell>
        </row>
        <row r="23713">
          <cell r="B23713">
            <v>54</v>
          </cell>
        </row>
        <row r="23714">
          <cell r="B23714">
            <v>54</v>
          </cell>
        </row>
        <row r="23715">
          <cell r="B23715">
            <v>54</v>
          </cell>
        </row>
        <row r="23716">
          <cell r="B23716">
            <v>53</v>
          </cell>
        </row>
        <row r="23717">
          <cell r="B23717">
            <v>52</v>
          </cell>
        </row>
        <row r="23718">
          <cell r="B23718">
            <v>51</v>
          </cell>
        </row>
        <row r="23719">
          <cell r="B23719">
            <v>50</v>
          </cell>
        </row>
        <row r="23720">
          <cell r="B23720">
            <v>49</v>
          </cell>
        </row>
        <row r="23721">
          <cell r="B23721">
            <v>48</v>
          </cell>
        </row>
        <row r="23722">
          <cell r="B23722">
            <v>47</v>
          </cell>
        </row>
        <row r="23723">
          <cell r="B23723">
            <v>47</v>
          </cell>
        </row>
        <row r="23724">
          <cell r="B23724">
            <v>46</v>
          </cell>
        </row>
        <row r="23725">
          <cell r="B23725">
            <v>45</v>
          </cell>
        </row>
        <row r="23726">
          <cell r="B23726">
            <v>44</v>
          </cell>
        </row>
        <row r="23727">
          <cell r="B23727">
            <v>43</v>
          </cell>
        </row>
        <row r="23728">
          <cell r="B23728">
            <v>43</v>
          </cell>
        </row>
        <row r="23800">
          <cell r="B23800">
            <v>31</v>
          </cell>
        </row>
        <row r="23801">
          <cell r="B23801">
            <v>33</v>
          </cell>
        </row>
        <row r="23802">
          <cell r="B23802">
            <v>34</v>
          </cell>
        </row>
        <row r="23803">
          <cell r="B23803">
            <v>35</v>
          </cell>
        </row>
        <row r="23804">
          <cell r="B23804">
            <v>35</v>
          </cell>
        </row>
        <row r="23805">
          <cell r="B23805">
            <v>36</v>
          </cell>
        </row>
        <row r="23806">
          <cell r="B23806">
            <v>36</v>
          </cell>
        </row>
        <row r="23807">
          <cell r="B23807">
            <v>36</v>
          </cell>
        </row>
        <row r="23808">
          <cell r="B23808">
            <v>37</v>
          </cell>
        </row>
        <row r="23809">
          <cell r="B23809">
            <v>37</v>
          </cell>
        </row>
        <row r="23810">
          <cell r="B23810">
            <v>37</v>
          </cell>
        </row>
        <row r="23811">
          <cell r="B23811">
            <v>37</v>
          </cell>
        </row>
        <row r="23812">
          <cell r="B23812">
            <v>37</v>
          </cell>
        </row>
        <row r="23813">
          <cell r="B23813">
            <v>37</v>
          </cell>
        </row>
        <row r="23814">
          <cell r="B23814">
            <v>37</v>
          </cell>
        </row>
        <row r="23815">
          <cell r="B23815">
            <v>36</v>
          </cell>
        </row>
        <row r="23816">
          <cell r="B23816">
            <v>36</v>
          </cell>
        </row>
        <row r="23817">
          <cell r="B23817">
            <v>36</v>
          </cell>
        </row>
        <row r="23818">
          <cell r="B23818">
            <v>36</v>
          </cell>
        </row>
        <row r="23819">
          <cell r="B23819">
            <v>36</v>
          </cell>
        </row>
        <row r="23820">
          <cell r="B23820">
            <v>36</v>
          </cell>
        </row>
        <row r="23821">
          <cell r="B23821">
            <v>36</v>
          </cell>
        </row>
        <row r="23822">
          <cell r="B23822">
            <v>36</v>
          </cell>
        </row>
        <row r="23823">
          <cell r="B23823">
            <v>36</v>
          </cell>
        </row>
        <row r="23824">
          <cell r="B23824">
            <v>36</v>
          </cell>
        </row>
        <row r="23825">
          <cell r="B23825">
            <v>36</v>
          </cell>
        </row>
        <row r="23826">
          <cell r="B23826">
            <v>36</v>
          </cell>
        </row>
        <row r="23827">
          <cell r="B23827">
            <v>36</v>
          </cell>
        </row>
        <row r="23828">
          <cell r="B23828">
            <v>36</v>
          </cell>
        </row>
        <row r="23829">
          <cell r="B23829">
            <v>36</v>
          </cell>
        </row>
        <row r="23830">
          <cell r="B23830">
            <v>36</v>
          </cell>
        </row>
        <row r="23831">
          <cell r="B23831">
            <v>36</v>
          </cell>
        </row>
        <row r="23832">
          <cell r="B23832">
            <v>36</v>
          </cell>
        </row>
        <row r="23833">
          <cell r="B23833">
            <v>36</v>
          </cell>
        </row>
        <row r="23834">
          <cell r="B23834">
            <v>36</v>
          </cell>
        </row>
        <row r="23835">
          <cell r="B23835">
            <v>36</v>
          </cell>
        </row>
        <row r="23836">
          <cell r="B23836">
            <v>36</v>
          </cell>
        </row>
        <row r="23837">
          <cell r="B23837">
            <v>36</v>
          </cell>
        </row>
        <row r="23838">
          <cell r="B23838">
            <v>36</v>
          </cell>
        </row>
        <row r="23839">
          <cell r="B23839">
            <v>36</v>
          </cell>
        </row>
        <row r="23840">
          <cell r="B23840">
            <v>36</v>
          </cell>
        </row>
        <row r="23841">
          <cell r="B23841">
            <v>36</v>
          </cell>
        </row>
        <row r="23842">
          <cell r="B23842">
            <v>36</v>
          </cell>
        </row>
        <row r="23843">
          <cell r="B23843">
            <v>36</v>
          </cell>
        </row>
        <row r="23844">
          <cell r="B23844">
            <v>36</v>
          </cell>
        </row>
        <row r="23845">
          <cell r="B23845">
            <v>36</v>
          </cell>
        </row>
        <row r="23846">
          <cell r="B23846">
            <v>35</v>
          </cell>
        </row>
        <row r="23847">
          <cell r="B23847">
            <v>34</v>
          </cell>
        </row>
        <row r="23848">
          <cell r="B23848">
            <v>33</v>
          </cell>
        </row>
        <row r="23849">
          <cell r="B23849">
            <v>32</v>
          </cell>
        </row>
        <row r="23850">
          <cell r="B23850">
            <v>31</v>
          </cell>
        </row>
        <row r="23851">
          <cell r="B23851">
            <v>30</v>
          </cell>
        </row>
        <row r="23852">
          <cell r="B23852">
            <v>30</v>
          </cell>
        </row>
        <row r="23853">
          <cell r="B23853">
            <v>29</v>
          </cell>
        </row>
        <row r="23854">
          <cell r="B23854">
            <v>29</v>
          </cell>
        </row>
        <row r="23855">
          <cell r="B23855">
            <v>30</v>
          </cell>
        </row>
        <row r="23856">
          <cell r="B23856">
            <v>31</v>
          </cell>
        </row>
        <row r="23857">
          <cell r="B23857">
            <v>32</v>
          </cell>
        </row>
        <row r="23858">
          <cell r="B23858">
            <v>33</v>
          </cell>
        </row>
        <row r="23859">
          <cell r="B23859">
            <v>34</v>
          </cell>
        </row>
        <row r="23860">
          <cell r="B23860">
            <v>34</v>
          </cell>
        </row>
        <row r="23861">
          <cell r="B23861">
            <v>35</v>
          </cell>
        </row>
        <row r="23862">
          <cell r="B23862">
            <v>35</v>
          </cell>
        </row>
        <row r="23863">
          <cell r="B23863">
            <v>35</v>
          </cell>
        </row>
        <row r="23864">
          <cell r="B23864">
            <v>35</v>
          </cell>
        </row>
        <row r="23865">
          <cell r="B23865">
            <v>35</v>
          </cell>
        </row>
        <row r="23866">
          <cell r="B23866">
            <v>35</v>
          </cell>
        </row>
        <row r="23867">
          <cell r="B23867">
            <v>35</v>
          </cell>
        </row>
        <row r="23868">
          <cell r="B23868">
            <v>35</v>
          </cell>
        </row>
        <row r="23869">
          <cell r="B23869">
            <v>35</v>
          </cell>
        </row>
        <row r="23870">
          <cell r="B23870">
            <v>35</v>
          </cell>
        </row>
        <row r="23871">
          <cell r="B23871">
            <v>35</v>
          </cell>
        </row>
        <row r="23872">
          <cell r="B23872">
            <v>35</v>
          </cell>
        </row>
        <row r="23873">
          <cell r="B23873">
            <v>35</v>
          </cell>
        </row>
        <row r="23874">
          <cell r="B23874">
            <v>35</v>
          </cell>
        </row>
        <row r="23875">
          <cell r="B23875">
            <v>35</v>
          </cell>
        </row>
        <row r="23876">
          <cell r="B23876">
            <v>35</v>
          </cell>
        </row>
        <row r="23877">
          <cell r="B23877">
            <v>35</v>
          </cell>
        </row>
        <row r="23878">
          <cell r="B23878">
            <v>35</v>
          </cell>
        </row>
        <row r="23879">
          <cell r="B23879">
            <v>35</v>
          </cell>
        </row>
        <row r="23880">
          <cell r="B23880">
            <v>35</v>
          </cell>
        </row>
        <row r="23881">
          <cell r="B23881">
            <v>35</v>
          </cell>
        </row>
        <row r="23882">
          <cell r="B23882">
            <v>35</v>
          </cell>
        </row>
        <row r="23883">
          <cell r="B23883">
            <v>34</v>
          </cell>
        </row>
        <row r="23884">
          <cell r="B23884">
            <v>33</v>
          </cell>
        </row>
        <row r="23885">
          <cell r="B23885">
            <v>33</v>
          </cell>
        </row>
        <row r="23968">
          <cell r="B23968">
            <v>21</v>
          </cell>
        </row>
        <row r="23969">
          <cell r="B23969">
            <v>21</v>
          </cell>
        </row>
        <row r="23970">
          <cell r="B23970">
            <v>21</v>
          </cell>
        </row>
        <row r="23971">
          <cell r="B23971">
            <v>21</v>
          </cell>
        </row>
        <row r="23972">
          <cell r="B23972">
            <v>21</v>
          </cell>
        </row>
        <row r="23973">
          <cell r="B23973">
            <v>21</v>
          </cell>
        </row>
        <row r="23974">
          <cell r="B23974">
            <v>21</v>
          </cell>
        </row>
        <row r="23975">
          <cell r="B23975">
            <v>21</v>
          </cell>
        </row>
        <row r="23976">
          <cell r="B23976">
            <v>21</v>
          </cell>
        </row>
        <row r="23977">
          <cell r="B23977">
            <v>21</v>
          </cell>
        </row>
        <row r="23978">
          <cell r="B23978">
            <v>21</v>
          </cell>
        </row>
        <row r="23979">
          <cell r="B23979">
            <v>20</v>
          </cell>
        </row>
        <row r="23980">
          <cell r="B23980">
            <v>21</v>
          </cell>
        </row>
        <row r="23981">
          <cell r="B23981">
            <v>21</v>
          </cell>
        </row>
        <row r="23982">
          <cell r="B23982">
            <v>21</v>
          </cell>
        </row>
        <row r="23983">
          <cell r="B23983">
            <v>20</v>
          </cell>
        </row>
        <row r="23984">
          <cell r="B23984">
            <v>21</v>
          </cell>
        </row>
        <row r="23985">
          <cell r="B23985">
            <v>20</v>
          </cell>
        </row>
        <row r="23986">
          <cell r="B23986">
            <v>21</v>
          </cell>
        </row>
        <row r="23987">
          <cell r="B23987">
            <v>20</v>
          </cell>
        </row>
        <row r="23988">
          <cell r="B23988">
            <v>21</v>
          </cell>
        </row>
        <row r="23989">
          <cell r="B23989">
            <v>20</v>
          </cell>
        </row>
        <row r="23990">
          <cell r="B23990">
            <v>20</v>
          </cell>
        </row>
        <row r="23991">
          <cell r="B23991">
            <v>21</v>
          </cell>
        </row>
        <row r="23992">
          <cell r="B23992">
            <v>20</v>
          </cell>
        </row>
        <row r="23993">
          <cell r="B23993">
            <v>20</v>
          </cell>
        </row>
        <row r="23994">
          <cell r="B23994">
            <v>20</v>
          </cell>
        </row>
        <row r="23995">
          <cell r="B23995">
            <v>20</v>
          </cell>
        </row>
        <row r="23996">
          <cell r="B23996">
            <v>20</v>
          </cell>
        </row>
        <row r="23997">
          <cell r="B23997">
            <v>20</v>
          </cell>
        </row>
        <row r="23998">
          <cell r="B23998">
            <v>20</v>
          </cell>
        </row>
        <row r="23999">
          <cell r="B23999">
            <v>20</v>
          </cell>
        </row>
        <row r="24000">
          <cell r="B24000">
            <v>20</v>
          </cell>
        </row>
        <row r="24001">
          <cell r="B24001">
            <v>20</v>
          </cell>
        </row>
        <row r="24002">
          <cell r="B24002">
            <v>20</v>
          </cell>
        </row>
        <row r="24003">
          <cell r="B24003">
            <v>20</v>
          </cell>
        </row>
        <row r="24004">
          <cell r="B24004">
            <v>20</v>
          </cell>
        </row>
        <row r="24005">
          <cell r="B24005">
            <v>20</v>
          </cell>
        </row>
        <row r="24006">
          <cell r="B24006">
            <v>20</v>
          </cell>
        </row>
        <row r="24007">
          <cell r="B24007">
            <v>20</v>
          </cell>
        </row>
        <row r="24008">
          <cell r="B24008">
            <v>20</v>
          </cell>
        </row>
        <row r="24009">
          <cell r="B24009">
            <v>20</v>
          </cell>
        </row>
        <row r="24010">
          <cell r="B24010">
            <v>20</v>
          </cell>
        </row>
        <row r="24011">
          <cell r="B24011">
            <v>20</v>
          </cell>
        </row>
        <row r="24012">
          <cell r="B24012">
            <v>20</v>
          </cell>
        </row>
        <row r="24013">
          <cell r="B24013">
            <v>20</v>
          </cell>
        </row>
        <row r="24014">
          <cell r="B24014">
            <v>20</v>
          </cell>
        </row>
        <row r="24015">
          <cell r="B24015">
            <v>20</v>
          </cell>
        </row>
        <row r="24016">
          <cell r="B24016">
            <v>20</v>
          </cell>
        </row>
        <row r="24017">
          <cell r="B24017">
            <v>20</v>
          </cell>
        </row>
        <row r="24018">
          <cell r="B24018">
            <v>20</v>
          </cell>
        </row>
        <row r="24019">
          <cell r="B24019">
            <v>20</v>
          </cell>
        </row>
        <row r="24020">
          <cell r="B24020">
            <v>20</v>
          </cell>
        </row>
        <row r="24021">
          <cell r="B24021">
            <v>20</v>
          </cell>
        </row>
        <row r="24022">
          <cell r="B24022">
            <v>20</v>
          </cell>
        </row>
        <row r="24023">
          <cell r="B24023">
            <v>20</v>
          </cell>
        </row>
        <row r="24024">
          <cell r="B24024">
            <v>20</v>
          </cell>
        </row>
        <row r="24025">
          <cell r="B24025">
            <v>20</v>
          </cell>
        </row>
        <row r="24026">
          <cell r="B24026">
            <v>20</v>
          </cell>
        </row>
        <row r="24027">
          <cell r="B24027">
            <v>20</v>
          </cell>
        </row>
        <row r="24028">
          <cell r="B24028">
            <v>20</v>
          </cell>
        </row>
        <row r="24029">
          <cell r="B24029">
            <v>19</v>
          </cell>
        </row>
        <row r="24030">
          <cell r="B24030">
            <v>20</v>
          </cell>
        </row>
        <row r="24031">
          <cell r="B24031">
            <v>20</v>
          </cell>
        </row>
        <row r="24032">
          <cell r="B24032">
            <v>20</v>
          </cell>
        </row>
        <row r="24033">
          <cell r="B24033">
            <v>20</v>
          </cell>
        </row>
        <row r="24034">
          <cell r="B24034">
            <v>19</v>
          </cell>
        </row>
        <row r="24035">
          <cell r="B24035">
            <v>19</v>
          </cell>
        </row>
        <row r="24036">
          <cell r="B24036">
            <v>19</v>
          </cell>
        </row>
        <row r="24037">
          <cell r="B24037">
            <v>19</v>
          </cell>
        </row>
        <row r="24038">
          <cell r="B24038">
            <v>19</v>
          </cell>
        </row>
        <row r="24039">
          <cell r="B24039">
            <v>19</v>
          </cell>
        </row>
        <row r="24040">
          <cell r="B24040">
            <v>19</v>
          </cell>
        </row>
        <row r="24041">
          <cell r="B24041">
            <v>19</v>
          </cell>
        </row>
        <row r="24042">
          <cell r="B24042">
            <v>19</v>
          </cell>
        </row>
        <row r="24043">
          <cell r="B24043">
            <v>19</v>
          </cell>
        </row>
        <row r="24044">
          <cell r="B24044">
            <v>19</v>
          </cell>
        </row>
        <row r="24045">
          <cell r="B24045">
            <v>19</v>
          </cell>
        </row>
        <row r="24046">
          <cell r="B24046">
            <v>19</v>
          </cell>
        </row>
        <row r="24047">
          <cell r="B24047">
            <v>19</v>
          </cell>
        </row>
        <row r="24048">
          <cell r="B24048">
            <v>19</v>
          </cell>
        </row>
        <row r="24049">
          <cell r="B24049">
            <v>19</v>
          </cell>
        </row>
        <row r="24050">
          <cell r="B24050">
            <v>19</v>
          </cell>
        </row>
        <row r="24051">
          <cell r="B24051">
            <v>19</v>
          </cell>
        </row>
        <row r="24052">
          <cell r="B24052">
            <v>19</v>
          </cell>
        </row>
        <row r="24053">
          <cell r="B24053">
            <v>19</v>
          </cell>
        </row>
        <row r="24054">
          <cell r="B24054">
            <v>19</v>
          </cell>
        </row>
        <row r="24055">
          <cell r="B24055">
            <v>19</v>
          </cell>
        </row>
        <row r="24056">
          <cell r="B24056">
            <v>19</v>
          </cell>
        </row>
        <row r="24057">
          <cell r="B24057">
            <v>19</v>
          </cell>
        </row>
        <row r="24058">
          <cell r="B24058">
            <v>19</v>
          </cell>
        </row>
        <row r="24059">
          <cell r="B24059">
            <v>19</v>
          </cell>
        </row>
        <row r="24060">
          <cell r="B24060">
            <v>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1508-5F78-41AD-A47C-94FF7AE47276}">
  <dimension ref="B2:I10"/>
  <sheetViews>
    <sheetView zoomScale="130" zoomScaleNormal="130" workbookViewId="0">
      <selection activeCell="U19" sqref="U19"/>
    </sheetView>
  </sheetViews>
  <sheetFormatPr defaultRowHeight="15" x14ac:dyDescent="0.25"/>
  <cols>
    <col min="9" max="9" width="10" bestFit="1" customWidth="1"/>
  </cols>
  <sheetData>
    <row r="2" spans="2:9" x14ac:dyDescent="0.25">
      <c r="B2" s="15"/>
      <c r="C2" s="16" t="s">
        <v>43</v>
      </c>
      <c r="D2" s="15"/>
      <c r="E2" s="15"/>
      <c r="G2" s="19" t="s">
        <v>0</v>
      </c>
      <c r="H2" s="19" t="s">
        <v>47</v>
      </c>
      <c r="I2" s="19" t="s">
        <v>48</v>
      </c>
    </row>
    <row r="3" spans="2:9" x14ac:dyDescent="0.25">
      <c r="B3" s="15"/>
      <c r="C3" s="15"/>
      <c r="D3" s="15"/>
      <c r="E3" s="15"/>
      <c r="G3" s="17">
        <v>1</v>
      </c>
      <c r="H3" s="17">
        <v>1</v>
      </c>
      <c r="I3" s="18">
        <v>45995</v>
      </c>
    </row>
    <row r="4" spans="2:9" x14ac:dyDescent="0.25">
      <c r="B4" s="16" t="s">
        <v>5</v>
      </c>
      <c r="C4" s="16" t="s">
        <v>44</v>
      </c>
      <c r="D4" s="16" t="s">
        <v>45</v>
      </c>
      <c r="E4" s="16" t="s">
        <v>46</v>
      </c>
      <c r="G4" s="17">
        <v>1</v>
      </c>
      <c r="H4" s="17">
        <v>2</v>
      </c>
      <c r="I4" s="18">
        <v>45996</v>
      </c>
    </row>
    <row r="5" spans="2:9" x14ac:dyDescent="0.25">
      <c r="B5" s="15">
        <v>1</v>
      </c>
      <c r="C5" s="15">
        <v>32</v>
      </c>
      <c r="D5" s="15">
        <v>79</v>
      </c>
      <c r="E5" s="15">
        <v>0.99850283321498079</v>
      </c>
      <c r="G5" s="17">
        <v>2</v>
      </c>
      <c r="H5" s="17">
        <v>1</v>
      </c>
      <c r="I5" s="18">
        <v>46086</v>
      </c>
    </row>
    <row r="6" spans="2:9" x14ac:dyDescent="0.25">
      <c r="B6" s="15">
        <v>2</v>
      </c>
      <c r="C6" s="15">
        <v>32</v>
      </c>
      <c r="D6" s="15">
        <v>68</v>
      </c>
      <c r="E6" s="15">
        <v>1.5215281268037799</v>
      </c>
      <c r="G6" s="17">
        <v>2</v>
      </c>
      <c r="H6" s="17">
        <v>2</v>
      </c>
      <c r="I6" s="18">
        <v>46087</v>
      </c>
    </row>
    <row r="7" spans="2:9" x14ac:dyDescent="0.25">
      <c r="B7" s="15">
        <v>3</v>
      </c>
      <c r="C7" s="15">
        <v>32</v>
      </c>
      <c r="D7" s="15">
        <v>57</v>
      </c>
      <c r="E7" s="15">
        <v>2.0445534203925799</v>
      </c>
      <c r="G7" s="17">
        <v>3</v>
      </c>
      <c r="H7" s="17">
        <v>1</v>
      </c>
      <c r="I7" s="18">
        <v>46128</v>
      </c>
    </row>
    <row r="8" spans="2:9" x14ac:dyDescent="0.25">
      <c r="B8" s="15">
        <v>4</v>
      </c>
      <c r="C8" s="15">
        <v>32</v>
      </c>
      <c r="D8" s="15">
        <v>47</v>
      </c>
      <c r="E8" s="15">
        <v>2.5200309600187611</v>
      </c>
      <c r="G8" s="17">
        <v>3</v>
      </c>
      <c r="H8" s="17">
        <v>2</v>
      </c>
      <c r="I8" s="18">
        <v>46129</v>
      </c>
    </row>
    <row r="9" spans="2:9" x14ac:dyDescent="0.25">
      <c r="B9" s="15">
        <v>5</v>
      </c>
      <c r="C9" s="15">
        <v>32</v>
      </c>
      <c r="D9" s="15">
        <v>37</v>
      </c>
      <c r="E9" s="15">
        <v>2.9955084996449424</v>
      </c>
      <c r="G9" s="17">
        <v>4</v>
      </c>
      <c r="H9" s="17">
        <v>1</v>
      </c>
      <c r="I9" s="18">
        <v>46181</v>
      </c>
    </row>
    <row r="10" spans="2:9" x14ac:dyDescent="0.25">
      <c r="B10" s="15">
        <v>6</v>
      </c>
      <c r="C10" s="15">
        <v>32</v>
      </c>
      <c r="D10" s="15">
        <v>24</v>
      </c>
      <c r="E10" s="15">
        <v>3.6136293011589782</v>
      </c>
      <c r="G10" s="17">
        <v>4</v>
      </c>
      <c r="H10" s="17">
        <v>2</v>
      </c>
      <c r="I10" s="18">
        <v>46182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268C-AD7F-41DC-B3D3-C9D08D39E6F2}">
  <dimension ref="A1:AE492"/>
  <sheetViews>
    <sheetView tabSelected="1" zoomScale="60" zoomScaleNormal="60" workbookViewId="0">
      <selection activeCell="W11" sqref="W11"/>
    </sheetView>
  </sheetViews>
  <sheetFormatPr defaultColWidth="11.42578125" defaultRowHeight="15" x14ac:dyDescent="0.25"/>
  <cols>
    <col min="6" max="6" width="21.5703125" bestFit="1" customWidth="1"/>
    <col min="10" max="10" width="12.42578125" bestFit="1" customWidth="1"/>
    <col min="11" max="11" width="11.85546875" bestFit="1" customWidth="1"/>
    <col min="12" max="12" width="19.42578125" bestFit="1" customWidth="1"/>
    <col min="13" max="13" width="20.7109375" bestFit="1" customWidth="1"/>
    <col min="14" max="14" width="19.5703125" bestFit="1" customWidth="1"/>
    <col min="15" max="15" width="21.5703125" bestFit="1" customWidth="1"/>
    <col min="16" max="16" width="18.85546875" customWidth="1"/>
    <col min="17" max="17" width="23.5703125" bestFit="1" customWidth="1"/>
    <col min="18" max="18" width="22.7109375" bestFit="1" customWidth="1"/>
    <col min="19" max="19" width="13.7109375" bestFit="1" customWidth="1"/>
    <col min="20" max="20" width="14" bestFit="1" customWidth="1"/>
    <col min="25" max="25" width="18.28515625" style="22" customWidth="1"/>
    <col min="26" max="27" width="19" style="22" bestFit="1" customWidth="1"/>
  </cols>
  <sheetData>
    <row r="1" spans="1:3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2" t="s">
        <v>49</v>
      </c>
      <c r="Z1" s="22" t="s">
        <v>50</v>
      </c>
      <c r="AA1" s="22" t="s">
        <v>51</v>
      </c>
      <c r="AB1" t="s">
        <v>53</v>
      </c>
      <c r="AC1" t="s">
        <v>54</v>
      </c>
      <c r="AD1" t="s">
        <v>52</v>
      </c>
    </row>
    <row r="2" spans="1:31" x14ac:dyDescent="0.25">
      <c r="A2">
        <v>1</v>
      </c>
      <c r="B2" s="1">
        <v>1</v>
      </c>
      <c r="C2" s="1">
        <v>5</v>
      </c>
      <c r="D2" s="1">
        <v>4</v>
      </c>
      <c r="E2" t="s">
        <v>35</v>
      </c>
      <c r="F2" t="s">
        <v>38</v>
      </c>
      <c r="G2" s="1">
        <v>2</v>
      </c>
      <c r="H2">
        <v>2535.83</v>
      </c>
      <c r="I2">
        <v>2525.83</v>
      </c>
      <c r="J2" s="7">
        <v>0.35893518518518519</v>
      </c>
      <c r="K2" s="7">
        <v>0.38979166666666665</v>
      </c>
      <c r="L2" s="1">
        <f>M2*60</f>
        <v>2655.6</v>
      </c>
      <c r="M2" s="1">
        <v>44.26</v>
      </c>
      <c r="N2" s="4">
        <f>H2-I2</f>
        <v>10</v>
      </c>
      <c r="O2" s="4">
        <f>N2*1000</f>
        <v>10000</v>
      </c>
      <c r="P2" s="4">
        <v>0.75187969924813569</v>
      </c>
      <c r="Q2">
        <v>759</v>
      </c>
      <c r="R2" s="1">
        <f>Q2/10000</f>
        <v>7.5899999999999995E-2</v>
      </c>
      <c r="S2" s="5">
        <f>O2/(R2*L2)</f>
        <v>49.613008610238424</v>
      </c>
      <c r="T2" s="4">
        <v>32</v>
      </c>
      <c r="U2">
        <v>71</v>
      </c>
      <c r="V2">
        <f>0.6108*EXP((17.27*T2)/(T2+237.3))</f>
        <v>4.7547753962618131</v>
      </c>
      <c r="W2">
        <f>V2*(U2/100)</f>
        <v>3.3758905313458873</v>
      </c>
      <c r="X2" s="6">
        <f>V2-W2</f>
        <v>1.3788848649159258</v>
      </c>
    </row>
    <row r="3" spans="1:31" x14ac:dyDescent="0.25">
      <c r="A3">
        <v>1</v>
      </c>
      <c r="B3" s="1">
        <v>1</v>
      </c>
      <c r="C3" s="1">
        <v>5</v>
      </c>
      <c r="D3" s="1">
        <v>4</v>
      </c>
      <c r="E3" t="s">
        <v>35</v>
      </c>
      <c r="F3" t="s">
        <v>38</v>
      </c>
      <c r="G3" s="1">
        <v>3</v>
      </c>
      <c r="H3">
        <v>2517.2199999999998</v>
      </c>
      <c r="I3">
        <v>2505.9</v>
      </c>
      <c r="J3" s="7">
        <v>0.41251157407407407</v>
      </c>
      <c r="K3" s="7">
        <v>0.44452546296296297</v>
      </c>
      <c r="L3" s="1">
        <f>M3*60</f>
        <v>2643.6000000000004</v>
      </c>
      <c r="M3" s="4">
        <v>44.06</v>
      </c>
      <c r="N3" s="4">
        <f>H3-I3</f>
        <v>11.319999999999709</v>
      </c>
      <c r="O3" s="4">
        <f>N3*1000</f>
        <v>11319.999999999709</v>
      </c>
      <c r="P3" s="4">
        <v>0.85112781954886774</v>
      </c>
      <c r="Q3">
        <v>759</v>
      </c>
      <c r="R3" s="1">
        <f>Q3/10000</f>
        <v>7.5899999999999995E-2</v>
      </c>
      <c r="S3" s="5">
        <f>O3/(R3*L3)</f>
        <v>56.416859590396193</v>
      </c>
      <c r="T3" s="4">
        <v>32</v>
      </c>
      <c r="U3" s="8">
        <f>+AVERAGE([1]humidity!$B$20430:$B$20523)</f>
        <v>58.276595744680854</v>
      </c>
      <c r="V3">
        <f>0.6108*EXP((17.27*T3)/(T3+237.3))</f>
        <v>4.7547753962618131</v>
      </c>
      <c r="W3">
        <f>V3*(U3/100)</f>
        <v>2.7709212362470441</v>
      </c>
      <c r="X3" s="6">
        <f>V3-W3</f>
        <v>1.983854160014769</v>
      </c>
    </row>
    <row r="4" spans="1:31" x14ac:dyDescent="0.25">
      <c r="A4">
        <v>1</v>
      </c>
      <c r="B4" s="1">
        <v>1</v>
      </c>
      <c r="C4" s="1">
        <v>5</v>
      </c>
      <c r="D4" s="1">
        <v>4</v>
      </c>
      <c r="E4" t="s">
        <v>35</v>
      </c>
      <c r="F4" t="s">
        <v>38</v>
      </c>
      <c r="G4" s="1">
        <v>4</v>
      </c>
      <c r="H4">
        <v>2498.15</v>
      </c>
      <c r="I4">
        <v>2486.06</v>
      </c>
      <c r="J4" s="7">
        <v>0.46377314814814813</v>
      </c>
      <c r="K4" s="7">
        <v>0.49486111111111108</v>
      </c>
      <c r="L4" s="1">
        <f>M4*60</f>
        <v>2667.6</v>
      </c>
      <c r="M4" s="1">
        <v>44.46</v>
      </c>
      <c r="N4" s="4">
        <f>H4-I4</f>
        <v>12.090000000000146</v>
      </c>
      <c r="O4" s="4">
        <f>N4*1000</f>
        <v>12090.000000000146</v>
      </c>
      <c r="P4" s="4">
        <v>0.90902255639100704</v>
      </c>
      <c r="Q4">
        <v>759</v>
      </c>
      <c r="R4" s="1">
        <f>Q4/10000</f>
        <v>7.5899999999999995E-2</v>
      </c>
      <c r="S4" s="5">
        <f>O4/(R4*L4)</f>
        <v>59.712302275232062</v>
      </c>
      <c r="T4" s="4">
        <v>32</v>
      </c>
      <c r="U4" s="8">
        <f>+AVERAGE([1]humidity!$B$20576:$B$20667)</f>
        <v>47.380434782608695</v>
      </c>
      <c r="V4">
        <f>0.6108*EXP((17.27*T4)/(T4+237.3))</f>
        <v>4.7547753962618131</v>
      </c>
      <c r="W4">
        <f>V4*(U4/100)</f>
        <v>2.2528332556853523</v>
      </c>
      <c r="X4" s="6">
        <f>V4-W4</f>
        <v>2.5019421405764608</v>
      </c>
    </row>
    <row r="5" spans="1:31" x14ac:dyDescent="0.25">
      <c r="A5">
        <v>1</v>
      </c>
      <c r="B5" s="1">
        <v>1</v>
      </c>
      <c r="C5" s="1">
        <v>5</v>
      </c>
      <c r="D5" s="1">
        <v>4</v>
      </c>
      <c r="E5" t="s">
        <v>35</v>
      </c>
      <c r="F5" t="s">
        <v>38</v>
      </c>
      <c r="G5" s="1">
        <v>5</v>
      </c>
      <c r="H5">
        <v>2475.9899999999998</v>
      </c>
      <c r="I5">
        <v>2462.86</v>
      </c>
      <c r="J5" s="7">
        <v>0.51785879629629628</v>
      </c>
      <c r="K5" s="7">
        <v>0.54924768518518519</v>
      </c>
      <c r="L5" s="1">
        <f>M5*60</f>
        <v>2707.2</v>
      </c>
      <c r="M5" s="4">
        <v>45.12</v>
      </c>
      <c r="N5" s="4">
        <f>H5-I5</f>
        <v>13.129999999999654</v>
      </c>
      <c r="O5" s="4">
        <f>N5*1000</f>
        <v>13129.999999999654</v>
      </c>
      <c r="P5" s="4">
        <v>0.98721804511277622</v>
      </c>
      <c r="Q5">
        <v>759</v>
      </c>
      <c r="R5" s="1">
        <f>Q5/10000</f>
        <v>7.5899999999999995E-2</v>
      </c>
      <c r="S5" s="5">
        <f>O5/(R5*L5)</f>
        <v>63.900257586657389</v>
      </c>
      <c r="T5" s="4">
        <v>32</v>
      </c>
      <c r="U5" s="8">
        <f>+AVERAGE([1]humidity!$B$20731:$B$20822)</f>
        <v>37.228260869565219</v>
      </c>
      <c r="V5">
        <f>0.6108*EXP((17.27*T5)/(T5+237.3))</f>
        <v>4.7547753962618131</v>
      </c>
      <c r="W5">
        <f>V5*(U5/100)</f>
        <v>1.770120188282251</v>
      </c>
      <c r="X5" s="6">
        <f>V5-W5</f>
        <v>2.9846552079795621</v>
      </c>
    </row>
    <row r="6" spans="1:31" x14ac:dyDescent="0.25">
      <c r="A6">
        <v>1</v>
      </c>
      <c r="B6" s="1">
        <v>1</v>
      </c>
      <c r="C6" s="1">
        <v>5</v>
      </c>
      <c r="D6" s="1">
        <v>4</v>
      </c>
      <c r="E6" t="s">
        <v>35</v>
      </c>
      <c r="F6" t="s">
        <v>38</v>
      </c>
      <c r="G6" s="1">
        <v>6</v>
      </c>
      <c r="H6">
        <v>2451.41</v>
      </c>
      <c r="I6">
        <v>2438.11</v>
      </c>
      <c r="J6" s="7">
        <v>0.57593749999999999</v>
      </c>
      <c r="K6" s="7">
        <v>0.60682870370370368</v>
      </c>
      <c r="L6" s="1">
        <f>M6*60</f>
        <v>2657.4</v>
      </c>
      <c r="M6" s="4">
        <v>44.29</v>
      </c>
      <c r="N6" s="4">
        <f>H6-I6</f>
        <v>13.299999999999727</v>
      </c>
      <c r="O6" s="4">
        <f>N6*1000</f>
        <v>13299.999999999727</v>
      </c>
      <c r="P6" s="4">
        <v>1</v>
      </c>
      <c r="Q6">
        <v>759</v>
      </c>
      <c r="R6" s="1">
        <f>Q6/10000</f>
        <v>7.5899999999999995E-2</v>
      </c>
      <c r="S6" s="5">
        <f>O6/(R6*L6)</f>
        <v>65.940606056638359</v>
      </c>
      <c r="T6" s="4">
        <v>32</v>
      </c>
      <c r="U6" s="8">
        <f>+AVERAGE([1]humidity!$B$20898:$B$20986)</f>
        <v>19.865168539325843</v>
      </c>
      <c r="V6">
        <f>0.6108*EXP((17.27*T6)/(T6+237.3))</f>
        <v>4.7547753962618131</v>
      </c>
      <c r="W6">
        <f>V6*(U6/100)</f>
        <v>0.94454414613380733</v>
      </c>
      <c r="X6" s="6">
        <f>V6-W6</f>
        <v>3.8102312501280058</v>
      </c>
    </row>
    <row r="7" spans="1:31" x14ac:dyDescent="0.25">
      <c r="A7">
        <v>2</v>
      </c>
      <c r="B7">
        <v>1</v>
      </c>
      <c r="C7">
        <v>4</v>
      </c>
      <c r="D7">
        <v>2</v>
      </c>
      <c r="E7" t="s">
        <v>35</v>
      </c>
      <c r="F7" t="s">
        <v>38</v>
      </c>
      <c r="G7">
        <v>1</v>
      </c>
      <c r="H7">
        <v>3121.82</v>
      </c>
      <c r="I7">
        <v>3107.53</v>
      </c>
      <c r="J7" s="11">
        <v>0.49791666666666667</v>
      </c>
      <c r="K7" s="7">
        <v>0.53189814814814818</v>
      </c>
      <c r="L7">
        <f>+M7*60</f>
        <v>2880</v>
      </c>
      <c r="M7">
        <v>48</v>
      </c>
      <c r="N7">
        <f>+H7-I7</f>
        <v>14.289999999999964</v>
      </c>
      <c r="O7">
        <f>+N7*1000</f>
        <v>14289.999999999964</v>
      </c>
      <c r="P7" s="2">
        <v>1</v>
      </c>
      <c r="Q7">
        <v>705.5</v>
      </c>
      <c r="R7" s="1">
        <v>7.0550000000000002E-2</v>
      </c>
      <c r="S7" s="5">
        <v>70.330340971729882</v>
      </c>
      <c r="T7" s="4">
        <v>32</v>
      </c>
      <c r="U7" s="8">
        <v>77.865979381443296</v>
      </c>
      <c r="V7">
        <v>4.7547753962618131</v>
      </c>
      <c r="W7">
        <v>3.7023524296871622</v>
      </c>
      <c r="X7" s="6">
        <v>1.052422966574651</v>
      </c>
      <c r="Y7" s="23">
        <v>0.86444900000000002</v>
      </c>
      <c r="Z7" s="23">
        <v>0.65029800000000004</v>
      </c>
      <c r="AA7" s="23">
        <v>0.92571300000000001</v>
      </c>
      <c r="AB7">
        <v>26.14</v>
      </c>
      <c r="AC7">
        <v>26.1</v>
      </c>
      <c r="AD7">
        <v>26.1</v>
      </c>
      <c r="AE7" s="34">
        <f>+AVERAGE(Y7:AA7)</f>
        <v>0.81348666666666658</v>
      </c>
    </row>
    <row r="8" spans="1:31" x14ac:dyDescent="0.25">
      <c r="A8">
        <v>1</v>
      </c>
      <c r="B8" s="1">
        <v>2</v>
      </c>
      <c r="C8">
        <v>1</v>
      </c>
      <c r="D8">
        <v>1</v>
      </c>
      <c r="E8" t="s">
        <v>23</v>
      </c>
      <c r="F8" s="13" t="s">
        <v>39</v>
      </c>
      <c r="G8" s="1">
        <v>2</v>
      </c>
      <c r="H8">
        <v>2595.8200000000002</v>
      </c>
      <c r="I8">
        <v>2584.77</v>
      </c>
      <c r="J8" s="7">
        <v>0.41741898148148149</v>
      </c>
      <c r="K8" s="7">
        <v>0.44797453703703705</v>
      </c>
      <c r="L8" s="1">
        <f>M8*60</f>
        <v>2640</v>
      </c>
      <c r="M8" s="4">
        <v>44</v>
      </c>
      <c r="N8" s="4">
        <f>H8-I8</f>
        <v>11.050000000000182</v>
      </c>
      <c r="O8" s="4">
        <f>N8*1000</f>
        <v>11050.000000000182</v>
      </c>
      <c r="P8" s="4">
        <v>0.53640776699030246</v>
      </c>
      <c r="Q8">
        <v>747</v>
      </c>
      <c r="R8" s="1">
        <f>Q8/10000</f>
        <v>7.4700000000000003E-2</v>
      </c>
      <c r="S8" s="5">
        <f>O8/(R8*L8)</f>
        <v>56.032209646668399</v>
      </c>
      <c r="T8" s="4">
        <v>32</v>
      </c>
      <c r="U8" s="8">
        <f>+AVERAGE([1]humidity!$B$23313:$B$23401)</f>
        <v>71.887640449438209</v>
      </c>
      <c r="V8">
        <f>0.6108*EXP((17.27*T8)/(T8+237.3))</f>
        <v>4.7547753962618131</v>
      </c>
      <c r="W8">
        <f>V8*(U8/100)</f>
        <v>3.4180958410430429</v>
      </c>
      <c r="X8" s="6">
        <f>V8-W8</f>
        <v>1.3366795552187702</v>
      </c>
      <c r="Y8" s="23">
        <v>0.61007400000000001</v>
      </c>
      <c r="Z8" s="23">
        <v>0.59732499999999999</v>
      </c>
      <c r="AA8" s="23">
        <v>0.35686899999999999</v>
      </c>
      <c r="AB8">
        <v>27.55</v>
      </c>
      <c r="AC8">
        <v>27.79</v>
      </c>
      <c r="AD8">
        <v>28.36</v>
      </c>
    </row>
    <row r="9" spans="1:31" x14ac:dyDescent="0.25">
      <c r="A9">
        <v>1</v>
      </c>
      <c r="B9" s="1">
        <v>2</v>
      </c>
      <c r="C9">
        <v>4</v>
      </c>
      <c r="D9">
        <v>4</v>
      </c>
      <c r="E9" t="s">
        <v>32</v>
      </c>
      <c r="F9" s="13" t="s">
        <v>42</v>
      </c>
      <c r="G9" s="1">
        <v>2</v>
      </c>
      <c r="H9">
        <v>2722.53</v>
      </c>
      <c r="I9">
        <v>2707.81</v>
      </c>
      <c r="J9" s="7">
        <v>0.41741898148148149</v>
      </c>
      <c r="K9" s="7">
        <v>0.44797453703703705</v>
      </c>
      <c r="L9" s="1">
        <f>M9*60</f>
        <v>2640</v>
      </c>
      <c r="M9" s="4">
        <v>44</v>
      </c>
      <c r="N9" s="4">
        <f>H9-I9</f>
        <v>14.720000000000255</v>
      </c>
      <c r="O9" s="4">
        <f>N9*1000</f>
        <v>14720.000000000255</v>
      </c>
      <c r="P9" s="4">
        <v>0.72227674190383595</v>
      </c>
      <c r="Q9">
        <v>933.58</v>
      </c>
      <c r="R9" s="1">
        <f>+Q9/10000</f>
        <v>9.335800000000001E-2</v>
      </c>
      <c r="S9" s="5">
        <f>O9/(R9*L9)</f>
        <v>59.724475414615469</v>
      </c>
      <c r="T9" s="4">
        <v>32</v>
      </c>
      <c r="U9" s="8">
        <f>+AVERAGE([1]humidity!$B$23313:$B$23401)</f>
        <v>71.887640449438209</v>
      </c>
      <c r="V9">
        <f>0.6108*EXP((17.27*T9)/(T9+237.3))</f>
        <v>4.7547753962618131</v>
      </c>
      <c r="W9">
        <f>V9*(U9/100)</f>
        <v>3.4180958410430429</v>
      </c>
      <c r="X9" s="6">
        <f>V9-W9</f>
        <v>1.3366795552187702</v>
      </c>
      <c r="Y9" s="23">
        <v>0.75431400000000004</v>
      </c>
      <c r="Z9" s="23">
        <v>0.53908999999999996</v>
      </c>
      <c r="AA9" s="23">
        <v>0.56598199999999999</v>
      </c>
      <c r="AB9">
        <v>25.74</v>
      </c>
      <c r="AC9">
        <v>25.45</v>
      </c>
      <c r="AD9">
        <v>25.47</v>
      </c>
    </row>
    <row r="10" spans="1:31" x14ac:dyDescent="0.25">
      <c r="A10">
        <v>1</v>
      </c>
      <c r="B10" s="1">
        <v>2</v>
      </c>
      <c r="C10">
        <v>2</v>
      </c>
      <c r="D10">
        <v>1</v>
      </c>
      <c r="E10" t="s">
        <v>26</v>
      </c>
      <c r="F10" s="13" t="s">
        <v>41</v>
      </c>
      <c r="G10" s="1">
        <v>2</v>
      </c>
      <c r="H10">
        <v>2298.5100000000002</v>
      </c>
      <c r="I10">
        <v>2285.7800000000002</v>
      </c>
      <c r="J10" s="7">
        <v>0.41741898148148149</v>
      </c>
      <c r="K10" s="7">
        <v>0.44797453703703705</v>
      </c>
      <c r="L10" s="1">
        <f>M10*60</f>
        <v>2640</v>
      </c>
      <c r="M10" s="4">
        <v>44</v>
      </c>
      <c r="N10" s="4">
        <f>H10-I10</f>
        <v>12.730000000000018</v>
      </c>
      <c r="O10" s="4">
        <f>N10*1000</f>
        <v>12730.000000000018</v>
      </c>
      <c r="P10" s="4">
        <v>0.66789087093389587</v>
      </c>
      <c r="Q10">
        <v>983</v>
      </c>
      <c r="R10" s="1">
        <f>+Q10/10000</f>
        <v>9.8299999999999998E-2</v>
      </c>
      <c r="S10" s="5">
        <f>O10/(R10*L10)</f>
        <v>49.053608310983762</v>
      </c>
      <c r="T10" s="4">
        <v>32</v>
      </c>
      <c r="U10" s="8">
        <f>+AVERAGE([1]humidity!$B$23313:$B$23401)</f>
        <v>71.887640449438209</v>
      </c>
      <c r="V10">
        <f>0.6108*EXP((17.27*T10)/(T10+237.3))</f>
        <v>4.7547753962618131</v>
      </c>
      <c r="W10">
        <f>V10*(U10/100)</f>
        <v>3.4180958410430429</v>
      </c>
      <c r="X10" s="6">
        <f>V10-W10</f>
        <v>1.3366795552187702</v>
      </c>
      <c r="Y10" s="23">
        <v>0.79907300000000003</v>
      </c>
      <c r="Z10" s="23">
        <v>0.79843799999999998</v>
      </c>
      <c r="AA10" s="23">
        <v>0.78157699999999997</v>
      </c>
      <c r="AB10">
        <v>27.18</v>
      </c>
      <c r="AC10">
        <v>27.37</v>
      </c>
      <c r="AD10">
        <v>26.96</v>
      </c>
    </row>
    <row r="11" spans="1:31" x14ac:dyDescent="0.25">
      <c r="A11">
        <v>1</v>
      </c>
      <c r="B11" s="1">
        <v>2</v>
      </c>
      <c r="C11">
        <v>4</v>
      </c>
      <c r="D11">
        <v>1</v>
      </c>
      <c r="E11" t="s">
        <v>29</v>
      </c>
      <c r="F11" s="13" t="s">
        <v>42</v>
      </c>
      <c r="G11" s="1">
        <v>2</v>
      </c>
      <c r="H11">
        <v>2776.06</v>
      </c>
      <c r="I11">
        <v>2765.21</v>
      </c>
      <c r="J11" s="7">
        <v>0.41741898148148149</v>
      </c>
      <c r="K11" s="7">
        <v>0.44797453703703705</v>
      </c>
      <c r="L11" s="1">
        <f>M11*60</f>
        <v>2640</v>
      </c>
      <c r="M11" s="4">
        <v>44</v>
      </c>
      <c r="N11" s="4">
        <f>H11-I11</f>
        <v>10.849999999999909</v>
      </c>
      <c r="O11" s="4">
        <f>N11*1000</f>
        <v>10849.999999999909</v>
      </c>
      <c r="P11" s="4">
        <v>0.66360856269112967</v>
      </c>
      <c r="Q11">
        <v>775.7</v>
      </c>
      <c r="R11" s="1">
        <f>+Q11/10000</f>
        <v>7.757E-2</v>
      </c>
      <c r="S11" s="5">
        <f>O11/(R11*L11)</f>
        <v>52.982447916055825</v>
      </c>
      <c r="T11" s="4">
        <v>32</v>
      </c>
      <c r="U11" s="8">
        <f>+AVERAGE([1]humidity!$B$23313:$B$23401)</f>
        <v>71.887640449438209</v>
      </c>
      <c r="V11">
        <f>0.6108*EXP((17.27*T11)/(T11+237.3))</f>
        <v>4.7547753962618131</v>
      </c>
      <c r="W11">
        <f>V11*(U11/100)</f>
        <v>3.4180958410430429</v>
      </c>
      <c r="X11" s="6">
        <f>V11-W11</f>
        <v>1.3366795552187702</v>
      </c>
      <c r="Y11" s="23">
        <v>0.46879700000000002</v>
      </c>
      <c r="Z11" s="23">
        <v>0.50738700000000003</v>
      </c>
      <c r="AA11" s="23">
        <v>0.64492300000000002</v>
      </c>
      <c r="AB11">
        <v>24.01</v>
      </c>
      <c r="AC11">
        <v>24.46</v>
      </c>
      <c r="AD11">
        <v>25.03</v>
      </c>
    </row>
    <row r="12" spans="1:31" x14ac:dyDescent="0.25">
      <c r="A12">
        <v>2</v>
      </c>
      <c r="B12">
        <v>1</v>
      </c>
      <c r="C12">
        <v>4</v>
      </c>
      <c r="D12">
        <v>2</v>
      </c>
      <c r="E12" t="s">
        <v>35</v>
      </c>
      <c r="F12" t="s">
        <v>38</v>
      </c>
      <c r="G12">
        <v>2</v>
      </c>
      <c r="H12">
        <v>3100.47</v>
      </c>
      <c r="I12">
        <v>3091.76</v>
      </c>
      <c r="J12" s="7">
        <v>0.55482638888888891</v>
      </c>
      <c r="K12" s="7">
        <v>0.58539351851851851</v>
      </c>
      <c r="L12">
        <f>+M12*60</f>
        <v>2640</v>
      </c>
      <c r="M12">
        <v>44</v>
      </c>
      <c r="N12">
        <f>+H12-I12</f>
        <v>8.7099999999995816</v>
      </c>
      <c r="O12">
        <f>+N12*1000</f>
        <v>8709.9999999995816</v>
      </c>
      <c r="P12" s="2">
        <v>0.60951714485651531</v>
      </c>
      <c r="Q12">
        <v>705.5</v>
      </c>
      <c r="R12" s="1">
        <v>7.0550000000000002E-2</v>
      </c>
      <c r="S12" s="5">
        <v>46.764598500953447</v>
      </c>
      <c r="T12" s="4">
        <v>32</v>
      </c>
      <c r="U12" s="8">
        <v>66.811764705882354</v>
      </c>
      <c r="V12">
        <v>4.7547753962618131</v>
      </c>
      <c r="W12">
        <v>3.1767493500436275</v>
      </c>
      <c r="X12" s="6">
        <v>1.5780260462181857</v>
      </c>
    </row>
    <row r="13" spans="1:31" x14ac:dyDescent="0.25">
      <c r="A13">
        <v>2</v>
      </c>
      <c r="B13">
        <v>1</v>
      </c>
      <c r="C13">
        <v>4</v>
      </c>
      <c r="D13">
        <v>2</v>
      </c>
      <c r="E13" t="s">
        <v>35</v>
      </c>
      <c r="F13" t="s">
        <v>38</v>
      </c>
      <c r="G13">
        <v>3</v>
      </c>
      <c r="H13">
        <v>3084.11</v>
      </c>
      <c r="I13">
        <v>3072.05</v>
      </c>
      <c r="J13" s="7">
        <v>0.60451388888888891</v>
      </c>
      <c r="K13" s="7">
        <v>0.63587962962962963</v>
      </c>
      <c r="L13">
        <f>+M13*60</f>
        <v>2700</v>
      </c>
      <c r="M13">
        <v>45</v>
      </c>
      <c r="N13">
        <f>+H13-I13</f>
        <v>12.059999999999945</v>
      </c>
      <c r="O13">
        <f>+N13*1000</f>
        <v>12059.999999999945</v>
      </c>
      <c r="P13" s="2">
        <v>0.84394681595521182</v>
      </c>
      <c r="Q13">
        <v>705.5</v>
      </c>
      <c r="R13">
        <v>7.0550000000000002E-2</v>
      </c>
      <c r="S13">
        <v>63.312071816678184</v>
      </c>
      <c r="T13">
        <v>32</v>
      </c>
      <c r="U13" s="8">
        <v>56</v>
      </c>
      <c r="V13">
        <v>4.7547753962618131</v>
      </c>
      <c r="W13">
        <v>2.6626742219066157</v>
      </c>
      <c r="X13" s="12">
        <v>2.0921011743551974</v>
      </c>
    </row>
    <row r="14" spans="1:31" x14ac:dyDescent="0.25">
      <c r="A14">
        <v>2</v>
      </c>
      <c r="B14">
        <v>1</v>
      </c>
      <c r="C14">
        <v>4</v>
      </c>
      <c r="D14">
        <v>2</v>
      </c>
      <c r="E14" t="s">
        <v>35</v>
      </c>
      <c r="F14" t="s">
        <v>38</v>
      </c>
      <c r="G14">
        <v>4</v>
      </c>
      <c r="H14">
        <v>3065.59</v>
      </c>
      <c r="I14">
        <v>3052.84</v>
      </c>
      <c r="J14" s="7">
        <v>0.65231481481481479</v>
      </c>
      <c r="K14" s="7">
        <v>0.68402777777777779</v>
      </c>
      <c r="L14">
        <f>+M14*60</f>
        <v>2700</v>
      </c>
      <c r="M14">
        <v>45</v>
      </c>
      <c r="N14">
        <f>+H14-I14</f>
        <v>12.75</v>
      </c>
      <c r="O14">
        <f>+N14*1000</f>
        <v>12750</v>
      </c>
      <c r="P14" s="2">
        <v>0.89223233030091198</v>
      </c>
      <c r="Q14">
        <v>705.5</v>
      </c>
      <c r="R14">
        <v>7.0550000000000002E-2</v>
      </c>
      <c r="S14">
        <v>66.934404283801868</v>
      </c>
      <c r="T14">
        <v>32</v>
      </c>
      <c r="U14" s="8">
        <v>47.103448275862071</v>
      </c>
      <c r="V14">
        <v>4.7547753962618131</v>
      </c>
      <c r="W14">
        <v>2.2396631694115987</v>
      </c>
      <c r="X14" s="12">
        <v>2.5151122268502144</v>
      </c>
    </row>
    <row r="15" spans="1:31" x14ac:dyDescent="0.25">
      <c r="A15">
        <v>2</v>
      </c>
      <c r="B15">
        <v>1</v>
      </c>
      <c r="C15">
        <v>4</v>
      </c>
      <c r="D15">
        <v>2</v>
      </c>
      <c r="E15" t="s">
        <v>35</v>
      </c>
      <c r="F15" t="s">
        <v>38</v>
      </c>
      <c r="G15">
        <v>5</v>
      </c>
      <c r="H15">
        <v>3046.75</v>
      </c>
      <c r="I15">
        <v>3033.51</v>
      </c>
      <c r="J15" s="7">
        <v>0.70046296296296295</v>
      </c>
      <c r="K15" s="7">
        <v>0.73293981481481485</v>
      </c>
      <c r="L15">
        <f>+M15*60</f>
        <v>2760</v>
      </c>
      <c r="M15">
        <v>46</v>
      </c>
      <c r="N15">
        <f>+H15-I15</f>
        <v>13.239999999999782</v>
      </c>
      <c r="O15">
        <f>+N15*1000</f>
        <v>13239.999999999782</v>
      </c>
      <c r="P15" s="2">
        <v>0.92652204338697097</v>
      </c>
      <c r="Q15">
        <v>705.5</v>
      </c>
      <c r="R15">
        <v>7.0550000000000002E-2</v>
      </c>
      <c r="S15">
        <v>67.995768239196067</v>
      </c>
      <c r="T15">
        <v>32</v>
      </c>
      <c r="U15" s="8">
        <v>38.567010309278352</v>
      </c>
      <c r="V15">
        <v>4.7547753962618131</v>
      </c>
      <c r="W15">
        <v>1.8337747172593242</v>
      </c>
      <c r="X15" s="12">
        <v>2.9210006790024892</v>
      </c>
    </row>
    <row r="16" spans="1:31" x14ac:dyDescent="0.25">
      <c r="A16">
        <v>2</v>
      </c>
      <c r="B16">
        <v>1</v>
      </c>
      <c r="C16">
        <v>4</v>
      </c>
      <c r="D16">
        <v>2</v>
      </c>
      <c r="E16" t="s">
        <v>35</v>
      </c>
      <c r="F16" t="s">
        <v>38</v>
      </c>
      <c r="G16">
        <v>6</v>
      </c>
      <c r="H16">
        <v>3029.11</v>
      </c>
      <c r="I16">
        <v>3016.86</v>
      </c>
      <c r="J16" s="7">
        <v>0.74305555555555558</v>
      </c>
      <c r="K16" s="7">
        <v>0.77496527777777779</v>
      </c>
      <c r="L16">
        <f>+M16*60</f>
        <v>2700</v>
      </c>
      <c r="M16">
        <v>45</v>
      </c>
      <c r="N16">
        <f>+H16-I16</f>
        <v>12.25</v>
      </c>
      <c r="O16">
        <f>+N16*1000</f>
        <v>12250</v>
      </c>
      <c r="P16" s="2">
        <v>0.85724282715185662</v>
      </c>
      <c r="Q16">
        <v>705.5</v>
      </c>
      <c r="R16">
        <v>7.0550000000000002E-2</v>
      </c>
      <c r="S16">
        <v>64.309525684437091</v>
      </c>
      <c r="T16">
        <v>32</v>
      </c>
      <c r="U16" s="8">
        <v>23.483146067415731</v>
      </c>
      <c r="V16">
        <v>4.7547753962618131</v>
      </c>
      <c r="W16">
        <v>1.1165708514817068</v>
      </c>
      <c r="X16" s="12">
        <v>3.6382045447801064</v>
      </c>
    </row>
    <row r="17" spans="1:24" x14ac:dyDescent="0.25">
      <c r="A17">
        <v>3</v>
      </c>
      <c r="B17">
        <v>1</v>
      </c>
      <c r="C17">
        <v>1</v>
      </c>
      <c r="D17">
        <v>3</v>
      </c>
      <c r="E17" t="s">
        <v>35</v>
      </c>
      <c r="F17" t="s">
        <v>38</v>
      </c>
      <c r="G17">
        <v>1</v>
      </c>
      <c r="H17">
        <v>2639.35</v>
      </c>
      <c r="I17">
        <v>2632.44</v>
      </c>
      <c r="J17">
        <v>0.48958333333333331</v>
      </c>
      <c r="K17">
        <v>0.52083333333333337</v>
      </c>
      <c r="L17">
        <v>2700</v>
      </c>
      <c r="M17">
        <v>45</v>
      </c>
      <c r="N17">
        <v>6.9099999999998545</v>
      </c>
      <c r="O17">
        <v>6909.9999999998545</v>
      </c>
      <c r="P17" s="2">
        <v>0.64338919925512061</v>
      </c>
      <c r="Q17">
        <v>768.09</v>
      </c>
      <c r="R17">
        <v>7.6809000000000002E-2</v>
      </c>
      <c r="S17">
        <v>33.319783609462505</v>
      </c>
      <c r="T17">
        <v>32</v>
      </c>
      <c r="U17" s="8">
        <v>79</v>
      </c>
      <c r="V17">
        <v>4.7547753962618131</v>
      </c>
      <c r="W17">
        <f>V17*(U17/100)</f>
        <v>3.7562725630468323</v>
      </c>
      <c r="X17" s="12">
        <f>V17-W17</f>
        <v>0.99850283321498079</v>
      </c>
    </row>
    <row r="18" spans="1:24" x14ac:dyDescent="0.25">
      <c r="A18">
        <v>3</v>
      </c>
      <c r="B18">
        <v>1</v>
      </c>
      <c r="C18">
        <v>1</v>
      </c>
      <c r="D18">
        <v>3</v>
      </c>
      <c r="E18" t="s">
        <v>35</v>
      </c>
      <c r="F18" t="s">
        <v>38</v>
      </c>
      <c r="G18">
        <v>2</v>
      </c>
      <c r="H18">
        <v>2629.73</v>
      </c>
      <c r="I18">
        <v>2620.69</v>
      </c>
      <c r="J18">
        <v>0.53055555555555556</v>
      </c>
      <c r="K18">
        <v>0.56180555555555556</v>
      </c>
      <c r="L18">
        <v>2700</v>
      </c>
      <c r="M18" s="8">
        <v>45</v>
      </c>
      <c r="N18">
        <v>9.0399999999999636</v>
      </c>
      <c r="O18">
        <v>9039.9999999999636</v>
      </c>
      <c r="P18" s="2">
        <v>0.84171322160150353</v>
      </c>
      <c r="Q18">
        <v>768.09</v>
      </c>
      <c r="R18">
        <v>7.6809000000000002E-2</v>
      </c>
      <c r="S18">
        <v>43.590570742336638</v>
      </c>
      <c r="T18">
        <v>32</v>
      </c>
      <c r="U18" s="8">
        <v>68</v>
      </c>
      <c r="V18">
        <v>4.7547753962618131</v>
      </c>
      <c r="W18">
        <f>V18*(U18/100)</f>
        <v>3.2332472694580332</v>
      </c>
      <c r="X18" s="12">
        <f>V18-W18</f>
        <v>1.5215281268037799</v>
      </c>
    </row>
    <row r="19" spans="1:24" x14ac:dyDescent="0.25">
      <c r="A19">
        <v>2</v>
      </c>
      <c r="B19">
        <v>2</v>
      </c>
      <c r="C19">
        <v>1</v>
      </c>
      <c r="D19">
        <v>1</v>
      </c>
      <c r="E19" t="s">
        <v>32</v>
      </c>
      <c r="F19" s="13" t="s">
        <v>42</v>
      </c>
      <c r="G19">
        <v>1</v>
      </c>
      <c r="H19">
        <v>3245.56</v>
      </c>
      <c r="I19">
        <v>3237.41</v>
      </c>
      <c r="J19" s="7">
        <v>0.37709490740740742</v>
      </c>
      <c r="K19" s="7">
        <v>0.40918981481481481</v>
      </c>
      <c r="L19">
        <f>+M19*60</f>
        <v>2760</v>
      </c>
      <c r="M19">
        <v>46</v>
      </c>
      <c r="N19">
        <f>+H19-I19</f>
        <v>8.1500000000000909</v>
      </c>
      <c r="O19">
        <f>+N19*1000</f>
        <v>8150.0000000000909</v>
      </c>
      <c r="P19" s="2">
        <v>0.5517941773866013</v>
      </c>
      <c r="Q19">
        <v>655.83</v>
      </c>
      <c r="R19">
        <v>6.5583000000000002E-2</v>
      </c>
      <c r="S19">
        <v>45.025365578346069</v>
      </c>
      <c r="T19">
        <v>32</v>
      </c>
      <c r="U19" s="8">
        <v>78.934782608695656</v>
      </c>
      <c r="V19">
        <v>4.7547753962618131</v>
      </c>
      <c r="W19">
        <v>3.7531716225710094</v>
      </c>
      <c r="X19" s="12">
        <v>1.0016037736908037</v>
      </c>
    </row>
    <row r="20" spans="1:24" x14ac:dyDescent="0.25">
      <c r="A20">
        <v>2</v>
      </c>
      <c r="B20">
        <v>2</v>
      </c>
      <c r="C20">
        <v>1</v>
      </c>
      <c r="D20">
        <v>4</v>
      </c>
      <c r="E20" t="s">
        <v>26</v>
      </c>
      <c r="F20" s="13" t="s">
        <v>41</v>
      </c>
      <c r="G20">
        <v>1</v>
      </c>
      <c r="H20">
        <v>3187.77</v>
      </c>
      <c r="I20">
        <v>3178.14</v>
      </c>
      <c r="J20" s="7">
        <v>0.37709490740740742</v>
      </c>
      <c r="K20" s="7">
        <v>0.40918981481481481</v>
      </c>
      <c r="L20">
        <f>+M20*60</f>
        <v>2760</v>
      </c>
      <c r="M20">
        <v>46</v>
      </c>
      <c r="N20">
        <f>+H20-I20</f>
        <v>9.6300000000001091</v>
      </c>
      <c r="O20">
        <f>+N20*1000</f>
        <v>9630.0000000001091</v>
      </c>
      <c r="P20" s="2">
        <v>0.59371146732428837</v>
      </c>
      <c r="Q20">
        <v>767.27</v>
      </c>
      <c r="R20">
        <v>7.6727000000000004E-2</v>
      </c>
      <c r="S20">
        <v>45.474610434171126</v>
      </c>
      <c r="T20">
        <v>32</v>
      </c>
      <c r="U20" s="8">
        <v>78.934782608695656</v>
      </c>
      <c r="V20">
        <v>4.7547753962618131</v>
      </c>
      <c r="W20">
        <v>3.7531716225710094</v>
      </c>
      <c r="X20" s="12">
        <v>1.0016037736908037</v>
      </c>
    </row>
    <row r="21" spans="1:24" x14ac:dyDescent="0.25">
      <c r="A21">
        <v>2</v>
      </c>
      <c r="B21">
        <v>2</v>
      </c>
      <c r="C21">
        <v>1</v>
      </c>
      <c r="D21">
        <v>3</v>
      </c>
      <c r="E21" t="s">
        <v>29</v>
      </c>
      <c r="F21" s="13" t="s">
        <v>42</v>
      </c>
      <c r="G21">
        <v>1</v>
      </c>
      <c r="H21">
        <v>3254.95</v>
      </c>
      <c r="I21">
        <v>3243.68</v>
      </c>
      <c r="J21" s="7">
        <v>0.37709490740740742</v>
      </c>
      <c r="K21" s="7">
        <v>0.40918981481481481</v>
      </c>
      <c r="L21">
        <f>+M21*60</f>
        <v>2760</v>
      </c>
      <c r="M21">
        <v>46</v>
      </c>
      <c r="N21">
        <f>+H21-I21</f>
        <v>11.269999999999982</v>
      </c>
      <c r="O21">
        <f>+N21*1000</f>
        <v>11269.999999999982</v>
      </c>
      <c r="P21" s="2">
        <v>0.58515057113187197</v>
      </c>
      <c r="Q21">
        <v>874.77</v>
      </c>
      <c r="R21">
        <v>8.7476999999999999E-2</v>
      </c>
      <c r="S21">
        <v>46.678936558561986</v>
      </c>
      <c r="T21">
        <v>32</v>
      </c>
      <c r="U21" s="8">
        <v>78.934782608695656</v>
      </c>
      <c r="V21">
        <v>4.7547753962618131</v>
      </c>
      <c r="W21">
        <v>3.7531716225710094</v>
      </c>
      <c r="X21" s="12">
        <v>1.0016037736908037</v>
      </c>
    </row>
    <row r="22" spans="1:24" x14ac:dyDescent="0.25">
      <c r="A22">
        <v>2</v>
      </c>
      <c r="B22">
        <v>2</v>
      </c>
      <c r="C22">
        <v>1</v>
      </c>
      <c r="D22">
        <v>5</v>
      </c>
      <c r="E22" t="s">
        <v>33</v>
      </c>
      <c r="F22" t="s">
        <v>38</v>
      </c>
      <c r="G22">
        <v>1</v>
      </c>
      <c r="H22">
        <v>2032.23</v>
      </c>
      <c r="I22">
        <v>2010.01</v>
      </c>
      <c r="J22" s="7">
        <v>0.37709490740740742</v>
      </c>
      <c r="K22" s="7">
        <v>0.40918981481481481</v>
      </c>
      <c r="L22">
        <f>+M22*60</f>
        <v>2760</v>
      </c>
      <c r="M22">
        <v>46</v>
      </c>
      <c r="N22">
        <f>+H22-I22</f>
        <v>22.220000000000027</v>
      </c>
      <c r="O22">
        <f>+N22*1000</f>
        <v>22220.000000000029</v>
      </c>
      <c r="P22" s="2">
        <v>0.59427654453063317</v>
      </c>
      <c r="Q22">
        <v>1635</v>
      </c>
      <c r="R22">
        <v>0.16350000000000001</v>
      </c>
      <c r="S22">
        <v>49.239906040863424</v>
      </c>
      <c r="T22">
        <v>32</v>
      </c>
      <c r="U22" s="8">
        <v>78.934782608695656</v>
      </c>
      <c r="V22">
        <v>4.7547753962618131</v>
      </c>
      <c r="W22">
        <v>3.7531716225710094</v>
      </c>
      <c r="X22" s="12">
        <v>1.0016037736908037</v>
      </c>
    </row>
    <row r="23" spans="1:24" x14ac:dyDescent="0.25">
      <c r="A23">
        <v>2</v>
      </c>
      <c r="B23">
        <v>2</v>
      </c>
      <c r="C23">
        <v>4</v>
      </c>
      <c r="D23">
        <v>4</v>
      </c>
      <c r="E23" t="s">
        <v>28</v>
      </c>
      <c r="F23" s="20" t="s">
        <v>40</v>
      </c>
      <c r="G23">
        <v>1</v>
      </c>
      <c r="H23">
        <v>3092.38</v>
      </c>
      <c r="I23">
        <v>3081.15</v>
      </c>
      <c r="J23" s="7">
        <v>0.37709490740740742</v>
      </c>
      <c r="K23" s="7">
        <v>0.40918981481481481</v>
      </c>
      <c r="L23">
        <f>+M23*60</f>
        <v>2760</v>
      </c>
      <c r="M23">
        <v>46</v>
      </c>
      <c r="N23">
        <f>+H23-I23</f>
        <v>11.230000000000018</v>
      </c>
      <c r="O23">
        <f>+N23*1000</f>
        <v>11230.000000000018</v>
      </c>
      <c r="P23" s="2">
        <v>0.62285080421519101</v>
      </c>
      <c r="Q23">
        <v>914</v>
      </c>
      <c r="R23">
        <v>9.1399999999999995E-2</v>
      </c>
      <c r="S23">
        <v>44.516855357879123</v>
      </c>
      <c r="T23">
        <v>32</v>
      </c>
      <c r="U23" s="8">
        <v>78.934782608695656</v>
      </c>
      <c r="V23">
        <v>4.7547753962618131</v>
      </c>
      <c r="W23">
        <v>3.7531716225710094</v>
      </c>
      <c r="X23" s="12">
        <v>1.0016037736908037</v>
      </c>
    </row>
    <row r="24" spans="1:24" x14ac:dyDescent="0.25">
      <c r="A24">
        <v>3</v>
      </c>
      <c r="B24">
        <v>1</v>
      </c>
      <c r="C24">
        <v>1</v>
      </c>
      <c r="D24">
        <v>3</v>
      </c>
      <c r="E24" t="s">
        <v>35</v>
      </c>
      <c r="F24" t="s">
        <v>38</v>
      </c>
      <c r="G24">
        <v>3</v>
      </c>
      <c r="H24">
        <v>2616.04</v>
      </c>
      <c r="I24">
        <v>2606.61</v>
      </c>
      <c r="J24">
        <v>0.57556712962962964</v>
      </c>
      <c r="K24">
        <v>0.60728009259259264</v>
      </c>
      <c r="L24">
        <v>2700</v>
      </c>
      <c r="M24" s="8">
        <v>45</v>
      </c>
      <c r="N24">
        <v>9.4299999999998363</v>
      </c>
      <c r="O24">
        <v>9429.9999999998363</v>
      </c>
      <c r="P24" s="2">
        <v>0.87802607076350359</v>
      </c>
      <c r="Q24">
        <v>768.09</v>
      </c>
      <c r="R24">
        <v>7.6809000000000002E-2</v>
      </c>
      <c r="S24">
        <v>45.471137400467811</v>
      </c>
      <c r="T24">
        <v>32</v>
      </c>
      <c r="U24" s="8">
        <v>57</v>
      </c>
      <c r="V24">
        <v>4.7547753962618131</v>
      </c>
      <c r="W24">
        <f t="shared" ref="W24:W34" si="0">V24*(U24/100)</f>
        <v>2.7102219758692332</v>
      </c>
      <c r="X24" s="12">
        <f t="shared" ref="X24:X34" si="1">V24-W24</f>
        <v>2.0445534203925799</v>
      </c>
    </row>
    <row r="25" spans="1:24" x14ac:dyDescent="0.25">
      <c r="A25">
        <v>3</v>
      </c>
      <c r="B25">
        <v>1</v>
      </c>
      <c r="C25">
        <v>1</v>
      </c>
      <c r="D25">
        <v>3</v>
      </c>
      <c r="E25" t="s">
        <v>35</v>
      </c>
      <c r="F25" t="s">
        <v>38</v>
      </c>
      <c r="G25">
        <v>4</v>
      </c>
      <c r="H25">
        <v>2599.88</v>
      </c>
      <c r="I25">
        <v>2591.1799999999998</v>
      </c>
      <c r="J25">
        <v>0.62638888888888888</v>
      </c>
      <c r="K25">
        <v>0.65733796296296299</v>
      </c>
      <c r="L25">
        <v>2640</v>
      </c>
      <c r="M25" s="8">
        <v>44</v>
      </c>
      <c r="N25">
        <v>8.7000000000002728</v>
      </c>
      <c r="O25">
        <v>8700.0000000002728</v>
      </c>
      <c r="P25" s="2">
        <v>0.81005586592182954</v>
      </c>
      <c r="Q25">
        <v>768.09</v>
      </c>
      <c r="R25">
        <v>7.6809000000000002E-2</v>
      </c>
      <c r="S25">
        <v>42.904536518567468</v>
      </c>
      <c r="T25">
        <v>32</v>
      </c>
      <c r="U25" s="8">
        <v>47</v>
      </c>
      <c r="V25">
        <v>4.7547753962618131</v>
      </c>
      <c r="W25">
        <f t="shared" si="0"/>
        <v>2.234744436243052</v>
      </c>
      <c r="X25" s="12">
        <f t="shared" si="1"/>
        <v>2.5200309600187611</v>
      </c>
    </row>
    <row r="26" spans="1:24" x14ac:dyDescent="0.25">
      <c r="A26">
        <v>3</v>
      </c>
      <c r="B26">
        <v>1</v>
      </c>
      <c r="C26">
        <v>1</v>
      </c>
      <c r="D26">
        <v>3</v>
      </c>
      <c r="E26" t="s">
        <v>35</v>
      </c>
      <c r="F26" t="s">
        <v>38</v>
      </c>
      <c r="G26">
        <v>5</v>
      </c>
      <c r="H26">
        <v>2584.1799999999998</v>
      </c>
      <c r="I26">
        <v>2574.6</v>
      </c>
      <c r="J26">
        <v>0.67721064814814813</v>
      </c>
      <c r="K26">
        <v>0.70833333333333337</v>
      </c>
      <c r="L26">
        <v>2640</v>
      </c>
      <c r="M26" s="8">
        <v>44</v>
      </c>
      <c r="N26">
        <v>9.5799999999999272</v>
      </c>
      <c r="O26">
        <v>9579.9999999999272</v>
      </c>
      <c r="P26" s="2">
        <v>0.89199255121043963</v>
      </c>
      <c r="Q26">
        <v>768.09</v>
      </c>
      <c r="R26">
        <v>7.6809000000000002E-2</v>
      </c>
      <c r="S26">
        <v>47.244305729639116</v>
      </c>
      <c r="T26">
        <v>32</v>
      </c>
      <c r="U26" s="8">
        <v>37</v>
      </c>
      <c r="V26">
        <v>4.7547753962618131</v>
      </c>
      <c r="W26">
        <f t="shared" si="0"/>
        <v>1.7592668966168707</v>
      </c>
      <c r="X26" s="12">
        <f t="shared" si="1"/>
        <v>2.9955084996449424</v>
      </c>
    </row>
    <row r="27" spans="1:24" x14ac:dyDescent="0.25">
      <c r="A27">
        <v>3</v>
      </c>
      <c r="B27">
        <v>1</v>
      </c>
      <c r="C27">
        <v>1</v>
      </c>
      <c r="D27">
        <v>3</v>
      </c>
      <c r="E27" t="s">
        <v>35</v>
      </c>
      <c r="F27" t="s">
        <v>38</v>
      </c>
      <c r="G27">
        <v>6</v>
      </c>
      <c r="H27">
        <v>2568.91</v>
      </c>
      <c r="I27">
        <v>2558.17</v>
      </c>
      <c r="J27">
        <v>0.72222222222222221</v>
      </c>
      <c r="K27">
        <v>0.7540162037037037</v>
      </c>
      <c r="L27">
        <v>2700</v>
      </c>
      <c r="M27" s="8">
        <v>45</v>
      </c>
      <c r="N27">
        <v>10.739999999999782</v>
      </c>
      <c r="O27">
        <v>10739.999999999782</v>
      </c>
      <c r="P27" s="2">
        <v>1</v>
      </c>
      <c r="Q27">
        <v>768.09</v>
      </c>
      <c r="R27">
        <v>7.6809000000000002E-2</v>
      </c>
      <c r="S27">
        <v>51.787912585474317</v>
      </c>
      <c r="T27">
        <v>32</v>
      </c>
      <c r="U27" s="8">
        <v>24</v>
      </c>
      <c r="V27">
        <v>4.7547753962618131</v>
      </c>
      <c r="W27">
        <f t="shared" si="0"/>
        <v>1.1411460951028352</v>
      </c>
      <c r="X27" s="12">
        <f t="shared" si="1"/>
        <v>3.6136293011589782</v>
      </c>
    </row>
    <row r="28" spans="1:24" x14ac:dyDescent="0.25">
      <c r="A28">
        <v>4</v>
      </c>
      <c r="B28">
        <v>1</v>
      </c>
      <c r="C28">
        <v>1</v>
      </c>
      <c r="D28">
        <v>1</v>
      </c>
      <c r="E28" t="s">
        <v>35</v>
      </c>
      <c r="F28" t="s">
        <v>38</v>
      </c>
      <c r="G28">
        <v>2</v>
      </c>
      <c r="H28">
        <v>2702.68</v>
      </c>
      <c r="I28">
        <v>2676.47</v>
      </c>
      <c r="J28" s="11">
        <v>0.39015046296296296</v>
      </c>
      <c r="K28" s="11">
        <v>0.4216435185185185</v>
      </c>
      <c r="L28">
        <f t="shared" ref="L28:L33" si="2">M28*60</f>
        <v>2700</v>
      </c>
      <c r="M28" s="8">
        <v>45</v>
      </c>
      <c r="N28" s="8">
        <f t="shared" ref="N28:N33" si="3">H28-I28</f>
        <v>26.210000000000036</v>
      </c>
      <c r="O28">
        <f t="shared" ref="O28:O33" si="4">N28*1000</f>
        <v>26210.000000000036</v>
      </c>
      <c r="P28" s="2">
        <v>0.7049488972565936</v>
      </c>
      <c r="Q28">
        <v>2878.45</v>
      </c>
      <c r="R28">
        <f t="shared" ref="R28:R33" si="5">+Q28/10000</f>
        <v>0.28784499999999996</v>
      </c>
      <c r="S28">
        <f t="shared" ref="S28:S33" si="6">O28/(R28*L28)</f>
        <v>33.724426018890107</v>
      </c>
      <c r="T28">
        <v>32</v>
      </c>
      <c r="U28" s="8">
        <v>68</v>
      </c>
      <c r="V28">
        <f t="shared" ref="V28:V33" si="7">0.6108*EXP((17.27*T28)/(T28+237.3))</f>
        <v>4.7547753962618131</v>
      </c>
      <c r="W28">
        <f t="shared" si="0"/>
        <v>3.2332472694580332</v>
      </c>
      <c r="X28" s="12">
        <f t="shared" si="1"/>
        <v>1.5215281268037799</v>
      </c>
    </row>
    <row r="29" spans="1:24" x14ac:dyDescent="0.25">
      <c r="A29">
        <v>4</v>
      </c>
      <c r="B29">
        <v>1</v>
      </c>
      <c r="C29">
        <v>1</v>
      </c>
      <c r="D29">
        <v>1</v>
      </c>
      <c r="E29" t="s">
        <v>35</v>
      </c>
      <c r="F29" t="s">
        <v>38</v>
      </c>
      <c r="G29">
        <v>3</v>
      </c>
      <c r="H29">
        <v>2657.82</v>
      </c>
      <c r="I29">
        <v>2629.04</v>
      </c>
      <c r="J29" s="7">
        <v>0.44297453703703704</v>
      </c>
      <c r="K29" s="7">
        <v>0.47096064814814814</v>
      </c>
      <c r="L29" s="8">
        <f t="shared" si="2"/>
        <v>2410.8000000000002</v>
      </c>
      <c r="M29" s="8">
        <v>40.18</v>
      </c>
      <c r="N29" s="8">
        <f t="shared" si="3"/>
        <v>28.7800000000002</v>
      </c>
      <c r="O29">
        <f t="shared" si="4"/>
        <v>28780.0000000002</v>
      </c>
      <c r="P29" s="2">
        <v>0.77407208176439812</v>
      </c>
      <c r="Q29">
        <v>2878.45</v>
      </c>
      <c r="R29">
        <f t="shared" si="5"/>
        <v>0.28784499999999996</v>
      </c>
      <c r="S29">
        <f t="shared" si="6"/>
        <v>41.473521895712729</v>
      </c>
      <c r="T29">
        <v>32</v>
      </c>
      <c r="U29" s="8">
        <v>57</v>
      </c>
      <c r="V29">
        <f t="shared" si="7"/>
        <v>4.7547753962618131</v>
      </c>
      <c r="W29">
        <f t="shared" si="0"/>
        <v>2.7102219758692332</v>
      </c>
      <c r="X29" s="12">
        <f t="shared" si="1"/>
        <v>2.0445534203925799</v>
      </c>
    </row>
    <row r="30" spans="1:24" x14ac:dyDescent="0.25">
      <c r="A30">
        <v>4</v>
      </c>
      <c r="B30">
        <v>1</v>
      </c>
      <c r="C30">
        <v>1</v>
      </c>
      <c r="D30">
        <v>1</v>
      </c>
      <c r="E30" t="s">
        <v>35</v>
      </c>
      <c r="F30" t="s">
        <v>38</v>
      </c>
      <c r="G30">
        <v>4</v>
      </c>
      <c r="H30">
        <v>2610.21</v>
      </c>
      <c r="I30">
        <v>2576.94</v>
      </c>
      <c r="J30" s="11">
        <v>0.48981481481481481</v>
      </c>
      <c r="K30" s="7">
        <v>0.51927083333333335</v>
      </c>
      <c r="L30" s="8">
        <f t="shared" si="2"/>
        <v>2535</v>
      </c>
      <c r="M30" s="8">
        <v>42.25</v>
      </c>
      <c r="N30" s="8">
        <f t="shared" si="3"/>
        <v>33.269999999999982</v>
      </c>
      <c r="O30">
        <f t="shared" si="4"/>
        <v>33269.999999999985</v>
      </c>
      <c r="P30" s="2">
        <v>0.89483593329747524</v>
      </c>
      <c r="Q30">
        <v>2878.45</v>
      </c>
      <c r="R30">
        <f t="shared" si="5"/>
        <v>0.28784499999999996</v>
      </c>
      <c r="S30">
        <f t="shared" si="6"/>
        <v>45.594887370041448</v>
      </c>
      <c r="T30">
        <v>32</v>
      </c>
      <c r="U30" s="8">
        <v>47</v>
      </c>
      <c r="V30">
        <f t="shared" si="7"/>
        <v>4.7547753962618131</v>
      </c>
      <c r="W30">
        <f t="shared" si="0"/>
        <v>2.234744436243052</v>
      </c>
      <c r="X30" s="12">
        <f t="shared" si="1"/>
        <v>2.5200309600187611</v>
      </c>
    </row>
    <row r="31" spans="1:24" x14ac:dyDescent="0.25">
      <c r="A31">
        <v>4</v>
      </c>
      <c r="B31">
        <v>1</v>
      </c>
      <c r="C31">
        <v>1</v>
      </c>
      <c r="D31">
        <v>1</v>
      </c>
      <c r="E31" t="s">
        <v>35</v>
      </c>
      <c r="F31" t="s">
        <v>38</v>
      </c>
      <c r="G31">
        <v>5</v>
      </c>
      <c r="H31">
        <v>2562.56</v>
      </c>
      <c r="I31">
        <v>2527.9699999999998</v>
      </c>
      <c r="J31" s="7">
        <v>0.53123842592592596</v>
      </c>
      <c r="K31" s="11">
        <v>0.55861111111111106</v>
      </c>
      <c r="L31">
        <f t="shared" si="2"/>
        <v>2340</v>
      </c>
      <c r="M31" s="8">
        <v>39</v>
      </c>
      <c r="N31" s="8">
        <f t="shared" si="3"/>
        <v>34.590000000000146</v>
      </c>
      <c r="O31">
        <f t="shared" si="4"/>
        <v>34590.000000000146</v>
      </c>
      <c r="P31" s="2">
        <v>0.9303388918773613</v>
      </c>
      <c r="Q31">
        <v>2878.45</v>
      </c>
      <c r="R31">
        <f t="shared" si="5"/>
        <v>0.28784499999999996</v>
      </c>
      <c r="S31">
        <f t="shared" si="6"/>
        <v>51.354205499665952</v>
      </c>
      <c r="T31">
        <v>32</v>
      </c>
      <c r="U31" s="8">
        <v>38</v>
      </c>
      <c r="V31">
        <f t="shared" si="7"/>
        <v>4.7547753962618131</v>
      </c>
      <c r="W31">
        <f t="shared" si="0"/>
        <v>1.8068146505794891</v>
      </c>
      <c r="X31" s="12">
        <f t="shared" si="1"/>
        <v>2.947960745682324</v>
      </c>
    </row>
    <row r="32" spans="1:24" x14ac:dyDescent="0.25">
      <c r="A32">
        <v>4</v>
      </c>
      <c r="B32">
        <v>1</v>
      </c>
      <c r="C32">
        <v>1</v>
      </c>
      <c r="D32">
        <v>1</v>
      </c>
      <c r="E32" t="s">
        <v>35</v>
      </c>
      <c r="F32" t="s">
        <v>38</v>
      </c>
      <c r="G32">
        <v>6</v>
      </c>
      <c r="H32">
        <v>2501.41</v>
      </c>
      <c r="I32">
        <v>2464.23</v>
      </c>
      <c r="J32" s="11">
        <v>0.58107638888888891</v>
      </c>
      <c r="K32" s="7">
        <v>0.6090740740740741</v>
      </c>
      <c r="L32">
        <f t="shared" si="2"/>
        <v>2400</v>
      </c>
      <c r="M32" s="8">
        <v>40</v>
      </c>
      <c r="N32" s="8">
        <f t="shared" si="3"/>
        <v>37.179999999999836</v>
      </c>
      <c r="O32">
        <f t="shared" si="4"/>
        <v>37179.99999999984</v>
      </c>
      <c r="P32" s="2">
        <v>1</v>
      </c>
      <c r="Q32">
        <v>2878.45</v>
      </c>
      <c r="R32">
        <f t="shared" si="5"/>
        <v>0.28784499999999996</v>
      </c>
      <c r="S32">
        <f t="shared" si="6"/>
        <v>53.81947460149248</v>
      </c>
      <c r="T32">
        <v>32</v>
      </c>
      <c r="U32" s="8">
        <v>27</v>
      </c>
      <c r="V32">
        <f t="shared" si="7"/>
        <v>4.7547753962618131</v>
      </c>
      <c r="W32">
        <f t="shared" si="0"/>
        <v>1.2837893569906895</v>
      </c>
      <c r="X32" s="12">
        <f t="shared" si="1"/>
        <v>3.4709860392711236</v>
      </c>
    </row>
    <row r="33" spans="1:30" x14ac:dyDescent="0.25">
      <c r="A33">
        <v>1</v>
      </c>
      <c r="B33" s="1">
        <v>2</v>
      </c>
      <c r="C33">
        <v>5</v>
      </c>
      <c r="D33">
        <v>4</v>
      </c>
      <c r="E33" t="s">
        <v>35</v>
      </c>
      <c r="F33" t="s">
        <v>38</v>
      </c>
      <c r="G33" s="1">
        <v>2</v>
      </c>
      <c r="H33">
        <v>2577.09</v>
      </c>
      <c r="I33">
        <v>2567.5</v>
      </c>
      <c r="J33" s="7">
        <v>0.41741898148148149</v>
      </c>
      <c r="K33" s="7">
        <v>0.44797453703703705</v>
      </c>
      <c r="L33" s="1">
        <f t="shared" si="2"/>
        <v>2640</v>
      </c>
      <c r="M33" s="4">
        <v>44</v>
      </c>
      <c r="N33" s="4">
        <f t="shared" si="3"/>
        <v>9.5900000000001455</v>
      </c>
      <c r="O33" s="4">
        <f t="shared" si="4"/>
        <v>9590.0000000001455</v>
      </c>
      <c r="P33" s="4">
        <v>0.64884979702300516</v>
      </c>
      <c r="Q33">
        <v>759</v>
      </c>
      <c r="R33" s="1">
        <f t="shared" si="5"/>
        <v>7.5899999999999995E-2</v>
      </c>
      <c r="S33" s="5">
        <f t="shared" si="6"/>
        <v>47.860023156466575</v>
      </c>
      <c r="T33" s="4">
        <v>32</v>
      </c>
      <c r="U33" s="8">
        <f>+AVERAGE([1]humidity!$B$23313:$B$23401)</f>
        <v>71.887640449438209</v>
      </c>
      <c r="V33">
        <f t="shared" si="7"/>
        <v>4.7547753962618131</v>
      </c>
      <c r="W33">
        <f t="shared" si="0"/>
        <v>3.4180958410430429</v>
      </c>
      <c r="X33" s="6">
        <f t="shared" si="1"/>
        <v>1.3366795552187702</v>
      </c>
      <c r="Y33" s="23">
        <v>0.144596</v>
      </c>
      <c r="Z33" s="23">
        <v>0.16662199999999999</v>
      </c>
      <c r="AA33" s="23">
        <v>0.13647400000000001</v>
      </c>
      <c r="AB33">
        <v>25.19</v>
      </c>
      <c r="AC33">
        <v>24.84</v>
      </c>
      <c r="AD33">
        <v>25.24</v>
      </c>
    </row>
    <row r="34" spans="1:30" x14ac:dyDescent="0.25">
      <c r="A34">
        <v>3</v>
      </c>
      <c r="B34">
        <v>2</v>
      </c>
      <c r="C34">
        <v>5</v>
      </c>
      <c r="D34">
        <v>4</v>
      </c>
      <c r="E34" t="s">
        <v>33</v>
      </c>
      <c r="F34" t="s">
        <v>38</v>
      </c>
      <c r="G34">
        <v>5</v>
      </c>
      <c r="H34">
        <v>2393.62</v>
      </c>
      <c r="I34">
        <v>2381.4699999999998</v>
      </c>
      <c r="J34">
        <v>0.52800925925925923</v>
      </c>
      <c r="K34">
        <v>0.55902777777777779</v>
      </c>
      <c r="L34">
        <v>2640</v>
      </c>
      <c r="M34" s="8">
        <v>44</v>
      </c>
      <c r="N34">
        <v>12.150000000000091</v>
      </c>
      <c r="O34">
        <v>12150.000000000091</v>
      </c>
      <c r="P34" s="2">
        <v>0.87284482758620885</v>
      </c>
      <c r="Q34">
        <v>767.57</v>
      </c>
      <c r="R34">
        <v>7.6757000000000006E-2</v>
      </c>
      <c r="S34">
        <v>59.958996928915425</v>
      </c>
      <c r="T34">
        <v>32</v>
      </c>
      <c r="U34" s="8">
        <v>37</v>
      </c>
      <c r="V34">
        <v>4.7547753962618131</v>
      </c>
      <c r="W34">
        <f t="shared" si="0"/>
        <v>1.7592668966168707</v>
      </c>
      <c r="X34" s="12">
        <f t="shared" si="1"/>
        <v>2.9955084996449424</v>
      </c>
      <c r="Y34" s="23">
        <v>8.2439999999999999E-2</v>
      </c>
      <c r="Z34" s="23">
        <v>6.4100000000000004E-2</v>
      </c>
      <c r="AA34" s="23">
        <v>8.4394999999999998E-2</v>
      </c>
      <c r="AB34">
        <v>27.93</v>
      </c>
      <c r="AC34">
        <v>27.95</v>
      </c>
      <c r="AD34">
        <v>27.82</v>
      </c>
    </row>
    <row r="35" spans="1:30" x14ac:dyDescent="0.25">
      <c r="A35">
        <v>2</v>
      </c>
      <c r="B35">
        <v>2</v>
      </c>
      <c r="C35">
        <v>4</v>
      </c>
      <c r="D35">
        <v>2</v>
      </c>
      <c r="E35" t="s">
        <v>35</v>
      </c>
      <c r="F35" t="s">
        <v>38</v>
      </c>
      <c r="G35">
        <v>1</v>
      </c>
      <c r="H35">
        <v>3224.19</v>
      </c>
      <c r="I35">
        <v>3210.05</v>
      </c>
      <c r="J35" s="7">
        <v>0.37709490740740742</v>
      </c>
      <c r="K35" s="7">
        <v>0.40918981481481481</v>
      </c>
      <c r="L35">
        <f>+M35*60</f>
        <v>2760</v>
      </c>
      <c r="M35">
        <v>46</v>
      </c>
      <c r="N35">
        <f>+H35-I35</f>
        <v>14.139999999999873</v>
      </c>
      <c r="O35">
        <f>+N35*1000</f>
        <v>14139.999999999873</v>
      </c>
      <c r="P35" s="2">
        <v>0.72587268993839116</v>
      </c>
      <c r="Q35">
        <v>705.5</v>
      </c>
      <c r="R35">
        <v>7.0550000000000002E-2</v>
      </c>
      <c r="S35">
        <v>72.617837077208435</v>
      </c>
      <c r="T35">
        <v>32</v>
      </c>
      <c r="U35" s="8">
        <v>78.934782608695656</v>
      </c>
      <c r="V35">
        <v>4.7547753962618131</v>
      </c>
      <c r="W35">
        <v>3.7531716225710094</v>
      </c>
      <c r="X35" s="12">
        <v>1.0016037736908037</v>
      </c>
      <c r="Y35" s="23">
        <v>0.19828599999999999</v>
      </c>
      <c r="Z35" s="23">
        <v>0.70199400000000001</v>
      </c>
      <c r="AA35" s="23">
        <v>0.29166999999999998</v>
      </c>
      <c r="AB35">
        <v>24.68</v>
      </c>
      <c r="AC35">
        <v>25.09</v>
      </c>
      <c r="AD35">
        <v>25.26</v>
      </c>
    </row>
    <row r="36" spans="1:30" x14ac:dyDescent="0.25">
      <c r="A36">
        <v>4</v>
      </c>
      <c r="B36">
        <v>1</v>
      </c>
      <c r="C36">
        <v>4</v>
      </c>
      <c r="D36">
        <v>2</v>
      </c>
      <c r="E36" t="s">
        <v>33</v>
      </c>
      <c r="F36" t="s">
        <v>38</v>
      </c>
      <c r="G36">
        <v>2</v>
      </c>
      <c r="H36">
        <v>2759.19</v>
      </c>
      <c r="I36">
        <v>2729.91</v>
      </c>
      <c r="J36" s="11">
        <v>0.39015046296296296</v>
      </c>
      <c r="K36" s="11">
        <v>0.4216435185185185</v>
      </c>
      <c r="L36">
        <f>M36*60</f>
        <v>2700</v>
      </c>
      <c r="M36" s="8">
        <v>45</v>
      </c>
      <c r="N36" s="8">
        <f>H36-I36</f>
        <v>29.2800000000002</v>
      </c>
      <c r="O36">
        <f>N36*1000</f>
        <v>29280.0000000002</v>
      </c>
      <c r="P36" s="2">
        <v>0.73771730914588451</v>
      </c>
      <c r="Q36">
        <v>2691.97</v>
      </c>
      <c r="R36">
        <f>+Q36/10000</f>
        <v>0.26919699999999996</v>
      </c>
      <c r="S36">
        <f>O36/(R36*L36)</f>
        <v>40.284417896352934</v>
      </c>
      <c r="T36">
        <v>32</v>
      </c>
      <c r="U36" s="8">
        <v>68</v>
      </c>
      <c r="V36">
        <f>0.6108*EXP((17.27*T36)/(T36+237.3))</f>
        <v>4.7547753962618131</v>
      </c>
      <c r="W36">
        <f>V36*(U36/100)</f>
        <v>3.2332472694580332</v>
      </c>
      <c r="X36" s="12">
        <f>V36-W36</f>
        <v>1.5215281268037799</v>
      </c>
      <c r="Y36" s="23">
        <v>0.57077699999999998</v>
      </c>
      <c r="Z36" s="23">
        <v>0.72591600000000001</v>
      </c>
      <c r="AA36" s="23">
        <v>0.339393</v>
      </c>
      <c r="AB36">
        <v>26.45</v>
      </c>
      <c r="AC36">
        <v>26.48</v>
      </c>
      <c r="AD36">
        <v>26.84</v>
      </c>
    </row>
    <row r="37" spans="1:30" x14ac:dyDescent="0.25">
      <c r="A37">
        <v>4</v>
      </c>
      <c r="B37">
        <v>1</v>
      </c>
      <c r="C37">
        <v>4</v>
      </c>
      <c r="D37">
        <v>4</v>
      </c>
      <c r="E37" t="s">
        <v>23</v>
      </c>
      <c r="F37" s="13" t="s">
        <v>39</v>
      </c>
      <c r="G37">
        <v>2</v>
      </c>
      <c r="H37">
        <v>2513.8000000000002</v>
      </c>
      <c r="I37">
        <v>2475.09</v>
      </c>
      <c r="J37" s="11">
        <v>0.39015046296296296</v>
      </c>
      <c r="K37" s="11">
        <v>0.4216435185185185</v>
      </c>
      <c r="L37">
        <f>M37*60</f>
        <v>2700</v>
      </c>
      <c r="M37" s="8">
        <v>45</v>
      </c>
      <c r="N37" s="8">
        <f>H37-I37</f>
        <v>38.710000000000036</v>
      </c>
      <c r="O37">
        <f>N37*1000</f>
        <v>38710.000000000036</v>
      </c>
      <c r="U37" s="8"/>
      <c r="X37" s="12"/>
      <c r="Y37" s="23">
        <v>0.92351799999999995</v>
      </c>
      <c r="Z37" s="23">
        <v>0.58695900000000001</v>
      </c>
      <c r="AA37" s="23">
        <v>0.39673799999999998</v>
      </c>
      <c r="AB37">
        <v>26.58</v>
      </c>
      <c r="AC37">
        <v>27.28</v>
      </c>
      <c r="AD37">
        <v>27.42</v>
      </c>
    </row>
    <row r="38" spans="1:30" x14ac:dyDescent="0.25">
      <c r="A38">
        <v>4</v>
      </c>
      <c r="B38">
        <v>1</v>
      </c>
      <c r="C38">
        <v>5</v>
      </c>
      <c r="D38">
        <v>3</v>
      </c>
      <c r="E38" t="s">
        <v>28</v>
      </c>
      <c r="F38" s="20" t="s">
        <v>40</v>
      </c>
      <c r="G38">
        <v>2</v>
      </c>
      <c r="H38">
        <v>2804.88</v>
      </c>
      <c r="I38">
        <v>2774.47</v>
      </c>
      <c r="J38" s="11">
        <v>0.39015046296296296</v>
      </c>
      <c r="K38" s="11">
        <v>0.4216435185185185</v>
      </c>
      <c r="L38">
        <f>M38*60</f>
        <v>2700</v>
      </c>
      <c r="M38" s="8">
        <v>45</v>
      </c>
      <c r="N38" s="8">
        <f>H38-I38</f>
        <v>30.410000000000309</v>
      </c>
      <c r="O38">
        <f>N38*1000</f>
        <v>30410.000000000309</v>
      </c>
      <c r="P38" s="2">
        <v>0.7692891474829282</v>
      </c>
      <c r="Q38">
        <v>4057.6</v>
      </c>
      <c r="R38">
        <f>+Q38/10000</f>
        <v>0.40576000000000001</v>
      </c>
      <c r="S38">
        <f>O38/(R38*L38)</f>
        <v>27.757696576703164</v>
      </c>
      <c r="T38">
        <v>32</v>
      </c>
      <c r="U38" s="8">
        <v>68</v>
      </c>
      <c r="V38">
        <f>0.6108*EXP((17.27*T38)/(T38+237.3))</f>
        <v>4.7547753962618131</v>
      </c>
      <c r="W38">
        <f>V38*(U38/100)</f>
        <v>3.2332472694580332</v>
      </c>
      <c r="X38" s="12">
        <f>V38-W38</f>
        <v>1.5215281268037799</v>
      </c>
      <c r="Y38" s="23">
        <v>0.57502500000000001</v>
      </c>
      <c r="Z38" s="23">
        <v>0.37652600000000003</v>
      </c>
      <c r="AA38" s="23">
        <v>0.56506699999999999</v>
      </c>
      <c r="AB38">
        <v>27.92</v>
      </c>
      <c r="AC38">
        <v>28.46</v>
      </c>
      <c r="AD38">
        <v>28.11</v>
      </c>
    </row>
    <row r="39" spans="1:30" x14ac:dyDescent="0.25">
      <c r="A39">
        <v>4</v>
      </c>
      <c r="B39">
        <v>1</v>
      </c>
      <c r="C39">
        <v>1</v>
      </c>
      <c r="D39">
        <v>5</v>
      </c>
      <c r="E39" t="s">
        <v>36</v>
      </c>
      <c r="F39" s="13" t="s">
        <v>41</v>
      </c>
      <c r="G39">
        <v>2</v>
      </c>
      <c r="H39">
        <v>2841.02</v>
      </c>
      <c r="I39">
        <v>2815.24</v>
      </c>
      <c r="J39" s="11">
        <v>0.39015046296296296</v>
      </c>
      <c r="K39" s="11">
        <v>0.4216435185185185</v>
      </c>
      <c r="L39">
        <f>M39*60</f>
        <v>2700</v>
      </c>
      <c r="M39" s="8">
        <v>45</v>
      </c>
      <c r="N39" s="8">
        <f>H39-I39</f>
        <v>25.7800000000002</v>
      </c>
      <c r="O39">
        <f>N39*1000</f>
        <v>25780.0000000002</v>
      </c>
      <c r="P39" s="2">
        <v>0.61220612681073661</v>
      </c>
      <c r="Q39">
        <v>3860.73</v>
      </c>
      <c r="R39">
        <f>+Q39/10000</f>
        <v>0.386073</v>
      </c>
      <c r="S39">
        <f>O39/(R39*L39)</f>
        <v>24.731457906013173</v>
      </c>
      <c r="T39">
        <v>32</v>
      </c>
      <c r="U39" s="8">
        <v>68</v>
      </c>
      <c r="V39">
        <f>0.6108*EXP((17.27*T39)/(T39+237.3))</f>
        <v>4.7547753962618131</v>
      </c>
      <c r="W39">
        <f>V39*(U39/100)</f>
        <v>3.2332472694580332</v>
      </c>
      <c r="X39" s="12">
        <f>V39-W39</f>
        <v>1.5215281268037799</v>
      </c>
      <c r="Y39" s="23">
        <v>6.3150999999999999E-2</v>
      </c>
      <c r="Z39" s="23">
        <v>0.394347</v>
      </c>
      <c r="AA39" s="23">
        <v>0.35113</v>
      </c>
      <c r="AB39">
        <v>25.61</v>
      </c>
      <c r="AC39">
        <v>25.91</v>
      </c>
      <c r="AD39">
        <v>26.35</v>
      </c>
    </row>
    <row r="40" spans="1:30" x14ac:dyDescent="0.25">
      <c r="A40">
        <v>3</v>
      </c>
      <c r="B40">
        <v>2</v>
      </c>
      <c r="C40">
        <v>1</v>
      </c>
      <c r="D40">
        <v>3</v>
      </c>
      <c r="E40" t="s">
        <v>35</v>
      </c>
      <c r="F40" t="s">
        <v>38</v>
      </c>
      <c r="G40">
        <v>2</v>
      </c>
      <c r="H40">
        <v>2601.2199999999998</v>
      </c>
      <c r="I40">
        <v>2592.96</v>
      </c>
      <c r="J40">
        <v>0.375</v>
      </c>
      <c r="K40">
        <v>0.40574074074074074</v>
      </c>
      <c r="L40">
        <v>2644.9999999999982</v>
      </c>
      <c r="M40" s="8">
        <v>44.0833333333333</v>
      </c>
      <c r="N40">
        <v>8.2599999999997635</v>
      </c>
      <c r="O40">
        <v>8259.9999999997635</v>
      </c>
      <c r="P40" s="2">
        <v>0.73291925465836527</v>
      </c>
      <c r="Q40">
        <v>768.09</v>
      </c>
      <c r="R40">
        <v>7.6809000000000002E-2</v>
      </c>
      <c r="S40">
        <v>40.657648790319371</v>
      </c>
      <c r="T40">
        <v>32</v>
      </c>
      <c r="U40" s="8">
        <v>68</v>
      </c>
      <c r="V40">
        <v>4.7547753962618131</v>
      </c>
      <c r="W40">
        <f>V40*(U40/100)</f>
        <v>3.2332472694580332</v>
      </c>
      <c r="X40" s="12">
        <f>V40-W40</f>
        <v>1.5215281268037799</v>
      </c>
      <c r="Y40" s="23">
        <v>0.73284199999999999</v>
      </c>
      <c r="Z40" s="23">
        <v>0.713669</v>
      </c>
      <c r="AA40" s="23">
        <v>0.67572500000000002</v>
      </c>
      <c r="AB40">
        <v>23.59</v>
      </c>
      <c r="AC40">
        <v>24.03</v>
      </c>
      <c r="AD40">
        <v>24.57</v>
      </c>
    </row>
    <row r="41" spans="1:30" x14ac:dyDescent="0.25">
      <c r="A41">
        <v>4</v>
      </c>
      <c r="B41">
        <v>2</v>
      </c>
      <c r="C41">
        <v>4</v>
      </c>
      <c r="D41">
        <v>2</v>
      </c>
      <c r="E41" t="s">
        <v>33</v>
      </c>
      <c r="F41" t="s">
        <v>38</v>
      </c>
      <c r="G41">
        <v>1</v>
      </c>
      <c r="H41">
        <v>2655.79</v>
      </c>
      <c r="I41">
        <v>2630.3</v>
      </c>
      <c r="J41" s="11">
        <v>0.37622685185185184</v>
      </c>
      <c r="K41" s="11">
        <v>0.40423611111111113</v>
      </c>
      <c r="L41">
        <f t="shared" ref="L41:L54" si="8">M41*60</f>
        <v>2400</v>
      </c>
      <c r="M41" s="8">
        <v>40</v>
      </c>
      <c r="N41" s="8">
        <f t="shared" ref="N41:N54" si="9">H41-I41</f>
        <v>25.489999999999782</v>
      </c>
      <c r="O41">
        <f t="shared" ref="O41:O54" si="10">N41*1000</f>
        <v>25489.999999999782</v>
      </c>
      <c r="P41" s="2">
        <v>0.56871932173136297</v>
      </c>
      <c r="Q41">
        <v>2691.97</v>
      </c>
      <c r="R41">
        <f>+Q41/10000</f>
        <v>0.26919699999999996</v>
      </c>
      <c r="S41">
        <f>O41/(R41*L41)</f>
        <v>39.45375815233173</v>
      </c>
      <c r="T41">
        <v>32</v>
      </c>
      <c r="U41" s="8">
        <v>80</v>
      </c>
      <c r="V41">
        <f>0.6108*EXP((17.27*T41)/(T41+237.3))</f>
        <v>4.7547753962618131</v>
      </c>
      <c r="W41">
        <f>V41*(U41/100)</f>
        <v>3.8038203170094507</v>
      </c>
      <c r="X41" s="12">
        <f>V41-W41</f>
        <v>0.95095507925236245</v>
      </c>
      <c r="Y41" s="23">
        <v>0.44153300000000001</v>
      </c>
      <c r="Z41" s="23">
        <v>0.31151699999999999</v>
      </c>
      <c r="AA41" s="23">
        <v>0.42487000000000003</v>
      </c>
      <c r="AB41">
        <v>28.04</v>
      </c>
      <c r="AC41">
        <v>27.89</v>
      </c>
      <c r="AD41">
        <v>27.98</v>
      </c>
    </row>
    <row r="42" spans="1:30" x14ac:dyDescent="0.25">
      <c r="A42">
        <v>4</v>
      </c>
      <c r="B42">
        <v>2</v>
      </c>
      <c r="C42">
        <v>4</v>
      </c>
      <c r="D42">
        <v>4</v>
      </c>
      <c r="E42" t="s">
        <v>23</v>
      </c>
      <c r="F42" s="13" t="s">
        <v>39</v>
      </c>
      <c r="G42">
        <v>1</v>
      </c>
      <c r="H42">
        <v>2504.16</v>
      </c>
      <c r="I42">
        <v>2472.1799999999998</v>
      </c>
      <c r="J42" s="11">
        <v>0.37622685185185184</v>
      </c>
      <c r="K42" s="11">
        <v>0.40423611111111113</v>
      </c>
      <c r="L42">
        <f t="shared" si="8"/>
        <v>2400</v>
      </c>
      <c r="M42" s="8">
        <v>40</v>
      </c>
      <c r="N42" s="8">
        <f t="shared" si="9"/>
        <v>31.980000000000018</v>
      </c>
      <c r="O42">
        <f t="shared" si="10"/>
        <v>31980.000000000018</v>
      </c>
      <c r="U42" s="8"/>
      <c r="X42" s="12"/>
      <c r="Y42" s="23">
        <v>0.44942900000000002</v>
      </c>
      <c r="Z42" s="23">
        <v>0.27227800000000002</v>
      </c>
      <c r="AA42" s="23">
        <v>0.39212900000000001</v>
      </c>
      <c r="AB42">
        <v>27.17</v>
      </c>
      <c r="AC42">
        <v>27.35</v>
      </c>
      <c r="AD42">
        <v>27.82</v>
      </c>
    </row>
    <row r="43" spans="1:30" x14ac:dyDescent="0.25">
      <c r="A43">
        <v>4</v>
      </c>
      <c r="B43">
        <v>2</v>
      </c>
      <c r="C43">
        <v>5</v>
      </c>
      <c r="D43">
        <v>3</v>
      </c>
      <c r="E43" t="s">
        <v>28</v>
      </c>
      <c r="F43" s="20" t="s">
        <v>40</v>
      </c>
      <c r="G43">
        <v>1</v>
      </c>
      <c r="H43">
        <v>2722.92</v>
      </c>
      <c r="I43">
        <v>2695.37</v>
      </c>
      <c r="J43" s="11">
        <v>0.37622685185185184</v>
      </c>
      <c r="K43" s="11">
        <v>0.40423611111111113</v>
      </c>
      <c r="L43">
        <f t="shared" si="8"/>
        <v>2400</v>
      </c>
      <c r="M43" s="8">
        <v>40</v>
      </c>
      <c r="N43" s="8">
        <f t="shared" si="9"/>
        <v>27.550000000000182</v>
      </c>
      <c r="O43">
        <f t="shared" si="10"/>
        <v>27550.000000000182</v>
      </c>
      <c r="P43">
        <v>0.57098445595855296</v>
      </c>
      <c r="Q43">
        <v>4057.6</v>
      </c>
      <c r="R43">
        <f>+Q43/10000</f>
        <v>0.40576000000000001</v>
      </c>
      <c r="S43">
        <f t="shared" ref="S43:S54" si="11">O43/(R43*L43)</f>
        <v>28.290532991587988</v>
      </c>
      <c r="T43">
        <v>32</v>
      </c>
      <c r="U43" s="8">
        <v>80</v>
      </c>
      <c r="V43">
        <f t="shared" ref="V43:V54" si="12">0.6108*EXP((17.27*T43)/(T43+237.3))</f>
        <v>4.7547753962618131</v>
      </c>
      <c r="W43">
        <f t="shared" ref="W43:W54" si="13">V43*(U43/100)</f>
        <v>3.8038203170094507</v>
      </c>
      <c r="X43" s="12">
        <f t="shared" ref="X43:X54" si="14">V43-W43</f>
        <v>0.95095507925236245</v>
      </c>
      <c r="Y43" s="23">
        <v>0.85970100000000005</v>
      </c>
      <c r="Z43" s="23">
        <v>0.93052199999999996</v>
      </c>
      <c r="AA43" s="23">
        <v>1.0094810000000001</v>
      </c>
      <c r="AB43">
        <v>28.31</v>
      </c>
      <c r="AC43">
        <v>28.47</v>
      </c>
      <c r="AD43">
        <v>28.42</v>
      </c>
    </row>
    <row r="44" spans="1:30" x14ac:dyDescent="0.25">
      <c r="A44">
        <v>4</v>
      </c>
      <c r="B44">
        <v>2</v>
      </c>
      <c r="C44">
        <v>1</v>
      </c>
      <c r="D44">
        <v>4</v>
      </c>
      <c r="E44" t="s">
        <v>36</v>
      </c>
      <c r="F44" s="13" t="s">
        <v>41</v>
      </c>
      <c r="G44">
        <v>1</v>
      </c>
      <c r="H44">
        <v>2801.1</v>
      </c>
      <c r="I44">
        <v>2778.32</v>
      </c>
      <c r="J44" s="11">
        <v>0.37622685185185184</v>
      </c>
      <c r="K44" s="11">
        <v>0.40423611111111113</v>
      </c>
      <c r="L44">
        <f t="shared" si="8"/>
        <v>2400</v>
      </c>
      <c r="M44" s="8">
        <v>40</v>
      </c>
      <c r="N44" s="8">
        <f t="shared" si="9"/>
        <v>22.779999999999745</v>
      </c>
      <c r="O44">
        <f t="shared" si="10"/>
        <v>22779.999999999745</v>
      </c>
      <c r="P44" s="2">
        <v>0.46104027524792174</v>
      </c>
      <c r="Q44">
        <v>3860.73</v>
      </c>
      <c r="R44">
        <f>+Q44/10000</f>
        <v>0.386073</v>
      </c>
      <c r="S44">
        <f t="shared" si="11"/>
        <v>24.585160492100098</v>
      </c>
      <c r="T44">
        <v>32</v>
      </c>
      <c r="U44" s="8">
        <v>80</v>
      </c>
      <c r="V44">
        <f t="shared" si="12"/>
        <v>4.7547753962618131</v>
      </c>
      <c r="W44">
        <f t="shared" si="13"/>
        <v>3.8038203170094507</v>
      </c>
      <c r="X44" s="12">
        <f t="shared" si="14"/>
        <v>0.95095507925236245</v>
      </c>
      <c r="Y44" s="23">
        <v>0.53737900000000005</v>
      </c>
      <c r="Z44" s="23">
        <v>0.51977799999999996</v>
      </c>
      <c r="AA44" s="23">
        <v>0.55702499999999999</v>
      </c>
      <c r="AB44">
        <v>26.5</v>
      </c>
      <c r="AC44">
        <v>26.73</v>
      </c>
      <c r="AD44">
        <v>26.92</v>
      </c>
    </row>
    <row r="45" spans="1:30" x14ac:dyDescent="0.25">
      <c r="A45">
        <v>1</v>
      </c>
      <c r="B45" s="1">
        <v>1</v>
      </c>
      <c r="C45" s="1">
        <v>5</v>
      </c>
      <c r="D45" s="1">
        <v>2</v>
      </c>
      <c r="E45" t="s">
        <v>33</v>
      </c>
      <c r="F45" t="s">
        <v>38</v>
      </c>
      <c r="G45" s="1">
        <v>2</v>
      </c>
      <c r="H45">
        <v>2657.53</v>
      </c>
      <c r="I45">
        <v>2645.79</v>
      </c>
      <c r="J45" s="7">
        <v>0.35893518518518519</v>
      </c>
      <c r="K45" s="7">
        <v>0.38979166666666665</v>
      </c>
      <c r="L45" s="1">
        <f t="shared" si="8"/>
        <v>2655.6</v>
      </c>
      <c r="M45" s="1">
        <v>44.26</v>
      </c>
      <c r="N45" s="4">
        <f t="shared" si="9"/>
        <v>11.740000000000236</v>
      </c>
      <c r="O45" s="4">
        <f t="shared" si="10"/>
        <v>11740.000000000236</v>
      </c>
      <c r="P45" s="4">
        <v>0.94601128122481415</v>
      </c>
      <c r="Q45">
        <v>758</v>
      </c>
      <c r="R45" s="1">
        <f>Q45/10000</f>
        <v>7.5800000000000006E-2</v>
      </c>
      <c r="S45" s="5">
        <f t="shared" si="11"/>
        <v>58.322513364500779</v>
      </c>
      <c r="T45" s="4">
        <v>32</v>
      </c>
      <c r="U45">
        <v>71</v>
      </c>
      <c r="V45">
        <f t="shared" si="12"/>
        <v>4.7547753962618131</v>
      </c>
      <c r="W45">
        <f t="shared" si="13"/>
        <v>3.3758905313458873</v>
      </c>
      <c r="X45" s="6">
        <f t="shared" si="14"/>
        <v>1.3788848649159258</v>
      </c>
    </row>
    <row r="46" spans="1:30" x14ac:dyDescent="0.25">
      <c r="A46">
        <v>1</v>
      </c>
      <c r="B46" s="1">
        <v>1</v>
      </c>
      <c r="C46" s="1">
        <v>5</v>
      </c>
      <c r="D46" s="1">
        <v>2</v>
      </c>
      <c r="E46" t="s">
        <v>33</v>
      </c>
      <c r="F46" t="s">
        <v>38</v>
      </c>
      <c r="G46" s="1">
        <v>3</v>
      </c>
      <c r="H46">
        <v>2640.11</v>
      </c>
      <c r="I46">
        <v>2628.74</v>
      </c>
      <c r="J46" s="7">
        <v>0.41251157407407407</v>
      </c>
      <c r="K46" s="7">
        <v>0.44452546296296297</v>
      </c>
      <c r="L46" s="1">
        <f t="shared" si="8"/>
        <v>2643.6000000000004</v>
      </c>
      <c r="M46" s="4">
        <v>44.06</v>
      </c>
      <c r="N46" s="4">
        <f t="shared" si="9"/>
        <v>11.370000000000346</v>
      </c>
      <c r="O46" s="4">
        <f t="shared" si="10"/>
        <v>11370.000000000346</v>
      </c>
      <c r="P46" s="4">
        <v>0.91619661563255939</v>
      </c>
      <c r="Q46">
        <v>758</v>
      </c>
      <c r="R46" s="1">
        <f>Q46/10000</f>
        <v>7.5800000000000006E-2</v>
      </c>
      <c r="S46" s="5">
        <f t="shared" si="11"/>
        <v>56.740807989107481</v>
      </c>
      <c r="T46" s="4">
        <v>32</v>
      </c>
      <c r="U46" s="8">
        <f>+AVERAGE([1]humidity!$B$20430:$B$20523)</f>
        <v>58.276595744680854</v>
      </c>
      <c r="V46">
        <f t="shared" si="12"/>
        <v>4.7547753962618131</v>
      </c>
      <c r="W46">
        <f t="shared" si="13"/>
        <v>2.7709212362470441</v>
      </c>
      <c r="X46" s="6">
        <f t="shared" si="14"/>
        <v>1.983854160014769</v>
      </c>
    </row>
    <row r="47" spans="1:30" x14ac:dyDescent="0.25">
      <c r="A47">
        <v>1</v>
      </c>
      <c r="B47" s="1">
        <v>1</v>
      </c>
      <c r="C47" s="1">
        <v>5</v>
      </c>
      <c r="D47" s="1">
        <v>2</v>
      </c>
      <c r="E47" t="s">
        <v>33</v>
      </c>
      <c r="F47" t="s">
        <v>38</v>
      </c>
      <c r="G47" s="1">
        <v>4</v>
      </c>
      <c r="H47">
        <v>2623.5</v>
      </c>
      <c r="I47">
        <v>2611.88</v>
      </c>
      <c r="J47" s="7">
        <v>0.46377314814814813</v>
      </c>
      <c r="K47" s="7">
        <v>0.49486111111111108</v>
      </c>
      <c r="L47" s="1">
        <f t="shared" si="8"/>
        <v>2667.6</v>
      </c>
      <c r="M47" s="1">
        <v>44.46</v>
      </c>
      <c r="N47" s="4">
        <f t="shared" si="9"/>
        <v>11.619999999999891</v>
      </c>
      <c r="O47" s="4">
        <f t="shared" si="10"/>
        <v>11619.999999999891</v>
      </c>
      <c r="P47" s="4">
        <v>0.93634165995161978</v>
      </c>
      <c r="Q47">
        <v>758</v>
      </c>
      <c r="R47" s="1">
        <f>Q47/10000</f>
        <v>7.5800000000000006E-2</v>
      </c>
      <c r="S47" s="5">
        <f t="shared" si="11"/>
        <v>57.466694044946522</v>
      </c>
      <c r="T47" s="4">
        <v>32</v>
      </c>
      <c r="U47" s="8">
        <f>+AVERAGE([1]humidity!$B$20576:$B$20667)</f>
        <v>47.380434782608695</v>
      </c>
      <c r="V47">
        <f t="shared" si="12"/>
        <v>4.7547753962618131</v>
      </c>
      <c r="W47">
        <f t="shared" si="13"/>
        <v>2.2528332556853523</v>
      </c>
      <c r="X47" s="6">
        <f t="shared" si="14"/>
        <v>2.5019421405764608</v>
      </c>
    </row>
    <row r="48" spans="1:30" x14ac:dyDescent="0.25">
      <c r="A48">
        <v>1</v>
      </c>
      <c r="B48" s="1">
        <v>1</v>
      </c>
      <c r="C48" s="1">
        <v>5</v>
      </c>
      <c r="D48" s="1">
        <v>2</v>
      </c>
      <c r="E48" t="s">
        <v>33</v>
      </c>
      <c r="F48" t="s">
        <v>38</v>
      </c>
      <c r="G48" s="1">
        <v>5</v>
      </c>
      <c r="H48">
        <v>2604.0100000000002</v>
      </c>
      <c r="I48">
        <v>2591.91</v>
      </c>
      <c r="J48" s="7">
        <v>0.51785879629629628</v>
      </c>
      <c r="K48" s="7">
        <v>0.54924768518518519</v>
      </c>
      <c r="L48" s="1">
        <f t="shared" si="8"/>
        <v>2707.2</v>
      </c>
      <c r="M48" s="4">
        <v>45.12</v>
      </c>
      <c r="N48" s="4">
        <f t="shared" si="9"/>
        <v>12.100000000000364</v>
      </c>
      <c r="O48" s="4">
        <f t="shared" si="10"/>
        <v>12100.000000000364</v>
      </c>
      <c r="P48" s="4">
        <v>0.9750201450443241</v>
      </c>
      <c r="Q48">
        <v>758</v>
      </c>
      <c r="R48" s="1">
        <f>Q48/10000</f>
        <v>7.5800000000000006E-2</v>
      </c>
      <c r="S48" s="5">
        <f t="shared" si="11"/>
        <v>58.965206434752922</v>
      </c>
      <c r="T48" s="4">
        <v>32</v>
      </c>
      <c r="U48" s="8">
        <f>+AVERAGE([1]humidity!$B$20731:$B$20822)</f>
        <v>37.228260869565219</v>
      </c>
      <c r="V48">
        <f t="shared" si="12"/>
        <v>4.7547753962618131</v>
      </c>
      <c r="W48">
        <f t="shared" si="13"/>
        <v>1.770120188282251</v>
      </c>
      <c r="X48" s="6">
        <f t="shared" si="14"/>
        <v>2.9846552079795621</v>
      </c>
    </row>
    <row r="49" spans="1:24" x14ac:dyDescent="0.25">
      <c r="A49">
        <v>1</v>
      </c>
      <c r="B49" s="1">
        <v>1</v>
      </c>
      <c r="C49" s="1">
        <v>5</v>
      </c>
      <c r="D49" s="1">
        <v>2</v>
      </c>
      <c r="E49" t="s">
        <v>33</v>
      </c>
      <c r="F49" t="s">
        <v>38</v>
      </c>
      <c r="G49" s="1">
        <v>6</v>
      </c>
      <c r="H49">
        <v>2582.86</v>
      </c>
      <c r="I49">
        <v>2570.4499999999998</v>
      </c>
      <c r="J49" s="7">
        <v>0.57593749999999999</v>
      </c>
      <c r="K49" s="7">
        <v>0.60682870370370368</v>
      </c>
      <c r="L49" s="1">
        <f t="shared" si="8"/>
        <v>2657.4</v>
      </c>
      <c r="M49" s="4">
        <v>44.29</v>
      </c>
      <c r="N49" s="4">
        <f t="shared" si="9"/>
        <v>12.410000000000309</v>
      </c>
      <c r="O49" s="4">
        <f t="shared" si="10"/>
        <v>12410.000000000309</v>
      </c>
      <c r="P49" s="4">
        <v>1</v>
      </c>
      <c r="Q49">
        <v>758</v>
      </c>
      <c r="R49" s="1">
        <f>Q49/10000</f>
        <v>7.5800000000000006E-2</v>
      </c>
      <c r="S49" s="5">
        <f t="shared" si="11"/>
        <v>61.609210740835159</v>
      </c>
      <c r="T49" s="4">
        <v>32</v>
      </c>
      <c r="U49" s="8">
        <f>+AVERAGE([1]humidity!$B$20898:$B$20986)</f>
        <v>19.865168539325843</v>
      </c>
      <c r="V49">
        <f t="shared" si="12"/>
        <v>4.7547753962618131</v>
      </c>
      <c r="W49">
        <f t="shared" si="13"/>
        <v>0.94454414613380733</v>
      </c>
      <c r="X49" s="6">
        <f t="shared" si="14"/>
        <v>3.8102312501280058</v>
      </c>
    </row>
    <row r="50" spans="1:24" x14ac:dyDescent="0.25">
      <c r="A50">
        <v>1</v>
      </c>
      <c r="B50" s="1">
        <v>2</v>
      </c>
      <c r="C50">
        <v>5</v>
      </c>
      <c r="D50">
        <v>2</v>
      </c>
      <c r="E50" t="s">
        <v>33</v>
      </c>
      <c r="F50" t="s">
        <v>38</v>
      </c>
      <c r="G50" s="1">
        <v>2</v>
      </c>
      <c r="H50">
        <v>2731.04</v>
      </c>
      <c r="I50">
        <v>2720.47</v>
      </c>
      <c r="J50" s="7">
        <v>0.41741898148148149</v>
      </c>
      <c r="K50" s="7">
        <v>0.44797453703703705</v>
      </c>
      <c r="L50" s="1">
        <f t="shared" si="8"/>
        <v>2640</v>
      </c>
      <c r="M50" s="4">
        <v>44</v>
      </c>
      <c r="N50" s="4">
        <f t="shared" si="9"/>
        <v>10.570000000000164</v>
      </c>
      <c r="O50" s="4">
        <f t="shared" si="10"/>
        <v>10570.000000000164</v>
      </c>
      <c r="P50" s="4">
        <v>0.78064992614477047</v>
      </c>
      <c r="Q50">
        <v>758</v>
      </c>
      <c r="R50" s="1">
        <f>+Q50/10000</f>
        <v>7.5800000000000006E-2</v>
      </c>
      <c r="S50" s="5">
        <f t="shared" si="11"/>
        <v>52.820420564484699</v>
      </c>
      <c r="T50" s="4">
        <v>32</v>
      </c>
      <c r="U50" s="8">
        <f>+AVERAGE([1]humidity!$B$23313:$B$23401)</f>
        <v>71.887640449438209</v>
      </c>
      <c r="V50">
        <f t="shared" si="12"/>
        <v>4.7547753962618131</v>
      </c>
      <c r="W50">
        <f t="shared" si="13"/>
        <v>3.4180958410430429</v>
      </c>
      <c r="X50" s="6">
        <f t="shared" si="14"/>
        <v>1.3366795552187702</v>
      </c>
    </row>
    <row r="51" spans="1:24" x14ac:dyDescent="0.25">
      <c r="A51">
        <v>1</v>
      </c>
      <c r="B51" s="1">
        <v>2</v>
      </c>
      <c r="C51">
        <v>5</v>
      </c>
      <c r="D51">
        <v>2</v>
      </c>
      <c r="E51" t="s">
        <v>33</v>
      </c>
      <c r="F51" t="s">
        <v>38</v>
      </c>
      <c r="G51" s="1">
        <v>3</v>
      </c>
      <c r="H51">
        <v>2711.7</v>
      </c>
      <c r="I51">
        <v>2701.09</v>
      </c>
      <c r="J51" s="7">
        <v>0.47769675925925925</v>
      </c>
      <c r="K51" s="7">
        <v>0.5084143518518518</v>
      </c>
      <c r="L51" s="1">
        <f t="shared" si="8"/>
        <v>2648.4</v>
      </c>
      <c r="M51" s="4">
        <v>44.14</v>
      </c>
      <c r="N51" s="4">
        <f t="shared" si="9"/>
        <v>10.609999999999673</v>
      </c>
      <c r="O51" s="4">
        <f t="shared" si="10"/>
        <v>10609.999999999673</v>
      </c>
      <c r="P51" s="4">
        <v>0.78360413589362632</v>
      </c>
      <c r="Q51">
        <v>758</v>
      </c>
      <c r="R51" s="1">
        <f>+Q51/10000</f>
        <v>7.5800000000000006E-2</v>
      </c>
      <c r="S51" s="5">
        <f t="shared" si="11"/>
        <v>52.852142718517314</v>
      </c>
      <c r="T51" s="4">
        <v>32</v>
      </c>
      <c r="U51" s="8">
        <f>+AVERAGE([1]humidity!$B$23480:$B$23571)</f>
        <v>55.608695652173914</v>
      </c>
      <c r="V51">
        <f t="shared" si="12"/>
        <v>4.7547753962618131</v>
      </c>
      <c r="W51">
        <f t="shared" si="13"/>
        <v>2.6440685790516776</v>
      </c>
      <c r="X51" s="6">
        <f t="shared" si="14"/>
        <v>2.1107068172101355</v>
      </c>
    </row>
    <row r="52" spans="1:24" x14ac:dyDescent="0.25">
      <c r="A52">
        <v>1</v>
      </c>
      <c r="B52" s="1">
        <v>2</v>
      </c>
      <c r="C52">
        <v>5</v>
      </c>
      <c r="D52">
        <v>2</v>
      </c>
      <c r="E52" t="s">
        <v>33</v>
      </c>
      <c r="F52" t="s">
        <v>38</v>
      </c>
      <c r="G52" s="1">
        <v>4</v>
      </c>
      <c r="H52">
        <v>2693.16</v>
      </c>
      <c r="I52">
        <v>2679.82</v>
      </c>
      <c r="J52" s="7">
        <v>0.53045138888888888</v>
      </c>
      <c r="K52" s="7">
        <v>0.56327546296296294</v>
      </c>
      <c r="L52" s="1">
        <f t="shared" si="8"/>
        <v>2829.6</v>
      </c>
      <c r="M52" s="4">
        <v>47.16</v>
      </c>
      <c r="N52" s="4">
        <f t="shared" si="9"/>
        <v>13.339999999999691</v>
      </c>
      <c r="O52" s="4">
        <f t="shared" si="10"/>
        <v>13339.999999999691</v>
      </c>
      <c r="P52" s="4">
        <v>0.9852289512555189</v>
      </c>
      <c r="Q52">
        <v>758</v>
      </c>
      <c r="R52" s="1">
        <f>+Q52/10000</f>
        <v>7.5800000000000006E-2</v>
      </c>
      <c r="S52" s="5">
        <f t="shared" si="11"/>
        <v>62.195874296821508</v>
      </c>
      <c r="T52" s="4">
        <v>32</v>
      </c>
      <c r="U52" s="8">
        <f>+AVERAGE([1]humidity!$B$23635:$B$23728)</f>
        <v>48.244680851063826</v>
      </c>
      <c r="V52">
        <f t="shared" si="12"/>
        <v>4.7547753962618131</v>
      </c>
      <c r="W52">
        <f t="shared" si="13"/>
        <v>2.293926215111417</v>
      </c>
      <c r="X52" s="6">
        <f t="shared" si="14"/>
        <v>2.4608491811503961</v>
      </c>
    </row>
    <row r="53" spans="1:24" x14ac:dyDescent="0.25">
      <c r="A53">
        <v>1</v>
      </c>
      <c r="B53" s="1">
        <v>2</v>
      </c>
      <c r="C53">
        <v>5</v>
      </c>
      <c r="D53">
        <v>2</v>
      </c>
      <c r="E53" t="s">
        <v>33</v>
      </c>
      <c r="F53" t="s">
        <v>38</v>
      </c>
      <c r="G53" s="1">
        <v>5</v>
      </c>
      <c r="H53">
        <v>2670.75</v>
      </c>
      <c r="I53">
        <v>2658.47</v>
      </c>
      <c r="J53" s="7">
        <v>0.58910879629629631</v>
      </c>
      <c r="K53" s="7">
        <v>0.61982638888888886</v>
      </c>
      <c r="L53" s="1">
        <f t="shared" si="8"/>
        <v>2648.4</v>
      </c>
      <c r="M53" s="4">
        <f>52.33-8.19</f>
        <v>44.14</v>
      </c>
      <c r="N53" s="4">
        <f t="shared" si="9"/>
        <v>12.2800000000002</v>
      </c>
      <c r="O53" s="4">
        <f t="shared" si="10"/>
        <v>12280.0000000002</v>
      </c>
      <c r="P53" s="4">
        <v>0.90694239290991385</v>
      </c>
      <c r="Q53">
        <v>758</v>
      </c>
      <c r="R53" s="1">
        <f>+Q53/10000</f>
        <v>7.5800000000000006E-2</v>
      </c>
      <c r="S53" s="5">
        <f t="shared" si="11"/>
        <v>61.171000243489466</v>
      </c>
      <c r="T53" s="4">
        <v>32</v>
      </c>
      <c r="U53" s="8">
        <f>+AVERAGE([1]humidity!$B$23800:$B$23885)</f>
        <v>34.860465116279073</v>
      </c>
      <c r="V53">
        <f t="shared" si="12"/>
        <v>4.7547753962618131</v>
      </c>
      <c r="W53">
        <f t="shared" si="13"/>
        <v>1.6575368183712693</v>
      </c>
      <c r="X53" s="6">
        <f t="shared" si="14"/>
        <v>3.0972385778905438</v>
      </c>
    </row>
    <row r="54" spans="1:24" x14ac:dyDescent="0.25">
      <c r="A54">
        <v>1</v>
      </c>
      <c r="B54" s="1">
        <v>2</v>
      </c>
      <c r="C54">
        <v>5</v>
      </c>
      <c r="D54">
        <v>2</v>
      </c>
      <c r="E54" t="s">
        <v>33</v>
      </c>
      <c r="F54" t="s">
        <v>38</v>
      </c>
      <c r="G54" s="1">
        <v>6</v>
      </c>
      <c r="H54">
        <v>2647.75</v>
      </c>
      <c r="I54">
        <v>2634.21</v>
      </c>
      <c r="J54" s="7">
        <v>0.64884259259259258</v>
      </c>
      <c r="K54" s="7">
        <v>0.68069444444444449</v>
      </c>
      <c r="L54" s="1">
        <f t="shared" si="8"/>
        <v>2748</v>
      </c>
      <c r="M54" s="4">
        <f>+(60-34.2)+20</f>
        <v>45.8</v>
      </c>
      <c r="N54" s="4">
        <f t="shared" si="9"/>
        <v>13.539999999999964</v>
      </c>
      <c r="O54" s="4">
        <f t="shared" si="10"/>
        <v>13539.999999999964</v>
      </c>
      <c r="P54" s="4">
        <v>1</v>
      </c>
      <c r="Q54">
        <v>758</v>
      </c>
      <c r="R54" s="1">
        <f>+Q54/10000</f>
        <v>7.5800000000000006E-2</v>
      </c>
      <c r="S54" s="5">
        <f t="shared" si="11"/>
        <v>65.002899686219209</v>
      </c>
      <c r="T54" s="4">
        <v>32</v>
      </c>
      <c r="U54" s="8">
        <f>+AVERAGE([1]humidity!$B$23968:$B$24060)</f>
        <v>19.892473118279568</v>
      </c>
      <c r="V54">
        <f t="shared" si="12"/>
        <v>4.7547753962618131</v>
      </c>
      <c r="W54">
        <f t="shared" si="13"/>
        <v>0.945842417535952</v>
      </c>
      <c r="X54" s="6">
        <f t="shared" si="14"/>
        <v>3.8089329787258612</v>
      </c>
    </row>
    <row r="55" spans="1:24" x14ac:dyDescent="0.25">
      <c r="A55">
        <v>2</v>
      </c>
      <c r="B55">
        <v>1</v>
      </c>
      <c r="C55">
        <v>1</v>
      </c>
      <c r="D55">
        <v>5</v>
      </c>
      <c r="E55" t="s">
        <v>33</v>
      </c>
      <c r="F55" t="s">
        <v>38</v>
      </c>
      <c r="G55">
        <v>1</v>
      </c>
      <c r="H55">
        <v>3534.91</v>
      </c>
      <c r="I55">
        <v>3516.01</v>
      </c>
      <c r="J55" s="11">
        <v>0.49791666666666667</v>
      </c>
      <c r="K55" s="7">
        <v>0.53189814814814818</v>
      </c>
      <c r="L55">
        <f t="shared" ref="L55:L63" si="15">+M55*60</f>
        <v>2880</v>
      </c>
      <c r="M55">
        <v>48</v>
      </c>
      <c r="N55">
        <f t="shared" ref="N55:N63" si="16">+H55-I55</f>
        <v>18.899999999999636</v>
      </c>
      <c r="O55">
        <f t="shared" ref="O55:O63" si="17">+N55*1000</f>
        <v>18899.999999999636</v>
      </c>
      <c r="P55" s="2">
        <v>0.75509388733519089</v>
      </c>
      <c r="Q55">
        <v>1635</v>
      </c>
      <c r="R55" s="1">
        <v>0.16350000000000001</v>
      </c>
      <c r="S55" s="5">
        <v>40.137614678898309</v>
      </c>
      <c r="T55" s="4">
        <v>32</v>
      </c>
      <c r="U55" s="8">
        <v>77.865979381443296</v>
      </c>
      <c r="V55">
        <v>4.7547753962618131</v>
      </c>
      <c r="W55">
        <v>3.7023524296871622</v>
      </c>
      <c r="X55" s="6">
        <v>1.052422966574651</v>
      </c>
    </row>
    <row r="56" spans="1:24" x14ac:dyDescent="0.25">
      <c r="A56">
        <v>2</v>
      </c>
      <c r="B56">
        <v>1</v>
      </c>
      <c r="C56">
        <v>1</v>
      </c>
      <c r="D56">
        <v>5</v>
      </c>
      <c r="E56" t="s">
        <v>33</v>
      </c>
      <c r="F56" t="s">
        <v>38</v>
      </c>
      <c r="G56">
        <v>2</v>
      </c>
      <c r="H56">
        <v>3501.58</v>
      </c>
      <c r="I56">
        <v>3478.98</v>
      </c>
      <c r="J56" s="7">
        <v>0.55482638888888891</v>
      </c>
      <c r="K56" s="7">
        <v>0.58539351851851851</v>
      </c>
      <c r="L56">
        <f t="shared" si="15"/>
        <v>2640</v>
      </c>
      <c r="M56">
        <v>44</v>
      </c>
      <c r="N56">
        <f t="shared" si="16"/>
        <v>22.599999999999909</v>
      </c>
      <c r="O56">
        <f t="shared" si="17"/>
        <v>22599.999999999909</v>
      </c>
      <c r="P56" s="2">
        <v>0.90291650019976588</v>
      </c>
      <c r="Q56">
        <v>1635</v>
      </c>
      <c r="R56" s="1">
        <v>0.16350000000000001</v>
      </c>
      <c r="S56" s="5">
        <v>52.358446853859483</v>
      </c>
      <c r="T56" s="4">
        <v>32</v>
      </c>
      <c r="U56" s="8">
        <v>66.811764705882354</v>
      </c>
      <c r="V56">
        <v>4.7547753962618131</v>
      </c>
      <c r="W56">
        <v>3.1767493500436275</v>
      </c>
      <c r="X56" s="6">
        <v>1.5780260462181857</v>
      </c>
    </row>
    <row r="57" spans="1:24" x14ac:dyDescent="0.25">
      <c r="A57">
        <v>2</v>
      </c>
      <c r="B57">
        <v>1</v>
      </c>
      <c r="C57">
        <v>1</v>
      </c>
      <c r="D57">
        <v>5</v>
      </c>
      <c r="E57" t="s">
        <v>33</v>
      </c>
      <c r="F57" t="s">
        <v>38</v>
      </c>
      <c r="G57">
        <v>3</v>
      </c>
      <c r="H57">
        <v>3463.66</v>
      </c>
      <c r="I57">
        <v>3438.84</v>
      </c>
      <c r="J57" s="7">
        <v>0.60451388888888891</v>
      </c>
      <c r="K57" s="7">
        <v>0.63587962962962963</v>
      </c>
      <c r="L57">
        <f t="shared" si="15"/>
        <v>2700</v>
      </c>
      <c r="M57">
        <v>45</v>
      </c>
      <c r="N57">
        <f t="shared" si="16"/>
        <v>24.819999999999709</v>
      </c>
      <c r="O57">
        <f t="shared" si="17"/>
        <v>24819.999999999709</v>
      </c>
      <c r="P57" s="2">
        <v>0.99161006791849626</v>
      </c>
      <c r="Q57">
        <v>1635</v>
      </c>
      <c r="R57">
        <v>0.16350000000000001</v>
      </c>
      <c r="S57">
        <v>56.223807905764424</v>
      </c>
      <c r="T57">
        <v>32</v>
      </c>
      <c r="U57" s="8">
        <v>56</v>
      </c>
      <c r="V57">
        <v>4.7547753962618131</v>
      </c>
      <c r="W57">
        <v>2.6626742219066157</v>
      </c>
      <c r="X57" s="12">
        <v>2.0921011743551974</v>
      </c>
    </row>
    <row r="58" spans="1:24" x14ac:dyDescent="0.25">
      <c r="A58">
        <v>2</v>
      </c>
      <c r="B58">
        <v>1</v>
      </c>
      <c r="C58">
        <v>1</v>
      </c>
      <c r="D58">
        <v>5</v>
      </c>
      <c r="E58" t="s">
        <v>33</v>
      </c>
      <c r="F58" t="s">
        <v>38</v>
      </c>
      <c r="G58">
        <v>4</v>
      </c>
      <c r="H58">
        <v>3425.08</v>
      </c>
      <c r="I58">
        <v>3400.05</v>
      </c>
      <c r="J58" s="7">
        <v>0.65208333333333335</v>
      </c>
      <c r="K58" s="7">
        <v>0.68402777777777779</v>
      </c>
      <c r="L58">
        <f t="shared" si="15"/>
        <v>2760</v>
      </c>
      <c r="M58">
        <v>46</v>
      </c>
      <c r="N58">
        <f t="shared" si="16"/>
        <v>25.029999999999745</v>
      </c>
      <c r="O58">
        <f t="shared" si="17"/>
        <v>25029.999999999745</v>
      </c>
      <c r="P58" s="2">
        <v>1</v>
      </c>
      <c r="Q58">
        <v>1635</v>
      </c>
      <c r="R58">
        <v>0.16350000000000001</v>
      </c>
      <c r="S58">
        <v>55.466914860611944</v>
      </c>
      <c r="T58">
        <v>32</v>
      </c>
      <c r="U58" s="8">
        <v>47.103448275862071</v>
      </c>
      <c r="V58">
        <v>4.7547753962618131</v>
      </c>
      <c r="W58">
        <v>2.2396631694115987</v>
      </c>
      <c r="X58" s="12">
        <v>2.5151122268502144</v>
      </c>
    </row>
    <row r="59" spans="1:24" x14ac:dyDescent="0.25">
      <c r="A59">
        <v>2</v>
      </c>
      <c r="B59">
        <v>1</v>
      </c>
      <c r="C59">
        <v>1</v>
      </c>
      <c r="D59">
        <v>5</v>
      </c>
      <c r="E59" t="s">
        <v>33</v>
      </c>
      <c r="F59" t="s">
        <v>38</v>
      </c>
      <c r="G59">
        <v>5</v>
      </c>
      <c r="H59">
        <v>3386.77</v>
      </c>
      <c r="I59">
        <v>3362.73</v>
      </c>
      <c r="J59" s="7">
        <v>0.70046296296296295</v>
      </c>
      <c r="K59" s="7">
        <v>0.73293981481481485</v>
      </c>
      <c r="L59">
        <f t="shared" si="15"/>
        <v>2760</v>
      </c>
      <c r="M59">
        <v>46</v>
      </c>
      <c r="N59">
        <f t="shared" si="16"/>
        <v>24.039999999999964</v>
      </c>
      <c r="O59">
        <f t="shared" si="17"/>
        <v>24039.999999999964</v>
      </c>
      <c r="P59" s="2">
        <v>0.96044746304435513</v>
      </c>
      <c r="Q59">
        <v>1635</v>
      </c>
      <c r="R59">
        <v>0.16350000000000001</v>
      </c>
      <c r="S59">
        <v>53.273057660771983</v>
      </c>
      <c r="T59">
        <v>32</v>
      </c>
      <c r="U59" s="8">
        <v>38.567010309278352</v>
      </c>
      <c r="V59">
        <v>4.7547753962618131</v>
      </c>
      <c r="W59">
        <v>1.8337747172593242</v>
      </c>
      <c r="X59" s="12">
        <v>2.9210006790024892</v>
      </c>
    </row>
    <row r="60" spans="1:24" x14ac:dyDescent="0.25">
      <c r="A60">
        <v>2</v>
      </c>
      <c r="B60">
        <v>1</v>
      </c>
      <c r="C60">
        <v>1</v>
      </c>
      <c r="D60">
        <v>5</v>
      </c>
      <c r="E60" t="s">
        <v>33</v>
      </c>
      <c r="F60" t="s">
        <v>38</v>
      </c>
      <c r="G60">
        <v>6</v>
      </c>
      <c r="H60">
        <v>3354.29</v>
      </c>
      <c r="I60">
        <v>3331.26</v>
      </c>
      <c r="J60" s="7">
        <v>0.7436342592592593</v>
      </c>
      <c r="K60" s="7">
        <v>0.77496527777777779</v>
      </c>
      <c r="L60">
        <f t="shared" si="15"/>
        <v>2700</v>
      </c>
      <c r="M60">
        <v>45</v>
      </c>
      <c r="N60">
        <f t="shared" si="16"/>
        <v>23.029999999999745</v>
      </c>
      <c r="O60">
        <f t="shared" si="17"/>
        <v>23029.999999999745</v>
      </c>
      <c r="P60" s="2">
        <v>0.92009588493807348</v>
      </c>
      <c r="Q60">
        <v>1635</v>
      </c>
      <c r="R60">
        <v>0.16350000000000001</v>
      </c>
      <c r="S60">
        <v>52.168988560425284</v>
      </c>
      <c r="T60">
        <v>32</v>
      </c>
      <c r="U60" s="8">
        <v>23.483146067415731</v>
      </c>
      <c r="V60">
        <v>4.7547753962618131</v>
      </c>
      <c r="W60">
        <v>1.1165708514817068</v>
      </c>
      <c r="X60" s="12">
        <v>3.6382045447801064</v>
      </c>
    </row>
    <row r="61" spans="1:24" x14ac:dyDescent="0.25">
      <c r="A61">
        <v>2</v>
      </c>
      <c r="B61">
        <v>2</v>
      </c>
      <c r="C61">
        <v>1</v>
      </c>
      <c r="D61">
        <v>2</v>
      </c>
      <c r="E61" t="s">
        <v>25</v>
      </c>
      <c r="F61" s="13" t="s">
        <v>41</v>
      </c>
      <c r="G61">
        <v>1</v>
      </c>
      <c r="H61">
        <v>3148.43</v>
      </c>
      <c r="I61">
        <v>3138.6</v>
      </c>
      <c r="J61" s="7">
        <v>0.37709490740740742</v>
      </c>
      <c r="K61" s="7">
        <v>0.40918981481481481</v>
      </c>
      <c r="L61">
        <f t="shared" si="15"/>
        <v>2760</v>
      </c>
      <c r="M61">
        <v>46</v>
      </c>
      <c r="N61">
        <f t="shared" si="16"/>
        <v>9.8299999999999272</v>
      </c>
      <c r="O61">
        <f t="shared" si="17"/>
        <v>9829.9999999999272</v>
      </c>
      <c r="P61" s="2">
        <v>0.49696663296257976</v>
      </c>
      <c r="Q61">
        <v>915.55</v>
      </c>
      <c r="R61">
        <v>9.1554999999999997E-2</v>
      </c>
      <c r="S61">
        <v>38.901143606559167</v>
      </c>
      <c r="T61">
        <v>32</v>
      </c>
      <c r="U61" s="8">
        <v>78.934782608695656</v>
      </c>
      <c r="V61">
        <v>4.7547753962618131</v>
      </c>
      <c r="W61">
        <v>3.7531716225710094</v>
      </c>
      <c r="X61" s="12">
        <v>1.0016037736908037</v>
      </c>
    </row>
    <row r="62" spans="1:24" x14ac:dyDescent="0.25">
      <c r="A62">
        <v>2</v>
      </c>
      <c r="B62">
        <v>2</v>
      </c>
      <c r="C62">
        <v>4</v>
      </c>
      <c r="D62">
        <v>3</v>
      </c>
      <c r="E62" t="s">
        <v>27</v>
      </c>
      <c r="F62" s="13" t="s">
        <v>39</v>
      </c>
      <c r="G62">
        <v>1</v>
      </c>
      <c r="H62">
        <v>3144.59</v>
      </c>
      <c r="I62">
        <v>3135.3</v>
      </c>
      <c r="J62" s="7">
        <v>0.37709490740740742</v>
      </c>
      <c r="K62" s="7">
        <v>0.40918981481481481</v>
      </c>
      <c r="L62">
        <f t="shared" si="15"/>
        <v>2760</v>
      </c>
      <c r="M62">
        <v>46</v>
      </c>
      <c r="N62">
        <f t="shared" si="16"/>
        <v>9.2899999999999636</v>
      </c>
      <c r="O62">
        <f t="shared" si="17"/>
        <v>9289.9999999999636</v>
      </c>
      <c r="P62" s="2">
        <v>0.48587866108786698</v>
      </c>
      <c r="Q62">
        <v>793.6</v>
      </c>
      <c r="R62">
        <v>7.936E-2</v>
      </c>
      <c r="S62">
        <v>42.413584034595438</v>
      </c>
      <c r="T62">
        <v>32</v>
      </c>
      <c r="U62" s="8">
        <v>78.934782608695656</v>
      </c>
      <c r="V62">
        <v>4.7547753962618131</v>
      </c>
      <c r="W62">
        <v>3.7531716225710094</v>
      </c>
      <c r="X62" s="12">
        <v>1.0016037736908037</v>
      </c>
    </row>
    <row r="63" spans="1:24" x14ac:dyDescent="0.25">
      <c r="A63">
        <v>2</v>
      </c>
      <c r="B63">
        <v>2</v>
      </c>
      <c r="C63">
        <v>4</v>
      </c>
      <c r="D63">
        <v>1</v>
      </c>
      <c r="E63" t="s">
        <v>30</v>
      </c>
      <c r="F63" s="13" t="s">
        <v>39</v>
      </c>
      <c r="G63">
        <v>1</v>
      </c>
      <c r="H63">
        <v>3092.36</v>
      </c>
      <c r="I63">
        <v>3079.28</v>
      </c>
      <c r="J63" s="7">
        <v>0.37709490740740742</v>
      </c>
      <c r="K63" s="7">
        <v>0.40918981481481481</v>
      </c>
      <c r="L63">
        <f t="shared" si="15"/>
        <v>2760</v>
      </c>
      <c r="M63">
        <v>46</v>
      </c>
      <c r="N63">
        <f t="shared" si="16"/>
        <v>13.079999999999927</v>
      </c>
      <c r="O63">
        <f t="shared" si="17"/>
        <v>13079.999999999927</v>
      </c>
      <c r="P63" s="2">
        <v>0.51638373470193311</v>
      </c>
      <c r="Q63">
        <v>849</v>
      </c>
      <c r="R63">
        <v>8.4900000000000003E-2</v>
      </c>
      <c r="S63">
        <v>55.820146463870223</v>
      </c>
      <c r="T63">
        <v>32</v>
      </c>
      <c r="U63" s="8">
        <v>78.934782608695656</v>
      </c>
      <c r="V63">
        <v>4.7547753962618131</v>
      </c>
      <c r="W63">
        <v>3.7531716225710094</v>
      </c>
      <c r="X63" s="12">
        <v>1.0016037736908037</v>
      </c>
    </row>
    <row r="64" spans="1:24" x14ac:dyDescent="0.25">
      <c r="A64">
        <v>3</v>
      </c>
      <c r="B64">
        <v>2</v>
      </c>
      <c r="C64">
        <v>1</v>
      </c>
      <c r="D64">
        <v>3</v>
      </c>
      <c r="E64" t="s">
        <v>35</v>
      </c>
      <c r="F64" t="s">
        <v>38</v>
      </c>
      <c r="G64">
        <v>3</v>
      </c>
      <c r="H64">
        <v>2586.44</v>
      </c>
      <c r="I64">
        <v>2578.92</v>
      </c>
      <c r="J64">
        <v>0.42790509259259257</v>
      </c>
      <c r="K64">
        <v>0.45833333333333331</v>
      </c>
      <c r="L64">
        <v>2584.9999999999982</v>
      </c>
      <c r="M64" s="8">
        <v>43.0833333333333</v>
      </c>
      <c r="N64">
        <v>7.5199999999999818</v>
      </c>
      <c r="O64">
        <v>7519.9999999999818</v>
      </c>
      <c r="P64" s="2">
        <v>0.66725820763087795</v>
      </c>
      <c r="Q64">
        <v>768.09</v>
      </c>
      <c r="R64">
        <v>7.6809000000000002E-2</v>
      </c>
      <c r="S64">
        <v>37.874349478458306</v>
      </c>
      <c r="T64">
        <v>32</v>
      </c>
      <c r="U64" s="8">
        <v>57</v>
      </c>
      <c r="V64">
        <v>4.7547753962618131</v>
      </c>
      <c r="W64">
        <f>V64*(U64/100)</f>
        <v>2.7102219758692332</v>
      </c>
      <c r="X64" s="12">
        <f>V64-W64</f>
        <v>2.0445534203925799</v>
      </c>
    </row>
    <row r="65" spans="1:30" x14ac:dyDescent="0.25">
      <c r="A65">
        <v>2</v>
      </c>
      <c r="B65">
        <v>2</v>
      </c>
      <c r="C65">
        <v>1</v>
      </c>
      <c r="D65">
        <v>1</v>
      </c>
      <c r="E65" t="s">
        <v>32</v>
      </c>
      <c r="F65" s="13" t="s">
        <v>42</v>
      </c>
      <c r="G65">
        <v>2</v>
      </c>
      <c r="H65">
        <v>3231.84</v>
      </c>
      <c r="I65">
        <v>3219.6</v>
      </c>
      <c r="J65" s="7">
        <v>0.42677083333333332</v>
      </c>
      <c r="K65" s="7">
        <v>0.45771990740740742</v>
      </c>
      <c r="L65">
        <f>+M65*60</f>
        <v>2640</v>
      </c>
      <c r="M65">
        <v>44</v>
      </c>
      <c r="N65">
        <f>+H65-I65</f>
        <v>12.240000000000236</v>
      </c>
      <c r="O65">
        <f>+N65*1000</f>
        <v>12240.000000000236</v>
      </c>
      <c r="P65" s="2">
        <v>0.82870683818552815</v>
      </c>
      <c r="Q65">
        <v>655.83</v>
      </c>
      <c r="R65">
        <v>6.5583000000000002E-2</v>
      </c>
      <c r="S65">
        <v>70.694595190273787</v>
      </c>
      <c r="T65">
        <v>32</v>
      </c>
      <c r="U65" s="8">
        <v>64.888888888888886</v>
      </c>
      <c r="V65">
        <v>4.7547753962618131</v>
      </c>
      <c r="W65">
        <v>3.0853209237965542</v>
      </c>
      <c r="X65" s="12">
        <v>1.6694544724652589</v>
      </c>
    </row>
    <row r="66" spans="1:30" x14ac:dyDescent="0.25">
      <c r="A66">
        <v>2</v>
      </c>
      <c r="B66">
        <v>2</v>
      </c>
      <c r="C66">
        <v>1</v>
      </c>
      <c r="D66">
        <v>5</v>
      </c>
      <c r="E66" t="s">
        <v>33</v>
      </c>
      <c r="F66" t="s">
        <v>38</v>
      </c>
      <c r="G66">
        <v>2</v>
      </c>
      <c r="H66">
        <v>1995.71</v>
      </c>
      <c r="I66">
        <v>1966.44</v>
      </c>
      <c r="J66" s="7">
        <v>0.42677083333333332</v>
      </c>
      <c r="K66" s="7">
        <v>0.45771990740740742</v>
      </c>
      <c r="L66">
        <f>+M66*60</f>
        <v>2640</v>
      </c>
      <c r="M66">
        <v>44</v>
      </c>
      <c r="N66">
        <f>+H66-I66</f>
        <v>29.269999999999982</v>
      </c>
      <c r="O66">
        <f>+N66*1000</f>
        <v>29269.999999999982</v>
      </c>
      <c r="P66" s="2">
        <v>0.78282963359188118</v>
      </c>
      <c r="Q66">
        <v>1635</v>
      </c>
      <c r="R66">
        <v>0.16350000000000001</v>
      </c>
      <c r="S66">
        <v>67.811138912056293</v>
      </c>
      <c r="T66">
        <v>32</v>
      </c>
      <c r="U66" s="8">
        <v>64.888888888888886</v>
      </c>
      <c r="V66">
        <v>4.7547753962618131</v>
      </c>
      <c r="W66">
        <v>3.0853209237965542</v>
      </c>
      <c r="X66" s="12">
        <v>1.6694544724652589</v>
      </c>
    </row>
    <row r="67" spans="1:30" x14ac:dyDescent="0.25">
      <c r="A67">
        <v>3</v>
      </c>
      <c r="B67">
        <v>1</v>
      </c>
      <c r="C67">
        <v>5</v>
      </c>
      <c r="D67">
        <v>5</v>
      </c>
      <c r="E67" t="s">
        <v>33</v>
      </c>
      <c r="F67" t="s">
        <v>38</v>
      </c>
      <c r="G67">
        <v>1</v>
      </c>
      <c r="H67">
        <v>2388.2800000000002</v>
      </c>
      <c r="I67">
        <v>2379.34</v>
      </c>
      <c r="J67">
        <v>0.48958333333333331</v>
      </c>
      <c r="K67">
        <v>0.52083333333333337</v>
      </c>
      <c r="L67">
        <v>2700</v>
      </c>
      <c r="M67" s="8">
        <v>45</v>
      </c>
      <c r="N67">
        <v>8.9400000000000546</v>
      </c>
      <c r="O67">
        <v>8940.0000000000546</v>
      </c>
      <c r="P67" s="2">
        <v>0.71520000000000439</v>
      </c>
      <c r="Q67">
        <v>767.57</v>
      </c>
      <c r="R67">
        <v>7.6757000000000006E-2</v>
      </c>
      <c r="S67">
        <v>43.137578476375197</v>
      </c>
      <c r="T67">
        <v>32</v>
      </c>
      <c r="U67" s="8">
        <v>79</v>
      </c>
      <c r="V67">
        <v>4.7547753962618131</v>
      </c>
      <c r="W67">
        <f t="shared" ref="W67:W97" si="18">V67*(U67/100)</f>
        <v>3.7562725630468323</v>
      </c>
      <c r="X67" s="12">
        <f t="shared" ref="X67:X97" si="19">V67-W67</f>
        <v>0.99850283321498079</v>
      </c>
    </row>
    <row r="68" spans="1:30" x14ac:dyDescent="0.25">
      <c r="A68">
        <v>3</v>
      </c>
      <c r="B68">
        <v>1</v>
      </c>
      <c r="C68">
        <v>5</v>
      </c>
      <c r="D68">
        <v>5</v>
      </c>
      <c r="E68" t="s">
        <v>33</v>
      </c>
      <c r="F68" t="s">
        <v>38</v>
      </c>
      <c r="G68">
        <v>2</v>
      </c>
      <c r="H68">
        <v>2376.87</v>
      </c>
      <c r="I68">
        <v>2368.98</v>
      </c>
      <c r="J68">
        <v>0.53055555555555556</v>
      </c>
      <c r="K68">
        <v>0.56180555555555556</v>
      </c>
      <c r="L68">
        <v>2700</v>
      </c>
      <c r="M68" s="8">
        <v>45</v>
      </c>
      <c r="N68">
        <v>7.8899999999998727</v>
      </c>
      <c r="O68">
        <v>7889.9999999998727</v>
      </c>
      <c r="P68" s="2">
        <v>0.63119999999998977</v>
      </c>
      <c r="Q68">
        <v>767.57</v>
      </c>
      <c r="R68">
        <v>7.6757000000000006E-2</v>
      </c>
      <c r="S68">
        <v>38.071084360021558</v>
      </c>
      <c r="T68">
        <v>32</v>
      </c>
      <c r="U68" s="8">
        <v>68</v>
      </c>
      <c r="V68">
        <v>4.7547753962618131</v>
      </c>
      <c r="W68">
        <f t="shared" si="18"/>
        <v>3.2332472694580332</v>
      </c>
      <c r="X68" s="12">
        <f t="shared" si="19"/>
        <v>1.5215281268037799</v>
      </c>
    </row>
    <row r="69" spans="1:30" x14ac:dyDescent="0.25">
      <c r="A69">
        <v>3</v>
      </c>
      <c r="B69">
        <v>1</v>
      </c>
      <c r="C69">
        <v>5</v>
      </c>
      <c r="D69">
        <v>5</v>
      </c>
      <c r="E69" t="s">
        <v>33</v>
      </c>
      <c r="F69" t="s">
        <v>38</v>
      </c>
      <c r="G69">
        <v>3</v>
      </c>
      <c r="H69">
        <v>2364.66</v>
      </c>
      <c r="I69">
        <v>2354.21</v>
      </c>
      <c r="J69">
        <v>0.57556712962962964</v>
      </c>
      <c r="K69">
        <v>0.60728009259259264</v>
      </c>
      <c r="L69">
        <v>2700</v>
      </c>
      <c r="M69" s="8">
        <v>45</v>
      </c>
      <c r="N69">
        <v>10.449999999999818</v>
      </c>
      <c r="O69">
        <v>10449.999999999818</v>
      </c>
      <c r="P69" s="2">
        <v>0.83599999999998542</v>
      </c>
      <c r="Q69">
        <v>767.57</v>
      </c>
      <c r="R69">
        <v>7.6757000000000006E-2</v>
      </c>
      <c r="S69">
        <v>50.423679538938501</v>
      </c>
      <c r="T69">
        <v>32</v>
      </c>
      <c r="U69" s="8">
        <v>57</v>
      </c>
      <c r="V69">
        <v>4.7547753962618131</v>
      </c>
      <c r="W69">
        <f t="shared" si="18"/>
        <v>2.7102219758692332</v>
      </c>
      <c r="X69" s="12">
        <f t="shared" si="19"/>
        <v>2.0445534203925799</v>
      </c>
    </row>
    <row r="70" spans="1:30" x14ac:dyDescent="0.25">
      <c r="A70">
        <v>3</v>
      </c>
      <c r="B70">
        <v>1</v>
      </c>
      <c r="C70">
        <v>5</v>
      </c>
      <c r="D70">
        <v>5</v>
      </c>
      <c r="E70" t="s">
        <v>33</v>
      </c>
      <c r="F70" t="s">
        <v>38</v>
      </c>
      <c r="G70">
        <v>4</v>
      </c>
      <c r="H70">
        <v>2346.83</v>
      </c>
      <c r="I70">
        <v>2335.5700000000002</v>
      </c>
      <c r="J70">
        <v>0.62638888888888888</v>
      </c>
      <c r="K70">
        <v>0.65733796296296299</v>
      </c>
      <c r="L70">
        <v>2640</v>
      </c>
      <c r="M70" s="8">
        <v>44</v>
      </c>
      <c r="N70">
        <v>11.259999999999764</v>
      </c>
      <c r="O70">
        <v>11259.999999999764</v>
      </c>
      <c r="P70" s="2">
        <v>0.90079999999998106</v>
      </c>
      <c r="Q70">
        <v>767.57</v>
      </c>
      <c r="R70">
        <v>7.6757000000000006E-2</v>
      </c>
      <c r="S70">
        <v>55.566938717659959</v>
      </c>
      <c r="T70">
        <v>32</v>
      </c>
      <c r="U70" s="8">
        <v>47</v>
      </c>
      <c r="V70">
        <v>4.7547753962618131</v>
      </c>
      <c r="W70">
        <f t="shared" si="18"/>
        <v>2.234744436243052</v>
      </c>
      <c r="X70" s="12">
        <f t="shared" si="19"/>
        <v>2.5200309600187611</v>
      </c>
    </row>
    <row r="71" spans="1:30" x14ac:dyDescent="0.25">
      <c r="A71">
        <v>3</v>
      </c>
      <c r="B71">
        <v>1</v>
      </c>
      <c r="C71">
        <v>5</v>
      </c>
      <c r="D71">
        <v>5</v>
      </c>
      <c r="E71" t="s">
        <v>33</v>
      </c>
      <c r="F71" t="s">
        <v>38</v>
      </c>
      <c r="G71">
        <v>5</v>
      </c>
      <c r="H71">
        <v>2328.08</v>
      </c>
      <c r="I71">
        <v>2314.8000000000002</v>
      </c>
      <c r="J71">
        <v>0.67721064814814813</v>
      </c>
      <c r="K71">
        <v>0.70833333333333337</v>
      </c>
      <c r="L71">
        <v>2640</v>
      </c>
      <c r="M71" s="8">
        <v>44</v>
      </c>
      <c r="N71">
        <v>13.279999999999745</v>
      </c>
      <c r="O71">
        <v>13279.999999999745</v>
      </c>
      <c r="P71" s="2">
        <v>1.0623999999999796</v>
      </c>
      <c r="Q71">
        <v>767.57</v>
      </c>
      <c r="R71">
        <v>7.6757000000000006E-2</v>
      </c>
      <c r="S71">
        <v>65.535430388146139</v>
      </c>
      <c r="T71">
        <v>32</v>
      </c>
      <c r="U71" s="8">
        <v>37</v>
      </c>
      <c r="V71">
        <v>4.7547753962618131</v>
      </c>
      <c r="W71">
        <f t="shared" si="18"/>
        <v>1.7592668966168707</v>
      </c>
      <c r="X71" s="12">
        <f t="shared" si="19"/>
        <v>2.9955084996449424</v>
      </c>
    </row>
    <row r="72" spans="1:30" x14ac:dyDescent="0.25">
      <c r="A72">
        <v>3</v>
      </c>
      <c r="B72">
        <v>1</v>
      </c>
      <c r="C72">
        <v>5</v>
      </c>
      <c r="D72">
        <v>5</v>
      </c>
      <c r="E72" t="s">
        <v>33</v>
      </c>
      <c r="F72" t="s">
        <v>38</v>
      </c>
      <c r="G72">
        <v>6</v>
      </c>
      <c r="H72">
        <v>2309.3000000000002</v>
      </c>
      <c r="I72">
        <v>2296.8000000000002</v>
      </c>
      <c r="J72">
        <v>0.72222222222222221</v>
      </c>
      <c r="K72">
        <v>0.7540162037037037</v>
      </c>
      <c r="L72">
        <v>2700</v>
      </c>
      <c r="M72" s="8">
        <v>45</v>
      </c>
      <c r="N72">
        <v>12.5</v>
      </c>
      <c r="O72">
        <v>12500</v>
      </c>
      <c r="P72" s="2">
        <v>1</v>
      </c>
      <c r="Q72">
        <v>767.57</v>
      </c>
      <c r="R72">
        <v>7.6757000000000006E-2</v>
      </c>
      <c r="S72">
        <v>60.31540614705667</v>
      </c>
      <c r="T72">
        <v>32</v>
      </c>
      <c r="U72" s="8">
        <v>24</v>
      </c>
      <c r="V72">
        <v>4.7547753962618131</v>
      </c>
      <c r="W72">
        <f t="shared" si="18"/>
        <v>1.1411460951028352</v>
      </c>
      <c r="X72" s="12">
        <f t="shared" si="19"/>
        <v>3.6136293011589782</v>
      </c>
    </row>
    <row r="73" spans="1:30" x14ac:dyDescent="0.25">
      <c r="A73">
        <v>3</v>
      </c>
      <c r="B73">
        <v>2</v>
      </c>
      <c r="C73">
        <v>5</v>
      </c>
      <c r="D73">
        <v>4</v>
      </c>
      <c r="E73" t="s">
        <v>33</v>
      </c>
      <c r="F73" t="s">
        <v>38</v>
      </c>
      <c r="G73">
        <v>2</v>
      </c>
      <c r="H73">
        <v>2439.5500000000002</v>
      </c>
      <c r="I73">
        <v>2431.36</v>
      </c>
      <c r="J73">
        <v>0.375</v>
      </c>
      <c r="K73">
        <v>0.40574074074074074</v>
      </c>
      <c r="L73">
        <v>2640</v>
      </c>
      <c r="M73" s="8">
        <v>44</v>
      </c>
      <c r="N73">
        <v>8.1900000000000546</v>
      </c>
      <c r="O73">
        <v>8190.0000000000546</v>
      </c>
      <c r="P73" s="2">
        <v>0.58836206896551813</v>
      </c>
      <c r="Q73">
        <v>767.57</v>
      </c>
      <c r="R73">
        <v>7.6757000000000006E-2</v>
      </c>
      <c r="S73">
        <v>40.416805337268883</v>
      </c>
      <c r="T73">
        <v>32</v>
      </c>
      <c r="U73" s="8">
        <v>68</v>
      </c>
      <c r="V73">
        <v>4.7547753962618131</v>
      </c>
      <c r="W73">
        <f t="shared" si="18"/>
        <v>3.2332472694580332</v>
      </c>
      <c r="X73" s="12">
        <f t="shared" si="19"/>
        <v>1.5215281268037799</v>
      </c>
    </row>
    <row r="74" spans="1:30" x14ac:dyDescent="0.25">
      <c r="A74">
        <v>3</v>
      </c>
      <c r="B74">
        <v>2</v>
      </c>
      <c r="C74">
        <v>5</v>
      </c>
      <c r="D74">
        <v>4</v>
      </c>
      <c r="E74" t="s">
        <v>33</v>
      </c>
      <c r="F74" t="s">
        <v>38</v>
      </c>
      <c r="G74">
        <v>3</v>
      </c>
      <c r="H74">
        <v>2425.5100000000002</v>
      </c>
      <c r="I74">
        <v>2416.44</v>
      </c>
      <c r="J74">
        <v>0.42790509259259257</v>
      </c>
      <c r="K74">
        <v>0.45833333333333331</v>
      </c>
      <c r="L74">
        <v>2580</v>
      </c>
      <c r="M74" s="8">
        <v>43</v>
      </c>
      <c r="N74">
        <v>9.0700000000001637</v>
      </c>
      <c r="O74">
        <v>9070.0000000001637</v>
      </c>
      <c r="P74" s="2">
        <v>0.65158045977012324</v>
      </c>
      <c r="Q74">
        <v>767.57</v>
      </c>
      <c r="R74">
        <v>7.6757000000000006E-2</v>
      </c>
      <c r="S74">
        <v>45.800433523575123</v>
      </c>
      <c r="T74">
        <v>32</v>
      </c>
      <c r="U74" s="8">
        <v>57</v>
      </c>
      <c r="V74">
        <v>4.7547753962618131</v>
      </c>
      <c r="W74">
        <f t="shared" si="18"/>
        <v>2.7102219758692332</v>
      </c>
      <c r="X74" s="12">
        <f t="shared" si="19"/>
        <v>2.0445534203925799</v>
      </c>
    </row>
    <row r="75" spans="1:30" x14ac:dyDescent="0.25">
      <c r="A75">
        <v>3</v>
      </c>
      <c r="B75">
        <v>2</v>
      </c>
      <c r="C75">
        <v>5</v>
      </c>
      <c r="D75">
        <v>4</v>
      </c>
      <c r="E75" t="s">
        <v>33</v>
      </c>
      <c r="F75" t="s">
        <v>38</v>
      </c>
      <c r="G75">
        <v>4</v>
      </c>
      <c r="H75">
        <v>2410.59</v>
      </c>
      <c r="I75">
        <v>2400.17</v>
      </c>
      <c r="J75">
        <v>0.47795138888888888</v>
      </c>
      <c r="K75">
        <v>0.50929398148148153</v>
      </c>
      <c r="L75">
        <v>2700</v>
      </c>
      <c r="M75" s="8">
        <v>45</v>
      </c>
      <c r="N75">
        <v>10.420000000000073</v>
      </c>
      <c r="O75">
        <v>10420.000000000073</v>
      </c>
      <c r="P75" s="2">
        <v>0.74856321839080586</v>
      </c>
      <c r="Q75">
        <v>767.57</v>
      </c>
      <c r="R75">
        <v>7.6757000000000006E-2</v>
      </c>
      <c r="S75">
        <v>50.278922564186793</v>
      </c>
      <c r="T75">
        <v>32</v>
      </c>
      <c r="U75" s="8">
        <v>47</v>
      </c>
      <c r="V75">
        <v>4.7547753962618131</v>
      </c>
      <c r="W75">
        <f t="shared" si="18"/>
        <v>2.234744436243052</v>
      </c>
      <c r="X75" s="12">
        <f t="shared" si="19"/>
        <v>2.5200309600187611</v>
      </c>
    </row>
    <row r="76" spans="1:30" x14ac:dyDescent="0.25">
      <c r="A76">
        <v>3</v>
      </c>
      <c r="B76">
        <v>2</v>
      </c>
      <c r="C76">
        <v>1</v>
      </c>
      <c r="D76">
        <v>4</v>
      </c>
      <c r="E76" t="s">
        <v>23</v>
      </c>
      <c r="F76" s="13" t="s">
        <v>39</v>
      </c>
      <c r="G76">
        <v>5</v>
      </c>
      <c r="H76">
        <v>2561.4699999999998</v>
      </c>
      <c r="I76">
        <v>2552.9499999999998</v>
      </c>
      <c r="J76">
        <v>0.52800925925925923</v>
      </c>
      <c r="K76">
        <v>0.55902777777777779</v>
      </c>
      <c r="L76">
        <v>2647.5</v>
      </c>
      <c r="M76" s="8">
        <v>44.125</v>
      </c>
      <c r="N76">
        <v>8.5199999999999818</v>
      </c>
      <c r="O76">
        <v>8519.9999999999818</v>
      </c>
      <c r="P76" s="2">
        <v>0.8145315487571656</v>
      </c>
      <c r="Q76">
        <v>640.79999999999995</v>
      </c>
      <c r="R76">
        <v>6.4079999999999998E-2</v>
      </c>
      <c r="S76">
        <v>50.220510480878964</v>
      </c>
      <c r="T76">
        <v>32</v>
      </c>
      <c r="U76" s="8">
        <v>37</v>
      </c>
      <c r="V76">
        <v>4.7547753962618131</v>
      </c>
      <c r="W76">
        <f t="shared" si="18"/>
        <v>1.7592668966168707</v>
      </c>
      <c r="X76" s="12">
        <f t="shared" si="19"/>
        <v>2.9955084996449424</v>
      </c>
      <c r="Y76" s="23">
        <v>0.21862000000000001</v>
      </c>
      <c r="Z76" s="23">
        <v>0.152057</v>
      </c>
      <c r="AA76" s="23">
        <v>0.20333799999999999</v>
      </c>
      <c r="AB76">
        <v>24.18</v>
      </c>
      <c r="AC76">
        <v>24.74</v>
      </c>
      <c r="AD76">
        <v>24.67</v>
      </c>
    </row>
    <row r="77" spans="1:30" x14ac:dyDescent="0.25">
      <c r="A77">
        <v>3</v>
      </c>
      <c r="B77">
        <v>2</v>
      </c>
      <c r="C77">
        <v>1</v>
      </c>
      <c r="D77">
        <v>1</v>
      </c>
      <c r="E77" t="s">
        <v>28</v>
      </c>
      <c r="F77" s="20" t="s">
        <v>40</v>
      </c>
      <c r="G77">
        <v>5</v>
      </c>
      <c r="H77">
        <v>2236.0100000000002</v>
      </c>
      <c r="I77">
        <v>2224.67</v>
      </c>
      <c r="J77">
        <v>0.52800925925925923</v>
      </c>
      <c r="K77">
        <v>0.55902777777777779</v>
      </c>
      <c r="L77">
        <v>2640</v>
      </c>
      <c r="M77" s="8">
        <v>44</v>
      </c>
      <c r="N77">
        <v>11.340000000000146</v>
      </c>
      <c r="O77">
        <v>11340.000000000146</v>
      </c>
      <c r="P77" s="2">
        <v>0.8111587982832712</v>
      </c>
      <c r="Q77">
        <v>824.25</v>
      </c>
      <c r="R77">
        <v>8.2424999999999998E-2</v>
      </c>
      <c r="S77">
        <v>52.11349160393813</v>
      </c>
      <c r="T77">
        <v>32</v>
      </c>
      <c r="U77" s="8">
        <v>37</v>
      </c>
      <c r="V77">
        <v>4.7547753962618131</v>
      </c>
      <c r="W77">
        <f t="shared" si="18"/>
        <v>1.7592668966168707</v>
      </c>
      <c r="X77" s="12">
        <f t="shared" si="19"/>
        <v>2.9955084996449424</v>
      </c>
      <c r="Y77" s="23">
        <v>0.19891800000000001</v>
      </c>
      <c r="Z77" s="23">
        <v>0.18399699999999999</v>
      </c>
      <c r="AA77" s="23">
        <v>0.23865700000000001</v>
      </c>
      <c r="AB77">
        <v>23.82</v>
      </c>
      <c r="AC77">
        <v>24.74</v>
      </c>
      <c r="AD77">
        <v>23.9</v>
      </c>
    </row>
    <row r="78" spans="1:30" x14ac:dyDescent="0.25">
      <c r="A78">
        <v>4</v>
      </c>
      <c r="B78">
        <v>1</v>
      </c>
      <c r="C78">
        <v>6</v>
      </c>
      <c r="D78">
        <v>1</v>
      </c>
      <c r="E78" t="s">
        <v>25</v>
      </c>
      <c r="F78" s="13" t="s">
        <v>41</v>
      </c>
      <c r="G78">
        <v>2</v>
      </c>
      <c r="H78">
        <v>2733.43</v>
      </c>
      <c r="I78">
        <v>2696.75</v>
      </c>
      <c r="J78" s="11">
        <v>0.39015046296296296</v>
      </c>
      <c r="K78" s="11">
        <v>0.4216435185185185</v>
      </c>
      <c r="L78">
        <f t="shared" ref="L78:L92" si="20">M78*60</f>
        <v>2700</v>
      </c>
      <c r="M78" s="8">
        <v>45</v>
      </c>
      <c r="N78" s="8">
        <f t="shared" ref="N78:N92" si="21">H78-I78</f>
        <v>36.679999999999836</v>
      </c>
      <c r="O78">
        <f t="shared" ref="O78:O92" si="22">N78*1000</f>
        <v>36679.99999999984</v>
      </c>
      <c r="P78" s="2">
        <v>0.78830861809584529</v>
      </c>
      <c r="Q78">
        <v>3248.02</v>
      </c>
      <c r="R78">
        <f t="shared" ref="R78:R87" si="23">+Q78/10000</f>
        <v>0.32480199999999998</v>
      </c>
      <c r="S78">
        <f t="shared" ref="S78:S92" si="24">O78/(R78*L78)</f>
        <v>41.826051518109885</v>
      </c>
      <c r="T78">
        <v>32</v>
      </c>
      <c r="U78" s="8">
        <v>68</v>
      </c>
      <c r="V78">
        <f t="shared" ref="V78:V92" si="25">0.6108*EXP((17.27*T78)/(T78+237.3))</f>
        <v>4.7547753962618131</v>
      </c>
      <c r="W78">
        <f t="shared" si="18"/>
        <v>3.2332472694580332</v>
      </c>
      <c r="X78" s="12">
        <f t="shared" si="19"/>
        <v>1.5215281268037799</v>
      </c>
      <c r="Y78" s="23">
        <v>0.63190800000000003</v>
      </c>
      <c r="Z78" s="23">
        <v>0.62806200000000001</v>
      </c>
      <c r="AA78" s="23">
        <v>0.519478</v>
      </c>
      <c r="AB78">
        <v>27.23</v>
      </c>
      <c r="AC78">
        <v>27.51</v>
      </c>
      <c r="AD78">
        <v>27.54</v>
      </c>
    </row>
    <row r="79" spans="1:30" x14ac:dyDescent="0.25">
      <c r="A79">
        <v>4</v>
      </c>
      <c r="B79">
        <v>1</v>
      </c>
      <c r="C79">
        <v>6</v>
      </c>
      <c r="D79">
        <v>4</v>
      </c>
      <c r="E79" t="s">
        <v>32</v>
      </c>
      <c r="F79" s="13" t="s">
        <v>42</v>
      </c>
      <c r="G79">
        <v>2</v>
      </c>
      <c r="H79">
        <v>2668.02</v>
      </c>
      <c r="I79">
        <v>2636.05</v>
      </c>
      <c r="J79" s="11">
        <v>0.39015046296296296</v>
      </c>
      <c r="K79" s="11">
        <v>0.4216435185185185</v>
      </c>
      <c r="L79">
        <f t="shared" si="20"/>
        <v>2700</v>
      </c>
      <c r="M79" s="8">
        <v>45</v>
      </c>
      <c r="N79" s="8">
        <f t="shared" si="21"/>
        <v>31.9699999999998</v>
      </c>
      <c r="O79">
        <f t="shared" si="22"/>
        <v>31969.9999999998</v>
      </c>
      <c r="P79" s="2">
        <v>0.65971935617003252</v>
      </c>
      <c r="Q79">
        <v>4004.66</v>
      </c>
      <c r="R79">
        <f t="shared" si="23"/>
        <v>0.40046599999999999</v>
      </c>
      <c r="S79">
        <f t="shared" si="24"/>
        <v>29.567405824066629</v>
      </c>
      <c r="T79">
        <v>32</v>
      </c>
      <c r="U79" s="8">
        <v>68</v>
      </c>
      <c r="V79">
        <f t="shared" si="25"/>
        <v>4.7547753962618131</v>
      </c>
      <c r="W79">
        <f t="shared" si="18"/>
        <v>3.2332472694580332</v>
      </c>
      <c r="X79" s="12">
        <f t="shared" si="19"/>
        <v>1.5215281268037799</v>
      </c>
      <c r="Y79" s="23">
        <v>0.30318299999999998</v>
      </c>
      <c r="Z79" s="23">
        <v>0.36693799999999999</v>
      </c>
      <c r="AA79" s="23">
        <v>0.34784599999999999</v>
      </c>
      <c r="AB79">
        <v>27.67</v>
      </c>
      <c r="AC79">
        <v>27.83</v>
      </c>
      <c r="AD79">
        <v>27.78</v>
      </c>
    </row>
    <row r="80" spans="1:30" x14ac:dyDescent="0.25">
      <c r="A80">
        <v>4</v>
      </c>
      <c r="B80">
        <v>1</v>
      </c>
      <c r="C80">
        <v>4</v>
      </c>
      <c r="D80">
        <v>1</v>
      </c>
      <c r="E80" t="s">
        <v>26</v>
      </c>
      <c r="F80" s="13" t="s">
        <v>41</v>
      </c>
      <c r="G80">
        <v>2</v>
      </c>
      <c r="H80">
        <v>2543.4299999999998</v>
      </c>
      <c r="I80">
        <v>2515.89</v>
      </c>
      <c r="J80" s="11">
        <v>0.39015046296296296</v>
      </c>
      <c r="K80" s="11">
        <v>0.4216435185185185</v>
      </c>
      <c r="L80">
        <f t="shared" si="20"/>
        <v>2700</v>
      </c>
      <c r="M80" s="8">
        <v>45</v>
      </c>
      <c r="N80" s="8">
        <f t="shared" si="21"/>
        <v>27.539999999999964</v>
      </c>
      <c r="O80">
        <f t="shared" si="22"/>
        <v>27539.999999999964</v>
      </c>
      <c r="P80" s="2">
        <v>0.72569169960474555</v>
      </c>
      <c r="Q80">
        <v>3146.27</v>
      </c>
      <c r="R80">
        <f t="shared" si="23"/>
        <v>0.31462699999999999</v>
      </c>
      <c r="S80">
        <f t="shared" si="24"/>
        <v>32.419340997435015</v>
      </c>
      <c r="T80">
        <v>32</v>
      </c>
      <c r="U80" s="8">
        <v>68</v>
      </c>
      <c r="V80">
        <f t="shared" si="25"/>
        <v>4.7547753962618131</v>
      </c>
      <c r="W80">
        <f t="shared" si="18"/>
        <v>3.2332472694580332</v>
      </c>
      <c r="X80" s="12">
        <f t="shared" si="19"/>
        <v>1.5215281268037799</v>
      </c>
      <c r="Y80" s="23">
        <v>0.46300999999999998</v>
      </c>
      <c r="Z80" s="23">
        <v>0.46343099999999998</v>
      </c>
      <c r="AA80" s="23">
        <v>0.44247700000000001</v>
      </c>
      <c r="AB80">
        <v>26.51</v>
      </c>
      <c r="AC80">
        <v>26.54</v>
      </c>
      <c r="AD80">
        <v>26.83</v>
      </c>
    </row>
    <row r="81" spans="1:30" x14ac:dyDescent="0.25">
      <c r="A81">
        <v>4</v>
      </c>
      <c r="B81">
        <v>1</v>
      </c>
      <c r="C81">
        <v>1</v>
      </c>
      <c r="D81">
        <v>2</v>
      </c>
      <c r="E81" t="s">
        <v>29</v>
      </c>
      <c r="F81" s="13" t="s">
        <v>42</v>
      </c>
      <c r="G81">
        <v>2</v>
      </c>
      <c r="H81">
        <v>2886.58</v>
      </c>
      <c r="I81">
        <v>2851.27</v>
      </c>
      <c r="J81" s="11">
        <v>0.39015046296296296</v>
      </c>
      <c r="K81" s="11">
        <v>0.4216435185185185</v>
      </c>
      <c r="L81">
        <f t="shared" si="20"/>
        <v>2700</v>
      </c>
      <c r="M81" s="8">
        <v>45</v>
      </c>
      <c r="N81" s="8">
        <f t="shared" si="21"/>
        <v>35.309999999999945</v>
      </c>
      <c r="O81">
        <f t="shared" si="22"/>
        <v>35309.999999999942</v>
      </c>
      <c r="P81" s="2">
        <v>0.65243902439024415</v>
      </c>
      <c r="Q81">
        <v>4071.71</v>
      </c>
      <c r="R81">
        <f t="shared" si="23"/>
        <v>0.40717100000000001</v>
      </c>
      <c r="S81">
        <f t="shared" si="24"/>
        <v>32.118637569418638</v>
      </c>
      <c r="T81">
        <v>32</v>
      </c>
      <c r="U81" s="8">
        <v>68</v>
      </c>
      <c r="V81">
        <f t="shared" si="25"/>
        <v>4.7547753962618131</v>
      </c>
      <c r="W81">
        <f t="shared" si="18"/>
        <v>3.2332472694580332</v>
      </c>
      <c r="X81" s="12">
        <f t="shared" si="19"/>
        <v>1.5215281268037799</v>
      </c>
      <c r="Y81" s="23">
        <v>0.298981</v>
      </c>
      <c r="Z81" s="23">
        <v>0.41264600000000001</v>
      </c>
      <c r="AA81" s="23">
        <v>0.39904000000000001</v>
      </c>
      <c r="AB81">
        <v>23.02</v>
      </c>
      <c r="AC81">
        <v>23.65</v>
      </c>
      <c r="AD81">
        <v>24.12</v>
      </c>
    </row>
    <row r="82" spans="1:30" x14ac:dyDescent="0.25">
      <c r="A82">
        <v>4</v>
      </c>
      <c r="B82">
        <v>1</v>
      </c>
      <c r="C82">
        <v>5</v>
      </c>
      <c r="D82">
        <v>5</v>
      </c>
      <c r="E82" t="s">
        <v>30</v>
      </c>
      <c r="F82" s="13" t="s">
        <v>39</v>
      </c>
      <c r="G82">
        <v>2</v>
      </c>
      <c r="H82">
        <v>2652.92</v>
      </c>
      <c r="I82">
        <v>2623.44</v>
      </c>
      <c r="J82" s="11">
        <v>0.39015046296296296</v>
      </c>
      <c r="K82" s="11">
        <v>0.4216435185185185</v>
      </c>
      <c r="L82">
        <f t="shared" si="20"/>
        <v>2700</v>
      </c>
      <c r="M82" s="8">
        <v>45</v>
      </c>
      <c r="N82" s="8">
        <f t="shared" si="21"/>
        <v>29.480000000000018</v>
      </c>
      <c r="O82">
        <f t="shared" si="22"/>
        <v>29480.000000000018</v>
      </c>
      <c r="P82" s="2">
        <v>0.66636528028932784</v>
      </c>
      <c r="Q82">
        <v>2899.36</v>
      </c>
      <c r="R82">
        <f t="shared" si="23"/>
        <v>0.28993600000000003</v>
      </c>
      <c r="S82">
        <f t="shared" si="24"/>
        <v>37.658374670680857</v>
      </c>
      <c r="T82">
        <v>32</v>
      </c>
      <c r="U82" s="8">
        <v>68</v>
      </c>
      <c r="V82">
        <f t="shared" si="25"/>
        <v>4.7547753962618131</v>
      </c>
      <c r="W82">
        <f t="shared" si="18"/>
        <v>3.2332472694580332</v>
      </c>
      <c r="X82" s="12">
        <f t="shared" si="19"/>
        <v>1.5215281268037799</v>
      </c>
      <c r="Y82" s="23">
        <v>0.81658799999999998</v>
      </c>
      <c r="Z82" s="23">
        <v>0.84395100000000001</v>
      </c>
      <c r="AA82" s="23">
        <v>0.62153499999999995</v>
      </c>
      <c r="AB82">
        <v>27.45</v>
      </c>
      <c r="AC82">
        <v>27.45</v>
      </c>
      <c r="AD82">
        <v>27.72</v>
      </c>
    </row>
    <row r="83" spans="1:30" x14ac:dyDescent="0.25">
      <c r="A83">
        <v>4</v>
      </c>
      <c r="B83">
        <v>2</v>
      </c>
      <c r="C83">
        <v>6</v>
      </c>
      <c r="D83">
        <v>1</v>
      </c>
      <c r="E83" t="s">
        <v>25</v>
      </c>
      <c r="F83" s="13" t="s">
        <v>41</v>
      </c>
      <c r="G83">
        <v>1</v>
      </c>
      <c r="H83">
        <v>2622.77</v>
      </c>
      <c r="I83">
        <v>2592.06</v>
      </c>
      <c r="J83" s="11">
        <v>0.37622685185185184</v>
      </c>
      <c r="K83" s="11">
        <v>0.40423611111111113</v>
      </c>
      <c r="L83">
        <f t="shared" si="20"/>
        <v>2400</v>
      </c>
      <c r="M83" s="8">
        <v>40</v>
      </c>
      <c r="N83" s="8">
        <f t="shared" si="21"/>
        <v>30.710000000000036</v>
      </c>
      <c r="O83">
        <f t="shared" si="22"/>
        <v>30710.000000000036</v>
      </c>
      <c r="P83" s="2">
        <v>0.67287467134092493</v>
      </c>
      <c r="Q83">
        <v>3248.02</v>
      </c>
      <c r="R83">
        <f t="shared" si="23"/>
        <v>0.32480199999999998</v>
      </c>
      <c r="S83">
        <f t="shared" si="24"/>
        <v>39.39579600289823</v>
      </c>
      <c r="T83">
        <v>32</v>
      </c>
      <c r="U83" s="8">
        <v>80</v>
      </c>
      <c r="V83">
        <f t="shared" si="25"/>
        <v>4.7547753962618131</v>
      </c>
      <c r="W83">
        <f t="shared" si="18"/>
        <v>3.8038203170094507</v>
      </c>
      <c r="X83" s="12">
        <f t="shared" si="19"/>
        <v>0.95095507925236245</v>
      </c>
      <c r="Y83" s="22">
        <v>0.54123600000000005</v>
      </c>
      <c r="Z83" s="22">
        <v>0.83352800000000005</v>
      </c>
      <c r="AA83" s="22">
        <v>0.59716400000000003</v>
      </c>
      <c r="AB83">
        <v>28.43</v>
      </c>
      <c r="AC83">
        <v>28.3</v>
      </c>
      <c r="AD83">
        <v>28.33</v>
      </c>
    </row>
    <row r="84" spans="1:30" x14ac:dyDescent="0.25">
      <c r="A84">
        <v>4</v>
      </c>
      <c r="B84">
        <v>2</v>
      </c>
      <c r="C84">
        <v>6</v>
      </c>
      <c r="D84">
        <v>4</v>
      </c>
      <c r="E84" t="s">
        <v>32</v>
      </c>
      <c r="F84" s="13" t="s">
        <v>42</v>
      </c>
      <c r="G84">
        <v>1</v>
      </c>
      <c r="H84">
        <v>2624.55</v>
      </c>
      <c r="I84">
        <v>2593.61</v>
      </c>
      <c r="J84" s="11">
        <v>0.37622685185185184</v>
      </c>
      <c r="K84" s="11">
        <v>0.40423611111111113</v>
      </c>
      <c r="L84">
        <f t="shared" si="20"/>
        <v>2400</v>
      </c>
      <c r="M84" s="8">
        <v>40</v>
      </c>
      <c r="N84" s="8">
        <f t="shared" si="21"/>
        <v>30.940000000000055</v>
      </c>
      <c r="O84">
        <f t="shared" si="22"/>
        <v>30940.000000000055</v>
      </c>
      <c r="P84" s="2">
        <v>0.50746268656716675</v>
      </c>
      <c r="Q84">
        <v>4004.66</v>
      </c>
      <c r="R84">
        <f t="shared" si="23"/>
        <v>0.40046599999999999</v>
      </c>
      <c r="S84">
        <f t="shared" si="24"/>
        <v>32.191663378830391</v>
      </c>
      <c r="T84">
        <v>32</v>
      </c>
      <c r="U84" s="8">
        <v>80</v>
      </c>
      <c r="V84">
        <f t="shared" si="25"/>
        <v>4.7547753962618131</v>
      </c>
      <c r="W84">
        <f t="shared" si="18"/>
        <v>3.8038203170094507</v>
      </c>
      <c r="X84" s="12">
        <f t="shared" si="19"/>
        <v>0.95095507925236245</v>
      </c>
      <c r="Y84" s="22">
        <v>0.70746799999999999</v>
      </c>
      <c r="Z84" s="22">
        <v>0.81862699999999999</v>
      </c>
      <c r="AA84" s="22">
        <v>0.75047600000000003</v>
      </c>
      <c r="AB84">
        <v>27.96</v>
      </c>
      <c r="AC84">
        <v>28.14</v>
      </c>
      <c r="AD84">
        <v>28.11</v>
      </c>
    </row>
    <row r="85" spans="1:30" x14ac:dyDescent="0.25">
      <c r="A85">
        <v>4</v>
      </c>
      <c r="B85">
        <v>2</v>
      </c>
      <c r="C85">
        <v>4</v>
      </c>
      <c r="D85">
        <v>1</v>
      </c>
      <c r="E85" t="s">
        <v>26</v>
      </c>
      <c r="F85" s="13" t="s">
        <v>41</v>
      </c>
      <c r="G85">
        <v>1</v>
      </c>
      <c r="H85">
        <v>2511.9699999999998</v>
      </c>
      <c r="I85">
        <v>2487.17</v>
      </c>
      <c r="J85" s="11">
        <v>0.37622685185185184</v>
      </c>
      <c r="K85" s="11">
        <v>0.40423611111111113</v>
      </c>
      <c r="L85">
        <f t="shared" si="20"/>
        <v>2400</v>
      </c>
      <c r="M85" s="8">
        <v>40</v>
      </c>
      <c r="N85" s="8">
        <f t="shared" si="21"/>
        <v>24.799999999999727</v>
      </c>
      <c r="O85">
        <f t="shared" si="22"/>
        <v>24799.999999999727</v>
      </c>
      <c r="P85" s="2">
        <v>0.52002516250785691</v>
      </c>
      <c r="Q85">
        <v>3146.27</v>
      </c>
      <c r="R85">
        <f t="shared" si="23"/>
        <v>0.31462699999999999</v>
      </c>
      <c r="S85">
        <f t="shared" si="24"/>
        <v>32.843123232695291</v>
      </c>
      <c r="T85">
        <v>32</v>
      </c>
      <c r="U85" s="8">
        <v>80</v>
      </c>
      <c r="V85">
        <f t="shared" si="25"/>
        <v>4.7547753962618131</v>
      </c>
      <c r="W85">
        <f t="shared" si="18"/>
        <v>3.8038203170094507</v>
      </c>
      <c r="X85" s="12">
        <f t="shared" si="19"/>
        <v>0.95095507925236245</v>
      </c>
      <c r="Y85" s="22">
        <v>0.51330399999999998</v>
      </c>
      <c r="Z85" s="22">
        <v>0.377413</v>
      </c>
      <c r="AA85" s="22">
        <v>0.48674400000000001</v>
      </c>
      <c r="AB85">
        <v>27.83</v>
      </c>
      <c r="AC85">
        <v>28.14</v>
      </c>
      <c r="AD85">
        <v>28.46</v>
      </c>
    </row>
    <row r="86" spans="1:30" x14ac:dyDescent="0.25">
      <c r="A86">
        <v>4</v>
      </c>
      <c r="B86">
        <v>2</v>
      </c>
      <c r="C86">
        <v>1</v>
      </c>
      <c r="D86">
        <v>2</v>
      </c>
      <c r="E86" t="s">
        <v>29</v>
      </c>
      <c r="F86" s="13" t="s">
        <v>42</v>
      </c>
      <c r="G86">
        <v>1</v>
      </c>
      <c r="H86">
        <v>2697.26</v>
      </c>
      <c r="I86">
        <v>2667.82</v>
      </c>
      <c r="J86" s="11">
        <v>0.37622685185185184</v>
      </c>
      <c r="K86" s="11">
        <v>0.40423611111111113</v>
      </c>
      <c r="L86">
        <f t="shared" si="20"/>
        <v>2400</v>
      </c>
      <c r="M86" s="8">
        <v>40</v>
      </c>
      <c r="N86" s="8">
        <f t="shared" si="21"/>
        <v>29.440000000000055</v>
      </c>
      <c r="O86">
        <f t="shared" si="22"/>
        <v>29440.000000000055</v>
      </c>
      <c r="P86" s="2">
        <v>0.50645105797351164</v>
      </c>
      <c r="Q86">
        <v>4071.71</v>
      </c>
      <c r="R86">
        <f t="shared" si="23"/>
        <v>0.40717100000000001</v>
      </c>
      <c r="S86">
        <f t="shared" si="24"/>
        <v>30.126572537500678</v>
      </c>
      <c r="T86">
        <v>32</v>
      </c>
      <c r="U86" s="8">
        <v>80</v>
      </c>
      <c r="V86">
        <f t="shared" si="25"/>
        <v>4.7547753962618131</v>
      </c>
      <c r="W86">
        <f t="shared" si="18"/>
        <v>3.8038203170094507</v>
      </c>
      <c r="X86" s="12">
        <f t="shared" si="19"/>
        <v>0.95095507925236245</v>
      </c>
      <c r="Y86" s="22">
        <v>0.76571800000000001</v>
      </c>
      <c r="Z86" s="22">
        <v>0.65778599999999998</v>
      </c>
      <c r="AA86" s="22">
        <v>0.61274099999999998</v>
      </c>
      <c r="AB86">
        <v>25.08</v>
      </c>
      <c r="AC86">
        <v>25.72</v>
      </c>
      <c r="AD86">
        <v>25.86</v>
      </c>
    </row>
    <row r="87" spans="1:30" x14ac:dyDescent="0.25">
      <c r="A87">
        <v>4</v>
      </c>
      <c r="B87">
        <v>2</v>
      </c>
      <c r="C87">
        <v>5</v>
      </c>
      <c r="D87">
        <v>5</v>
      </c>
      <c r="E87" t="s">
        <v>30</v>
      </c>
      <c r="F87" s="13" t="s">
        <v>39</v>
      </c>
      <c r="G87">
        <v>1</v>
      </c>
      <c r="H87">
        <v>2586.34</v>
      </c>
      <c r="I87">
        <v>2558.23</v>
      </c>
      <c r="J87" s="11">
        <v>0.37622685185185184</v>
      </c>
      <c r="K87" s="11">
        <v>0.40423611111111113</v>
      </c>
      <c r="L87">
        <f t="shared" si="20"/>
        <v>2400</v>
      </c>
      <c r="M87" s="8">
        <v>40</v>
      </c>
      <c r="N87" s="8">
        <f t="shared" si="21"/>
        <v>28.110000000000127</v>
      </c>
      <c r="O87">
        <f t="shared" si="22"/>
        <v>28110.000000000127</v>
      </c>
      <c r="P87" s="2">
        <v>0.5038537372288967</v>
      </c>
      <c r="Q87">
        <v>2899.36</v>
      </c>
      <c r="R87">
        <f t="shared" si="23"/>
        <v>0.28993600000000003</v>
      </c>
      <c r="S87">
        <f t="shared" si="24"/>
        <v>40.396846200540992</v>
      </c>
      <c r="T87">
        <v>32</v>
      </c>
      <c r="U87" s="8">
        <v>80</v>
      </c>
      <c r="V87">
        <f t="shared" si="25"/>
        <v>4.7547753962618131</v>
      </c>
      <c r="W87">
        <f t="shared" si="18"/>
        <v>3.8038203170094507</v>
      </c>
      <c r="X87" s="12">
        <f t="shared" si="19"/>
        <v>0.95095507925236245</v>
      </c>
      <c r="Y87" s="24">
        <v>1.3982330000000001</v>
      </c>
      <c r="Z87" s="22">
        <v>0.95274999999999999</v>
      </c>
      <c r="AA87" s="22">
        <v>0.97528000000000004</v>
      </c>
      <c r="AB87">
        <v>27.49</v>
      </c>
      <c r="AC87">
        <v>27.92</v>
      </c>
      <c r="AD87">
        <v>28.09</v>
      </c>
    </row>
    <row r="88" spans="1:30" x14ac:dyDescent="0.25">
      <c r="A88">
        <v>1</v>
      </c>
      <c r="B88" s="1">
        <v>1</v>
      </c>
      <c r="C88" s="1">
        <v>1</v>
      </c>
      <c r="D88" s="1">
        <v>1</v>
      </c>
      <c r="E88" s="1" t="s">
        <v>23</v>
      </c>
      <c r="F88" s="13" t="s">
        <v>39</v>
      </c>
      <c r="G88" s="1">
        <v>2</v>
      </c>
      <c r="H88" s="2">
        <v>2480.2771428571427</v>
      </c>
      <c r="I88" s="2">
        <v>2473.2971428571427</v>
      </c>
      <c r="J88" s="3">
        <v>0.35893518518518519</v>
      </c>
      <c r="K88" s="3">
        <v>0.38979166666666665</v>
      </c>
      <c r="L88" s="1">
        <f t="shared" si="20"/>
        <v>2655.6</v>
      </c>
      <c r="M88" s="1">
        <v>44.26</v>
      </c>
      <c r="N88" s="4">
        <f t="shared" si="21"/>
        <v>6.9800000000000182</v>
      </c>
      <c r="O88" s="4">
        <f t="shared" si="22"/>
        <v>6980.0000000000182</v>
      </c>
      <c r="P88" s="4">
        <v>0.39569160997732816</v>
      </c>
      <c r="Q88">
        <v>747</v>
      </c>
      <c r="R88" s="1">
        <f>Q88/10000</f>
        <v>7.4700000000000003E-2</v>
      </c>
      <c r="S88" s="5">
        <f t="shared" si="24"/>
        <v>35.18618330327898</v>
      </c>
      <c r="T88" s="4">
        <v>32</v>
      </c>
      <c r="U88">
        <v>71</v>
      </c>
      <c r="V88">
        <f t="shared" si="25"/>
        <v>4.7547753962618131</v>
      </c>
      <c r="W88">
        <f t="shared" si="18"/>
        <v>3.3758905313458873</v>
      </c>
      <c r="X88" s="6">
        <f t="shared" si="19"/>
        <v>1.3788848649159258</v>
      </c>
    </row>
    <row r="89" spans="1:30" x14ac:dyDescent="0.25">
      <c r="A89">
        <v>1</v>
      </c>
      <c r="B89" s="1">
        <v>1</v>
      </c>
      <c r="C89" s="1">
        <v>1</v>
      </c>
      <c r="D89" s="1">
        <v>1</v>
      </c>
      <c r="E89" s="1" t="s">
        <v>23</v>
      </c>
      <c r="F89" s="13" t="s">
        <v>39</v>
      </c>
      <c r="G89" s="1">
        <v>3</v>
      </c>
      <c r="H89">
        <v>2461.2800000000002</v>
      </c>
      <c r="I89">
        <v>2445.73</v>
      </c>
      <c r="J89" s="7">
        <v>0.41251157407407407</v>
      </c>
      <c r="K89" s="7">
        <v>0.44452546296296297</v>
      </c>
      <c r="L89" s="1">
        <f t="shared" si="20"/>
        <v>2643.6000000000004</v>
      </c>
      <c r="M89" s="4">
        <v>44.06</v>
      </c>
      <c r="N89" s="4">
        <f t="shared" si="21"/>
        <v>15.550000000000182</v>
      </c>
      <c r="O89" s="4">
        <f t="shared" si="22"/>
        <v>15550.000000000182</v>
      </c>
      <c r="P89" s="4">
        <v>0.88151927437643396</v>
      </c>
      <c r="Q89">
        <v>747</v>
      </c>
      <c r="R89" s="1">
        <f>Q89/10000</f>
        <v>7.4700000000000003E-2</v>
      </c>
      <c r="S89" s="5">
        <f t="shared" si="24"/>
        <v>78.743379226292262</v>
      </c>
      <c r="T89" s="4">
        <v>32</v>
      </c>
      <c r="U89" s="8">
        <f>+AVERAGE([1]humidity!$B$20430:$B$20523)</f>
        <v>58.276595744680854</v>
      </c>
      <c r="V89">
        <f t="shared" si="25"/>
        <v>4.7547753962618131</v>
      </c>
      <c r="W89">
        <f t="shared" si="18"/>
        <v>2.7709212362470441</v>
      </c>
      <c r="X89" s="6">
        <f t="shared" si="19"/>
        <v>1.983854160014769</v>
      </c>
    </row>
    <row r="90" spans="1:30" x14ac:dyDescent="0.25">
      <c r="A90">
        <v>1</v>
      </c>
      <c r="B90" s="1">
        <v>1</v>
      </c>
      <c r="C90" s="1">
        <v>1</v>
      </c>
      <c r="D90" s="1">
        <v>1</v>
      </c>
      <c r="E90" s="1" t="s">
        <v>23</v>
      </c>
      <c r="F90" s="13" t="s">
        <v>39</v>
      </c>
      <c r="G90" s="1">
        <v>4</v>
      </c>
      <c r="H90">
        <v>2434.2199999999998</v>
      </c>
      <c r="I90">
        <v>2418.48</v>
      </c>
      <c r="J90" s="7">
        <v>0.46377314814814813</v>
      </c>
      <c r="K90" s="7">
        <v>0.49486111111111108</v>
      </c>
      <c r="L90" s="1">
        <f t="shared" si="20"/>
        <v>2667.6</v>
      </c>
      <c r="M90" s="4">
        <v>44.46</v>
      </c>
      <c r="N90" s="4">
        <f t="shared" si="21"/>
        <v>15.739999999999782</v>
      </c>
      <c r="O90" s="4">
        <f t="shared" si="22"/>
        <v>15739.999999999782</v>
      </c>
      <c r="P90" s="4">
        <v>0.89229024943310065</v>
      </c>
      <c r="Q90">
        <v>747</v>
      </c>
      <c r="R90" s="1">
        <f>Q90/10000</f>
        <v>7.4700000000000003E-2</v>
      </c>
      <c r="S90" s="5">
        <f t="shared" si="24"/>
        <v>78.9884183106183</v>
      </c>
      <c r="T90" s="4">
        <v>32</v>
      </c>
      <c r="U90" s="8">
        <f>+AVERAGE([1]humidity!$B$20576:$B$20667)</f>
        <v>47.380434782608695</v>
      </c>
      <c r="V90">
        <f t="shared" si="25"/>
        <v>4.7547753962618131</v>
      </c>
      <c r="W90">
        <f t="shared" si="18"/>
        <v>2.2528332556853523</v>
      </c>
      <c r="X90" s="6">
        <f t="shared" si="19"/>
        <v>2.5019421405764608</v>
      </c>
    </row>
    <row r="91" spans="1:30" x14ac:dyDescent="0.25">
      <c r="A91">
        <v>1</v>
      </c>
      <c r="B91" s="1">
        <v>1</v>
      </c>
      <c r="C91" s="1">
        <v>1</v>
      </c>
      <c r="D91" s="1">
        <v>1</v>
      </c>
      <c r="E91" s="1" t="s">
        <v>23</v>
      </c>
      <c r="F91" s="13" t="s">
        <v>39</v>
      </c>
      <c r="G91" s="1">
        <v>5</v>
      </c>
      <c r="H91">
        <v>2405.69</v>
      </c>
      <c r="I91">
        <v>2388.87</v>
      </c>
      <c r="J91" s="7">
        <v>0.51785879629629628</v>
      </c>
      <c r="K91" s="7">
        <v>0.54924768518518519</v>
      </c>
      <c r="L91" s="1">
        <f t="shared" si="20"/>
        <v>2707.2</v>
      </c>
      <c r="M91" s="4">
        <v>45.12</v>
      </c>
      <c r="N91" s="4">
        <f t="shared" si="21"/>
        <v>16.820000000000164</v>
      </c>
      <c r="O91" s="4">
        <f t="shared" si="22"/>
        <v>16820.000000000164</v>
      </c>
      <c r="P91" s="4">
        <v>0.95351473922904106</v>
      </c>
      <c r="Q91">
        <v>747</v>
      </c>
      <c r="R91" s="1">
        <f>Q91/10000</f>
        <v>7.4700000000000003E-2</v>
      </c>
      <c r="S91" s="5">
        <f t="shared" si="24"/>
        <v>83.173513597337362</v>
      </c>
      <c r="T91" s="4">
        <v>32</v>
      </c>
      <c r="U91" s="8">
        <f>+AVERAGE([1]humidity!$B$20731:$B$20822)</f>
        <v>37.228260869565219</v>
      </c>
      <c r="V91">
        <f t="shared" si="25"/>
        <v>4.7547753962618131</v>
      </c>
      <c r="W91">
        <f t="shared" si="18"/>
        <v>1.770120188282251</v>
      </c>
      <c r="X91" s="6">
        <f t="shared" si="19"/>
        <v>2.9846552079795621</v>
      </c>
    </row>
    <row r="92" spans="1:30" x14ac:dyDescent="0.25">
      <c r="A92">
        <v>1</v>
      </c>
      <c r="B92" s="1">
        <v>1</v>
      </c>
      <c r="C92" s="1">
        <v>1</v>
      </c>
      <c r="D92" s="1">
        <v>1</v>
      </c>
      <c r="E92" s="1" t="s">
        <v>23</v>
      </c>
      <c r="F92" s="13" t="s">
        <v>39</v>
      </c>
      <c r="G92" s="1">
        <v>6</v>
      </c>
      <c r="H92">
        <v>2373.39</v>
      </c>
      <c r="I92">
        <v>2355.75</v>
      </c>
      <c r="J92" s="7">
        <v>0.57593749999999999</v>
      </c>
      <c r="K92" s="7">
        <v>0.60682870370370368</v>
      </c>
      <c r="L92" s="1">
        <f t="shared" si="20"/>
        <v>2657.4</v>
      </c>
      <c r="M92" s="4">
        <v>44.29</v>
      </c>
      <c r="N92" s="4">
        <f t="shared" si="21"/>
        <v>17.639999999999873</v>
      </c>
      <c r="O92" s="4">
        <f t="shared" si="22"/>
        <v>17639.999999999873</v>
      </c>
      <c r="P92" s="4">
        <v>1</v>
      </c>
      <c r="Q92">
        <v>747</v>
      </c>
      <c r="R92" s="1">
        <f>Q92/10000</f>
        <v>7.4700000000000003E-2</v>
      </c>
      <c r="S92" s="5">
        <f t="shared" si="24"/>
        <v>88.86301584753943</v>
      </c>
      <c r="T92" s="4">
        <v>32</v>
      </c>
      <c r="U92" s="8">
        <f>+AVERAGE([1]humidity!$B$20898:$B$20986)</f>
        <v>19.865168539325843</v>
      </c>
      <c r="V92">
        <f t="shared" si="25"/>
        <v>4.7547753962618131</v>
      </c>
      <c r="W92">
        <f t="shared" si="18"/>
        <v>0.94454414613380733</v>
      </c>
      <c r="X92" s="6">
        <f t="shared" si="19"/>
        <v>3.8102312501280058</v>
      </c>
    </row>
    <row r="93" spans="1:30" x14ac:dyDescent="0.25">
      <c r="A93">
        <v>3</v>
      </c>
      <c r="B93">
        <v>2</v>
      </c>
      <c r="C93">
        <v>1</v>
      </c>
      <c r="D93">
        <v>3</v>
      </c>
      <c r="E93" t="s">
        <v>35</v>
      </c>
      <c r="F93" t="s">
        <v>38</v>
      </c>
      <c r="G93">
        <v>4</v>
      </c>
      <c r="H93">
        <v>2572.9</v>
      </c>
      <c r="I93">
        <v>2563.7600000000002</v>
      </c>
      <c r="J93">
        <v>0.47795138888888888</v>
      </c>
      <c r="K93">
        <v>0.50929398148148153</v>
      </c>
      <c r="L93">
        <v>2704.9999999999982</v>
      </c>
      <c r="M93" s="8">
        <v>45.0833333333333</v>
      </c>
      <c r="N93">
        <v>9.1399999999998727</v>
      </c>
      <c r="O93">
        <v>9139.9999999998727</v>
      </c>
      <c r="P93" s="2">
        <v>0.81100266193432902</v>
      </c>
      <c r="Q93">
        <v>768.09</v>
      </c>
      <c r="R93">
        <v>7.6809000000000002E-2</v>
      </c>
      <c r="S93">
        <v>43.991301947367766</v>
      </c>
      <c r="T93">
        <v>32</v>
      </c>
      <c r="U93" s="8">
        <v>47</v>
      </c>
      <c r="V93">
        <v>4.7547753962618131</v>
      </c>
      <c r="W93">
        <f t="shared" si="18"/>
        <v>2.234744436243052</v>
      </c>
      <c r="X93" s="12">
        <f t="shared" si="19"/>
        <v>2.5200309600187611</v>
      </c>
    </row>
    <row r="94" spans="1:30" x14ac:dyDescent="0.25">
      <c r="A94">
        <v>1</v>
      </c>
      <c r="B94" s="1">
        <v>2</v>
      </c>
      <c r="C94">
        <v>1</v>
      </c>
      <c r="D94">
        <v>1</v>
      </c>
      <c r="E94" t="s">
        <v>23</v>
      </c>
      <c r="F94" s="13" t="s">
        <v>39</v>
      </c>
      <c r="G94" s="1">
        <v>3</v>
      </c>
      <c r="H94">
        <v>2569.15</v>
      </c>
      <c r="I94">
        <v>2551.83</v>
      </c>
      <c r="J94" s="9">
        <v>0.47769675925925925</v>
      </c>
      <c r="K94" s="9">
        <v>0.5084143518518518</v>
      </c>
      <c r="L94" s="1">
        <f>M94*60</f>
        <v>2648.4</v>
      </c>
      <c r="M94" s="4">
        <v>44.14</v>
      </c>
      <c r="N94" s="4">
        <f>H94-I94</f>
        <v>17.320000000000164</v>
      </c>
      <c r="O94" s="4">
        <f>N94*1000</f>
        <v>17320.000000000164</v>
      </c>
      <c r="P94" s="4">
        <v>0.84077669902913788</v>
      </c>
      <c r="Q94">
        <v>747</v>
      </c>
      <c r="R94" s="1">
        <f>Q94/10000</f>
        <v>7.4700000000000003E-2</v>
      </c>
      <c r="S94" s="5">
        <f>O94/(R94*L94)</f>
        <v>87.547491481306395</v>
      </c>
      <c r="T94" s="4">
        <v>32</v>
      </c>
      <c r="U94" s="8">
        <f>+AVERAGE([1]humidity!$B$23480:$B$23571)</f>
        <v>55.608695652173914</v>
      </c>
      <c r="V94">
        <f>0.6108*EXP((17.27*T94)/(T94+237.3))</f>
        <v>4.7547753962618131</v>
      </c>
      <c r="W94">
        <f t="shared" si="18"/>
        <v>2.6440685790516776</v>
      </c>
      <c r="X94" s="6">
        <f t="shared" si="19"/>
        <v>2.1107068172101355</v>
      </c>
    </row>
    <row r="95" spans="1:30" x14ac:dyDescent="0.25">
      <c r="A95">
        <v>1</v>
      </c>
      <c r="B95" s="1">
        <v>2</v>
      </c>
      <c r="C95">
        <v>4</v>
      </c>
      <c r="D95">
        <v>4</v>
      </c>
      <c r="E95" t="s">
        <v>32</v>
      </c>
      <c r="F95" s="13" t="s">
        <v>42</v>
      </c>
      <c r="G95" s="1">
        <v>3</v>
      </c>
      <c r="H95">
        <v>2691.66</v>
      </c>
      <c r="I95">
        <v>2674.21</v>
      </c>
      <c r="J95" s="7">
        <v>0.47769675925925925</v>
      </c>
      <c r="K95" s="7">
        <v>0.5084143518518518</v>
      </c>
      <c r="L95" s="1">
        <f>M95*60</f>
        <v>2648.4</v>
      </c>
      <c r="M95" s="4">
        <v>44.14</v>
      </c>
      <c r="N95" s="4">
        <f>H95-I95</f>
        <v>17.449999999999818</v>
      </c>
      <c r="O95" s="4">
        <f>N95*1000</f>
        <v>17449.999999999818</v>
      </c>
      <c r="P95" s="4">
        <v>0.85623159960744477</v>
      </c>
      <c r="Q95">
        <v>933.58</v>
      </c>
      <c r="R95" s="1">
        <f>+Q95/10000</f>
        <v>9.335800000000001E-2</v>
      </c>
      <c r="S95" s="5">
        <f>O95/(R95*L95)</f>
        <v>70.576531785198782</v>
      </c>
      <c r="T95" s="4">
        <v>32</v>
      </c>
      <c r="U95" s="8">
        <f>+AVERAGE([1]humidity!$B$23480:$B$23571)</f>
        <v>55.608695652173914</v>
      </c>
      <c r="V95">
        <f>0.6108*EXP((17.27*T95)/(T95+237.3))</f>
        <v>4.7547753962618131</v>
      </c>
      <c r="W95">
        <f t="shared" si="18"/>
        <v>2.6440685790516776</v>
      </c>
      <c r="X95" s="6">
        <f t="shared" si="19"/>
        <v>2.1107068172101355</v>
      </c>
    </row>
    <row r="96" spans="1:30" x14ac:dyDescent="0.25">
      <c r="A96">
        <v>1</v>
      </c>
      <c r="B96" s="1">
        <v>2</v>
      </c>
      <c r="C96">
        <v>2</v>
      </c>
      <c r="D96">
        <v>1</v>
      </c>
      <c r="E96" t="s">
        <v>26</v>
      </c>
      <c r="F96" s="13" t="s">
        <v>41</v>
      </c>
      <c r="G96" s="1">
        <v>3</v>
      </c>
      <c r="H96">
        <v>2275.27</v>
      </c>
      <c r="I96">
        <v>2262.37</v>
      </c>
      <c r="J96" s="7">
        <v>0.47769675925925925</v>
      </c>
      <c r="K96" s="7">
        <v>0.5084143518518518</v>
      </c>
      <c r="L96" s="1">
        <f>M96*60</f>
        <v>2648.4</v>
      </c>
      <c r="M96" s="4">
        <v>44.14</v>
      </c>
      <c r="N96" s="4">
        <f>H96-I96</f>
        <v>12.900000000000091</v>
      </c>
      <c r="O96" s="4">
        <f>N96*1000</f>
        <v>12900.000000000091</v>
      </c>
      <c r="P96" s="4">
        <v>0.67681007345226274</v>
      </c>
      <c r="Q96">
        <v>983</v>
      </c>
      <c r="R96" s="1">
        <f>+Q96/10000</f>
        <v>9.8299999999999998E-2</v>
      </c>
      <c r="S96" s="5">
        <f>O96/(R96*L96)</f>
        <v>49.551021649878827</v>
      </c>
      <c r="T96" s="4">
        <v>32</v>
      </c>
      <c r="U96" s="8">
        <f>+AVERAGE([1]humidity!$B$23480:$B$23571)</f>
        <v>55.608695652173914</v>
      </c>
      <c r="V96">
        <f>0.6108*EXP((17.27*T96)/(T96+237.3))</f>
        <v>4.7547753962618131</v>
      </c>
      <c r="W96">
        <f t="shared" si="18"/>
        <v>2.6440685790516776</v>
      </c>
      <c r="X96" s="6">
        <f t="shared" si="19"/>
        <v>2.1107068172101355</v>
      </c>
    </row>
    <row r="97" spans="1:24" x14ac:dyDescent="0.25">
      <c r="A97">
        <v>1</v>
      </c>
      <c r="B97" s="1">
        <v>2</v>
      </c>
      <c r="C97">
        <v>4</v>
      </c>
      <c r="D97">
        <v>1</v>
      </c>
      <c r="E97" t="s">
        <v>29</v>
      </c>
      <c r="F97" s="13" t="s">
        <v>42</v>
      </c>
      <c r="G97" s="1">
        <v>3</v>
      </c>
      <c r="H97">
        <v>2751.58</v>
      </c>
      <c r="I97">
        <v>2736.71</v>
      </c>
      <c r="J97" s="7">
        <v>0.47769675925925925</v>
      </c>
      <c r="K97" s="7">
        <v>0.5084143518518518</v>
      </c>
      <c r="L97" s="1">
        <f>M97*60</f>
        <v>2648.4</v>
      </c>
      <c r="M97" s="4">
        <v>44.14</v>
      </c>
      <c r="N97" s="4">
        <f>H97-I97</f>
        <v>14.869999999999891</v>
      </c>
      <c r="O97" s="4">
        <f>N97*1000</f>
        <v>14869.999999999891</v>
      </c>
      <c r="P97" s="4">
        <v>0.90948012232415743</v>
      </c>
      <c r="Q97">
        <v>775.7</v>
      </c>
      <c r="R97" s="1">
        <f>+Q97/10000</f>
        <v>7.757E-2</v>
      </c>
      <c r="S97" s="5">
        <f>O97/(R97*L97)</f>
        <v>72.382503142529416</v>
      </c>
      <c r="T97" s="4">
        <v>32</v>
      </c>
      <c r="U97" s="8">
        <f>+AVERAGE([1]humidity!$B$23480:$B$23571)</f>
        <v>55.608695652173914</v>
      </c>
      <c r="V97">
        <f>0.6108*EXP((17.27*T97)/(T97+237.3))</f>
        <v>4.7547753962618131</v>
      </c>
      <c r="W97">
        <f t="shared" si="18"/>
        <v>2.6440685790516776</v>
      </c>
      <c r="X97" s="6">
        <f t="shared" si="19"/>
        <v>2.1107068172101355</v>
      </c>
    </row>
    <row r="98" spans="1:24" x14ac:dyDescent="0.25">
      <c r="A98">
        <v>2</v>
      </c>
      <c r="B98">
        <v>1</v>
      </c>
      <c r="C98">
        <v>5</v>
      </c>
      <c r="D98">
        <v>4</v>
      </c>
      <c r="E98" t="s">
        <v>23</v>
      </c>
      <c r="F98" s="13" t="s">
        <v>39</v>
      </c>
      <c r="G98">
        <v>1</v>
      </c>
      <c r="H98">
        <v>2777.45</v>
      </c>
      <c r="I98">
        <v>2766.71</v>
      </c>
      <c r="J98" s="11">
        <v>0.49791666666666667</v>
      </c>
      <c r="K98" s="7">
        <v>0.53189814814814818</v>
      </c>
      <c r="L98">
        <f t="shared" ref="L98:L103" si="26">+M98*60</f>
        <v>2880</v>
      </c>
      <c r="M98">
        <v>48</v>
      </c>
      <c r="N98">
        <f t="shared" ref="N98:N103" si="27">+H98-I98</f>
        <v>10.739999999999782</v>
      </c>
      <c r="O98">
        <f t="shared" ref="O98:O103" si="28">+N98*1000</f>
        <v>10739.999999999782</v>
      </c>
      <c r="P98" s="2">
        <v>0.82998454404943867</v>
      </c>
      <c r="Q98">
        <v>1100.8</v>
      </c>
      <c r="R98" s="1">
        <v>0.11008</v>
      </c>
      <c r="S98" s="5">
        <v>33.876877422479936</v>
      </c>
      <c r="T98" s="4">
        <v>32</v>
      </c>
      <c r="U98" s="8">
        <v>77.865979381443296</v>
      </c>
      <c r="V98">
        <v>4.7547753962618131</v>
      </c>
      <c r="W98">
        <v>3.7023524296871622</v>
      </c>
      <c r="X98" s="6">
        <v>1.052422966574651</v>
      </c>
    </row>
    <row r="99" spans="1:24" x14ac:dyDescent="0.25">
      <c r="A99">
        <v>2</v>
      </c>
      <c r="B99">
        <v>1</v>
      </c>
      <c r="C99">
        <v>5</v>
      </c>
      <c r="D99">
        <v>4</v>
      </c>
      <c r="E99" t="s">
        <v>23</v>
      </c>
      <c r="F99" s="13" t="s">
        <v>39</v>
      </c>
      <c r="G99">
        <v>2</v>
      </c>
      <c r="H99">
        <v>2758.18</v>
      </c>
      <c r="I99">
        <v>2745.96</v>
      </c>
      <c r="J99" s="7">
        <v>0.55482638888888891</v>
      </c>
      <c r="K99" s="7">
        <v>0.58539351851851851</v>
      </c>
      <c r="L99">
        <f t="shared" si="26"/>
        <v>2640</v>
      </c>
      <c r="M99">
        <v>44</v>
      </c>
      <c r="N99">
        <f t="shared" si="27"/>
        <v>12.2199999999998</v>
      </c>
      <c r="O99">
        <f t="shared" si="28"/>
        <v>12219.9999999998</v>
      </c>
      <c r="P99" s="2">
        <v>0.94435857805253076</v>
      </c>
      <c r="Q99">
        <v>1100.8</v>
      </c>
      <c r="R99">
        <v>0.11008</v>
      </c>
      <c r="S99">
        <v>42.049308491895012</v>
      </c>
      <c r="T99">
        <v>32</v>
      </c>
      <c r="U99" s="8">
        <v>66.811764705882354</v>
      </c>
      <c r="V99">
        <v>4.7547753962618131</v>
      </c>
      <c r="W99">
        <v>3.1767493500436275</v>
      </c>
      <c r="X99" s="12">
        <v>1.5780260462181857</v>
      </c>
    </row>
    <row r="100" spans="1:24" x14ac:dyDescent="0.25">
      <c r="A100">
        <v>2</v>
      </c>
      <c r="B100">
        <v>1</v>
      </c>
      <c r="C100">
        <v>5</v>
      </c>
      <c r="D100">
        <v>4</v>
      </c>
      <c r="E100" t="s">
        <v>23</v>
      </c>
      <c r="F100" s="13" t="s">
        <v>39</v>
      </c>
      <c r="G100">
        <v>3</v>
      </c>
      <c r="H100">
        <v>2737.73</v>
      </c>
      <c r="I100">
        <v>2724.79</v>
      </c>
      <c r="J100" s="7">
        <v>0.60451388888888891</v>
      </c>
      <c r="K100" s="7">
        <v>0.63587962962962963</v>
      </c>
      <c r="L100">
        <f t="shared" si="26"/>
        <v>2700</v>
      </c>
      <c r="M100">
        <v>45</v>
      </c>
      <c r="N100">
        <f t="shared" si="27"/>
        <v>12.940000000000055</v>
      </c>
      <c r="O100">
        <f t="shared" si="28"/>
        <v>12940.000000000055</v>
      </c>
      <c r="P100" s="2">
        <v>1</v>
      </c>
      <c r="Q100">
        <v>1100.8</v>
      </c>
      <c r="R100">
        <v>0.11008</v>
      </c>
      <c r="S100">
        <v>43.537360034453243</v>
      </c>
      <c r="T100">
        <v>32</v>
      </c>
      <c r="U100" s="8">
        <v>56</v>
      </c>
      <c r="V100">
        <v>4.7547753962618131</v>
      </c>
      <c r="W100">
        <v>2.6626742219066157</v>
      </c>
      <c r="X100" s="12">
        <v>2.0921011743551974</v>
      </c>
    </row>
    <row r="101" spans="1:24" x14ac:dyDescent="0.25">
      <c r="A101">
        <v>2</v>
      </c>
      <c r="B101">
        <v>1</v>
      </c>
      <c r="C101">
        <v>5</v>
      </c>
      <c r="D101">
        <v>4</v>
      </c>
      <c r="E101" t="s">
        <v>23</v>
      </c>
      <c r="F101" s="13" t="s">
        <v>39</v>
      </c>
      <c r="G101">
        <v>4</v>
      </c>
      <c r="H101">
        <v>2717.49</v>
      </c>
      <c r="I101">
        <v>2704.51</v>
      </c>
      <c r="J101" s="7">
        <v>0.65231481481481479</v>
      </c>
      <c r="K101" s="7">
        <v>0.68402777777777779</v>
      </c>
      <c r="L101">
        <f t="shared" si="26"/>
        <v>2700</v>
      </c>
      <c r="M101">
        <v>45</v>
      </c>
      <c r="N101">
        <f t="shared" si="27"/>
        <v>12.979999999999563</v>
      </c>
      <c r="O101">
        <f t="shared" si="28"/>
        <v>12979.999999999563</v>
      </c>
      <c r="P101" s="2">
        <v>1.0030911901081536</v>
      </c>
      <c r="Q101">
        <v>1100.8</v>
      </c>
      <c r="R101">
        <v>0.11008</v>
      </c>
      <c r="S101">
        <v>43.671942291126868</v>
      </c>
      <c r="T101">
        <v>32</v>
      </c>
      <c r="U101" s="8">
        <v>47.103448275862071</v>
      </c>
      <c r="V101">
        <v>4.7547753962618131</v>
      </c>
      <c r="W101">
        <v>2.2396631694115987</v>
      </c>
      <c r="X101" s="12">
        <v>2.5151122268502144</v>
      </c>
    </row>
    <row r="102" spans="1:24" x14ac:dyDescent="0.25">
      <c r="A102">
        <v>2</v>
      </c>
      <c r="B102">
        <v>1</v>
      </c>
      <c r="C102">
        <v>5</v>
      </c>
      <c r="D102">
        <v>4</v>
      </c>
      <c r="E102" t="s">
        <v>23</v>
      </c>
      <c r="F102" s="13" t="s">
        <v>39</v>
      </c>
      <c r="G102">
        <v>5</v>
      </c>
      <c r="H102">
        <v>2697.33</v>
      </c>
      <c r="I102">
        <v>2684.46</v>
      </c>
      <c r="J102" s="7">
        <v>0.70046296296296295</v>
      </c>
      <c r="K102" s="7">
        <v>0.73293981481481485</v>
      </c>
      <c r="L102">
        <f t="shared" si="26"/>
        <v>2760</v>
      </c>
      <c r="M102">
        <v>46</v>
      </c>
      <c r="N102">
        <f t="shared" si="27"/>
        <v>12.869999999999891</v>
      </c>
      <c r="O102">
        <f t="shared" si="28"/>
        <v>12869.999999999891</v>
      </c>
      <c r="P102" s="2">
        <v>0.99459041731065201</v>
      </c>
      <c r="Q102">
        <v>1100.8</v>
      </c>
      <c r="R102">
        <v>0.11008</v>
      </c>
      <c r="S102">
        <v>42.360496713852015</v>
      </c>
      <c r="T102">
        <v>32</v>
      </c>
      <c r="U102" s="8">
        <v>38.567010309278352</v>
      </c>
      <c r="V102">
        <v>4.7547753962618131</v>
      </c>
      <c r="W102">
        <v>1.8337747172593242</v>
      </c>
      <c r="X102" s="12">
        <v>2.9210006790024892</v>
      </c>
    </row>
    <row r="103" spans="1:24" x14ac:dyDescent="0.25">
      <c r="A103">
        <v>2</v>
      </c>
      <c r="B103">
        <v>1</v>
      </c>
      <c r="C103">
        <v>5</v>
      </c>
      <c r="D103">
        <v>4</v>
      </c>
      <c r="E103" t="s">
        <v>23</v>
      </c>
      <c r="F103" s="13" t="s">
        <v>39</v>
      </c>
      <c r="G103">
        <v>6</v>
      </c>
      <c r="H103">
        <v>2680.14</v>
      </c>
      <c r="I103">
        <v>2667.58</v>
      </c>
      <c r="J103" s="7">
        <v>0.7436342592592593</v>
      </c>
      <c r="K103" s="7">
        <v>0.77496527777777779</v>
      </c>
      <c r="L103">
        <f t="shared" si="26"/>
        <v>2700</v>
      </c>
      <c r="M103">
        <v>45</v>
      </c>
      <c r="N103">
        <f t="shared" si="27"/>
        <v>12.559999999999945</v>
      </c>
      <c r="O103">
        <f t="shared" si="28"/>
        <v>12559.999999999945</v>
      </c>
      <c r="P103" s="2">
        <v>0.97063369397217103</v>
      </c>
      <c r="Q103">
        <v>1100.8</v>
      </c>
      <c r="R103">
        <v>0.11008</v>
      </c>
      <c r="S103">
        <v>42.258828596037716</v>
      </c>
      <c r="T103">
        <v>32</v>
      </c>
      <c r="U103" s="8">
        <v>23.483146067415731</v>
      </c>
      <c r="V103">
        <v>4.7547753962618131</v>
      </c>
      <c r="W103">
        <v>1.1165708514817068</v>
      </c>
      <c r="X103" s="12">
        <v>3.6382045447801064</v>
      </c>
    </row>
    <row r="104" spans="1:24" x14ac:dyDescent="0.25">
      <c r="A104">
        <v>3</v>
      </c>
      <c r="B104">
        <v>1</v>
      </c>
      <c r="C104">
        <v>1</v>
      </c>
      <c r="D104">
        <v>4</v>
      </c>
      <c r="E104" t="s">
        <v>23</v>
      </c>
      <c r="F104" s="13" t="s">
        <v>39</v>
      </c>
      <c r="G104">
        <v>1</v>
      </c>
      <c r="H104">
        <v>2698.79</v>
      </c>
      <c r="I104">
        <v>2693.11</v>
      </c>
      <c r="J104">
        <v>0.48958333333333298</v>
      </c>
      <c r="K104">
        <v>0.52083333333333304</v>
      </c>
      <c r="L104">
        <v>2700</v>
      </c>
      <c r="M104">
        <v>45</v>
      </c>
      <c r="N104">
        <v>5.6799999999998363</v>
      </c>
      <c r="O104">
        <v>5679.9999999998363</v>
      </c>
      <c r="P104" s="2">
        <v>0.53383458646615645</v>
      </c>
      <c r="Q104">
        <v>640.79999999999995</v>
      </c>
      <c r="R104">
        <v>6.4079999999999998E-2</v>
      </c>
      <c r="S104">
        <v>32.829333703240373</v>
      </c>
      <c r="T104">
        <v>32</v>
      </c>
      <c r="U104" s="8">
        <v>79</v>
      </c>
      <c r="V104">
        <v>4.7547753962618131</v>
      </c>
      <c r="W104">
        <f t="shared" ref="W104:W117" si="29">V104*(U104/100)</f>
        <v>3.7562725630468323</v>
      </c>
      <c r="X104" s="12">
        <f t="shared" ref="X104:X117" si="30">V104-W104</f>
        <v>0.99850283321498079</v>
      </c>
    </row>
    <row r="105" spans="1:24" x14ac:dyDescent="0.25">
      <c r="A105">
        <v>3</v>
      </c>
      <c r="B105">
        <v>1</v>
      </c>
      <c r="C105">
        <v>1</v>
      </c>
      <c r="D105">
        <v>4</v>
      </c>
      <c r="E105" t="s">
        <v>23</v>
      </c>
      <c r="F105" s="13" t="s">
        <v>39</v>
      </c>
      <c r="G105">
        <v>2</v>
      </c>
      <c r="H105">
        <v>2691.19</v>
      </c>
      <c r="I105">
        <v>2683.44</v>
      </c>
      <c r="J105">
        <v>0.530555555555556</v>
      </c>
      <c r="K105">
        <v>0.561805555555556</v>
      </c>
      <c r="L105">
        <v>2700</v>
      </c>
      <c r="M105" s="8">
        <v>45</v>
      </c>
      <c r="N105">
        <v>7.75</v>
      </c>
      <c r="O105">
        <v>7750</v>
      </c>
      <c r="P105" s="2">
        <v>0.72838345864662524</v>
      </c>
      <c r="Q105">
        <v>640.79999999999995</v>
      </c>
      <c r="R105">
        <v>6.4079999999999998E-2</v>
      </c>
      <c r="S105">
        <v>44.793545105654971</v>
      </c>
      <c r="T105">
        <v>32</v>
      </c>
      <c r="U105" s="8">
        <v>68</v>
      </c>
      <c r="V105">
        <v>4.7547753962618131</v>
      </c>
      <c r="W105">
        <f t="shared" si="29"/>
        <v>3.2332472694580332</v>
      </c>
      <c r="X105" s="12">
        <f t="shared" si="30"/>
        <v>1.5215281268037799</v>
      </c>
    </row>
    <row r="106" spans="1:24" x14ac:dyDescent="0.25">
      <c r="A106">
        <v>3</v>
      </c>
      <c r="B106">
        <v>1</v>
      </c>
      <c r="C106">
        <v>1</v>
      </c>
      <c r="D106">
        <v>4</v>
      </c>
      <c r="E106" t="s">
        <v>23</v>
      </c>
      <c r="F106" s="13" t="s">
        <v>39</v>
      </c>
      <c r="G106">
        <v>3</v>
      </c>
      <c r="H106">
        <v>2679.13</v>
      </c>
      <c r="I106">
        <v>2670.16</v>
      </c>
      <c r="J106">
        <v>0.57556712962962997</v>
      </c>
      <c r="K106">
        <v>0.60728009259259297</v>
      </c>
      <c r="L106">
        <v>2700</v>
      </c>
      <c r="M106" s="8">
        <v>45</v>
      </c>
      <c r="N106">
        <v>8.9700000000002547</v>
      </c>
      <c r="O106">
        <v>8970.0000000002547</v>
      </c>
      <c r="P106" s="2">
        <v>0.8430451127819889</v>
      </c>
      <c r="Q106">
        <v>640.79999999999995</v>
      </c>
      <c r="R106">
        <v>6.4079999999999998E-2</v>
      </c>
      <c r="S106">
        <v>51.844916077127287</v>
      </c>
      <c r="T106">
        <v>32</v>
      </c>
      <c r="U106" s="8">
        <v>57</v>
      </c>
      <c r="V106">
        <v>4.7547753962618131</v>
      </c>
      <c r="W106">
        <f t="shared" si="29"/>
        <v>2.7102219758692332</v>
      </c>
      <c r="X106" s="12">
        <f t="shared" si="30"/>
        <v>2.0445534203925799</v>
      </c>
    </row>
    <row r="107" spans="1:24" x14ac:dyDescent="0.25">
      <c r="A107">
        <v>3</v>
      </c>
      <c r="B107">
        <v>1</v>
      </c>
      <c r="C107">
        <v>1</v>
      </c>
      <c r="D107">
        <v>4</v>
      </c>
      <c r="E107" t="s">
        <v>23</v>
      </c>
      <c r="F107" s="13" t="s">
        <v>39</v>
      </c>
      <c r="G107">
        <v>4</v>
      </c>
      <c r="H107">
        <v>2664.34</v>
      </c>
      <c r="I107">
        <v>2655.35</v>
      </c>
      <c r="J107">
        <v>0.62638888888888899</v>
      </c>
      <c r="K107">
        <v>0.65733796296296299</v>
      </c>
      <c r="L107">
        <v>2640</v>
      </c>
      <c r="M107" s="8">
        <v>44</v>
      </c>
      <c r="N107">
        <v>8.9900000000002365</v>
      </c>
      <c r="O107">
        <v>8990.0000000002365</v>
      </c>
      <c r="P107" s="2">
        <v>0.8449248120301075</v>
      </c>
      <c r="Q107">
        <v>640.79999999999995</v>
      </c>
      <c r="R107">
        <v>6.4079999999999998E-2</v>
      </c>
      <c r="S107">
        <v>53.141433057164789</v>
      </c>
      <c r="T107">
        <v>32</v>
      </c>
      <c r="U107" s="8">
        <v>47</v>
      </c>
      <c r="V107">
        <v>4.7547753962618131</v>
      </c>
      <c r="W107">
        <f t="shared" si="29"/>
        <v>2.234744436243052</v>
      </c>
      <c r="X107" s="12">
        <f t="shared" si="30"/>
        <v>2.5200309600187611</v>
      </c>
    </row>
    <row r="108" spans="1:24" x14ac:dyDescent="0.25">
      <c r="A108">
        <v>3</v>
      </c>
      <c r="B108">
        <v>1</v>
      </c>
      <c r="C108">
        <v>1</v>
      </c>
      <c r="D108">
        <v>4</v>
      </c>
      <c r="E108" t="s">
        <v>23</v>
      </c>
      <c r="F108" s="13" t="s">
        <v>39</v>
      </c>
      <c r="G108">
        <v>5</v>
      </c>
      <c r="H108">
        <v>2648.77</v>
      </c>
      <c r="I108">
        <v>2639.36</v>
      </c>
      <c r="J108">
        <v>0.67721064814814802</v>
      </c>
      <c r="K108">
        <v>0.70833333333333304</v>
      </c>
      <c r="L108">
        <v>2640</v>
      </c>
      <c r="M108" s="8">
        <v>44</v>
      </c>
      <c r="N108">
        <v>9.4099999999998545</v>
      </c>
      <c r="O108">
        <v>9409.9999999998545</v>
      </c>
      <c r="P108" s="2">
        <v>0.88439849624059841</v>
      </c>
      <c r="Q108">
        <v>640.79999999999995</v>
      </c>
      <c r="R108">
        <v>6.4079999999999998E-2</v>
      </c>
      <c r="S108">
        <v>55.624125146596199</v>
      </c>
      <c r="T108">
        <v>32</v>
      </c>
      <c r="U108" s="8">
        <v>37</v>
      </c>
      <c r="V108">
        <v>4.7547753962618131</v>
      </c>
      <c r="W108">
        <f t="shared" si="29"/>
        <v>1.7592668966168707</v>
      </c>
      <c r="X108" s="12">
        <f t="shared" si="30"/>
        <v>2.9955084996449424</v>
      </c>
    </row>
    <row r="109" spans="1:24" x14ac:dyDescent="0.25">
      <c r="A109">
        <v>3</v>
      </c>
      <c r="B109">
        <v>1</v>
      </c>
      <c r="C109">
        <v>1</v>
      </c>
      <c r="D109">
        <v>4</v>
      </c>
      <c r="E109" t="s">
        <v>23</v>
      </c>
      <c r="F109" s="13" t="s">
        <v>39</v>
      </c>
      <c r="G109">
        <v>6</v>
      </c>
      <c r="H109">
        <v>2634.2</v>
      </c>
      <c r="I109">
        <v>2623.56</v>
      </c>
      <c r="J109">
        <v>0.72222222222222199</v>
      </c>
      <c r="K109">
        <v>0.75401620370370404</v>
      </c>
      <c r="L109">
        <v>2700</v>
      </c>
      <c r="M109" s="8">
        <v>45</v>
      </c>
      <c r="N109">
        <v>10.639999999999873</v>
      </c>
      <c r="O109">
        <v>10639.999999999873</v>
      </c>
      <c r="P109" s="2">
        <v>1</v>
      </c>
      <c r="Q109">
        <v>640.79999999999995</v>
      </c>
      <c r="R109">
        <v>6.4079999999999998E-2</v>
      </c>
      <c r="S109">
        <v>61.497202570859763</v>
      </c>
      <c r="T109">
        <v>32</v>
      </c>
      <c r="U109" s="8">
        <v>24</v>
      </c>
      <c r="V109">
        <v>4.7547753962618131</v>
      </c>
      <c r="W109">
        <f t="shared" si="29"/>
        <v>1.1411460951028352</v>
      </c>
      <c r="X109" s="12">
        <f t="shared" si="30"/>
        <v>3.6136293011589782</v>
      </c>
    </row>
    <row r="110" spans="1:24" x14ac:dyDescent="0.25">
      <c r="A110">
        <v>3</v>
      </c>
      <c r="B110">
        <v>2</v>
      </c>
      <c r="C110">
        <v>1</v>
      </c>
      <c r="D110">
        <v>4</v>
      </c>
      <c r="E110" t="s">
        <v>23</v>
      </c>
      <c r="F110" s="13" t="s">
        <v>39</v>
      </c>
      <c r="G110">
        <v>2</v>
      </c>
      <c r="H110">
        <v>2596.39</v>
      </c>
      <c r="I110">
        <v>2590.42</v>
      </c>
      <c r="J110">
        <v>0.375</v>
      </c>
      <c r="K110">
        <v>0.40574074074074074</v>
      </c>
      <c r="L110">
        <v>2647.5</v>
      </c>
      <c r="M110" s="8">
        <v>44.125</v>
      </c>
      <c r="N110">
        <v>5.9699999999997999</v>
      </c>
      <c r="O110">
        <v>5969.9999999997999</v>
      </c>
      <c r="P110" s="2">
        <v>0.57074569789672835</v>
      </c>
      <c r="Q110">
        <v>640.79999999999995</v>
      </c>
      <c r="R110">
        <v>6.4079999999999998E-2</v>
      </c>
      <c r="S110">
        <v>35.189723893290846</v>
      </c>
      <c r="T110">
        <v>32</v>
      </c>
      <c r="U110" s="8">
        <v>68</v>
      </c>
      <c r="V110">
        <v>4.7547753962618131</v>
      </c>
      <c r="W110">
        <f t="shared" si="29"/>
        <v>3.2332472694580332</v>
      </c>
      <c r="X110" s="12">
        <f t="shared" si="30"/>
        <v>1.5215281268037799</v>
      </c>
    </row>
    <row r="111" spans="1:24" x14ac:dyDescent="0.25">
      <c r="A111">
        <v>3</v>
      </c>
      <c r="B111">
        <v>2</v>
      </c>
      <c r="C111">
        <v>1</v>
      </c>
      <c r="D111">
        <v>4</v>
      </c>
      <c r="E111" t="s">
        <v>23</v>
      </c>
      <c r="F111" s="13" t="s">
        <v>39</v>
      </c>
      <c r="G111">
        <v>3</v>
      </c>
      <c r="H111">
        <v>2585.59</v>
      </c>
      <c r="I111">
        <v>2579.14</v>
      </c>
      <c r="J111">
        <v>0.42790509259259257</v>
      </c>
      <c r="K111">
        <v>0.45833333333333331</v>
      </c>
      <c r="L111">
        <v>2587.5</v>
      </c>
      <c r="M111" s="8">
        <v>43.125</v>
      </c>
      <c r="N111">
        <v>6.4500000000002728</v>
      </c>
      <c r="O111">
        <v>6450.0000000002728</v>
      </c>
      <c r="P111" s="2">
        <v>0.61663479923520559</v>
      </c>
      <c r="Q111">
        <v>640.79999999999995</v>
      </c>
      <c r="R111">
        <v>6.4079999999999998E-2</v>
      </c>
      <c r="S111">
        <v>38.900649550382511</v>
      </c>
      <c r="T111">
        <v>32</v>
      </c>
      <c r="U111" s="8">
        <v>57</v>
      </c>
      <c r="V111">
        <v>4.7547753962618131</v>
      </c>
      <c r="W111">
        <f t="shared" si="29"/>
        <v>2.7102219758692332</v>
      </c>
      <c r="X111" s="12">
        <f t="shared" si="30"/>
        <v>2.0445534203925799</v>
      </c>
    </row>
    <row r="112" spans="1:24" x14ac:dyDescent="0.25">
      <c r="A112">
        <v>3</v>
      </c>
      <c r="B112">
        <v>2</v>
      </c>
      <c r="C112">
        <v>1</v>
      </c>
      <c r="D112">
        <v>4</v>
      </c>
      <c r="E112" t="s">
        <v>23</v>
      </c>
      <c r="F112" s="13" t="s">
        <v>39</v>
      </c>
      <c r="G112">
        <v>4</v>
      </c>
      <c r="H112">
        <v>2574.6999999999998</v>
      </c>
      <c r="I112">
        <v>2566.84</v>
      </c>
      <c r="J112">
        <v>0.47795138888888888</v>
      </c>
      <c r="K112">
        <v>0.50929398148148153</v>
      </c>
      <c r="L112">
        <v>2707.5</v>
      </c>
      <c r="M112" s="8">
        <v>45.125</v>
      </c>
      <c r="N112">
        <v>7.8599999999996726</v>
      </c>
      <c r="O112">
        <v>7859.9999999996726</v>
      </c>
      <c r="P112" s="2">
        <v>0.75143403441679213</v>
      </c>
      <c r="Q112">
        <v>640.79999999999995</v>
      </c>
      <c r="R112">
        <v>6.4079999999999998E-2</v>
      </c>
      <c r="S112">
        <v>45.303481451507828</v>
      </c>
      <c r="T112">
        <v>32</v>
      </c>
      <c r="U112" s="8">
        <v>47</v>
      </c>
      <c r="V112">
        <v>4.7547753962618131</v>
      </c>
      <c r="W112">
        <f t="shared" si="29"/>
        <v>2.234744436243052</v>
      </c>
      <c r="X112" s="12">
        <f t="shared" si="30"/>
        <v>2.5200309600187611</v>
      </c>
    </row>
    <row r="113" spans="1:30" x14ac:dyDescent="0.25">
      <c r="A113">
        <v>3</v>
      </c>
      <c r="B113">
        <v>2</v>
      </c>
      <c r="C113">
        <v>4</v>
      </c>
      <c r="D113">
        <v>3</v>
      </c>
      <c r="E113" t="s">
        <v>34</v>
      </c>
      <c r="F113" s="13" t="s">
        <v>39</v>
      </c>
      <c r="G113">
        <v>5</v>
      </c>
      <c r="H113">
        <v>1813.84</v>
      </c>
      <c r="I113">
        <v>1798.99</v>
      </c>
      <c r="J113">
        <v>0.52800925925925923</v>
      </c>
      <c r="K113">
        <v>0.55902777777777779</v>
      </c>
      <c r="L113">
        <v>2640</v>
      </c>
      <c r="M113" s="8">
        <v>44</v>
      </c>
      <c r="N113">
        <v>14.849999999999909</v>
      </c>
      <c r="O113">
        <v>14849.999999999909</v>
      </c>
      <c r="P113" s="2">
        <v>0.8813056379821832</v>
      </c>
      <c r="Q113">
        <v>1028.48</v>
      </c>
      <c r="R113">
        <v>0.10284799999999999</v>
      </c>
      <c r="S113">
        <v>54.692361543247962</v>
      </c>
      <c r="T113">
        <v>32</v>
      </c>
      <c r="U113" s="8">
        <v>37</v>
      </c>
      <c r="V113">
        <v>4.7547753962618131</v>
      </c>
      <c r="W113">
        <f t="shared" si="29"/>
        <v>1.7592668966168707</v>
      </c>
      <c r="X113" s="12">
        <f t="shared" si="30"/>
        <v>2.9955084996449424</v>
      </c>
      <c r="Y113" s="23">
        <v>0.12471400000000001</v>
      </c>
      <c r="Z113" s="23">
        <v>0.110096</v>
      </c>
      <c r="AA113" s="23">
        <v>0.123193</v>
      </c>
      <c r="AB113">
        <v>26.78</v>
      </c>
      <c r="AC113">
        <v>27.59</v>
      </c>
      <c r="AD113">
        <v>26.68</v>
      </c>
    </row>
    <row r="114" spans="1:30" x14ac:dyDescent="0.25">
      <c r="A114">
        <v>3</v>
      </c>
      <c r="B114">
        <v>2</v>
      </c>
      <c r="C114">
        <v>1</v>
      </c>
      <c r="D114">
        <v>2</v>
      </c>
      <c r="E114" t="s">
        <v>36</v>
      </c>
      <c r="F114" s="13" t="s">
        <v>41</v>
      </c>
      <c r="G114">
        <v>5</v>
      </c>
      <c r="H114">
        <v>2203.88</v>
      </c>
      <c r="I114">
        <v>2193.52</v>
      </c>
      <c r="J114">
        <v>0.52800925925925923</v>
      </c>
      <c r="K114">
        <v>0.55902777777777779</v>
      </c>
      <c r="L114">
        <v>2642.5000000000018</v>
      </c>
      <c r="M114" s="8">
        <v>44.0416666666667</v>
      </c>
      <c r="N114">
        <v>10.360000000000127</v>
      </c>
      <c r="O114">
        <v>10360.000000000127</v>
      </c>
      <c r="P114" s="2">
        <v>0.81254901960785308</v>
      </c>
      <c r="Q114">
        <v>710.05</v>
      </c>
      <c r="R114">
        <v>7.1004999999999999E-2</v>
      </c>
      <c r="S114">
        <v>55.21484122701991</v>
      </c>
      <c r="T114">
        <v>32</v>
      </c>
      <c r="U114" s="8">
        <v>37</v>
      </c>
      <c r="V114">
        <v>4.7547753962618131</v>
      </c>
      <c r="W114">
        <f t="shared" si="29"/>
        <v>1.7592668966168707</v>
      </c>
      <c r="X114" s="12">
        <f t="shared" si="30"/>
        <v>2.9955084996449424</v>
      </c>
      <c r="Y114" s="23">
        <v>0.116428</v>
      </c>
      <c r="Z114" s="23">
        <v>8.7905999999999998E-2</v>
      </c>
      <c r="AA114" s="23">
        <v>0.149704</v>
      </c>
      <c r="AB114">
        <v>24.08</v>
      </c>
      <c r="AC114">
        <v>24.83</v>
      </c>
      <c r="AD114">
        <v>25.13</v>
      </c>
    </row>
    <row r="115" spans="1:30" x14ac:dyDescent="0.25">
      <c r="A115">
        <v>4</v>
      </c>
      <c r="B115">
        <v>1</v>
      </c>
      <c r="C115">
        <v>5</v>
      </c>
      <c r="D115">
        <v>2</v>
      </c>
      <c r="E115" t="s">
        <v>24</v>
      </c>
      <c r="F115" s="13" t="s">
        <v>41</v>
      </c>
      <c r="G115">
        <v>2</v>
      </c>
      <c r="H115">
        <v>2621.85</v>
      </c>
      <c r="I115">
        <v>2601.54</v>
      </c>
      <c r="J115" s="11">
        <v>0.39015046296296296</v>
      </c>
      <c r="K115" s="11">
        <v>0.4216435185185185</v>
      </c>
      <c r="L115">
        <f>M115*60</f>
        <v>2700</v>
      </c>
      <c r="M115" s="8">
        <v>45</v>
      </c>
      <c r="N115" s="8">
        <f>H115-I115</f>
        <v>20.309999999999945</v>
      </c>
      <c r="O115">
        <f>N115*1000</f>
        <v>20309.999999999945</v>
      </c>
      <c r="P115" s="2">
        <v>0.75698844576966084</v>
      </c>
      <c r="Q115">
        <v>1459.08</v>
      </c>
      <c r="R115">
        <f>+Q115/10000</f>
        <v>0.14590799999999998</v>
      </c>
      <c r="S115">
        <f>O115/(R115*L115)</f>
        <v>51.554556448050853</v>
      </c>
      <c r="T115">
        <v>32</v>
      </c>
      <c r="U115" s="8">
        <v>68</v>
      </c>
      <c r="V115">
        <f>0.6108*EXP((17.27*T115)/(T115+237.3))</f>
        <v>4.7547753962618131</v>
      </c>
      <c r="W115">
        <f t="shared" si="29"/>
        <v>3.2332472694580332</v>
      </c>
      <c r="X115" s="12">
        <f t="shared" si="30"/>
        <v>1.5215281268037799</v>
      </c>
      <c r="Y115" s="23">
        <v>0.30114400000000002</v>
      </c>
      <c r="Z115" s="23">
        <v>0.54077399999999998</v>
      </c>
      <c r="AA115" s="23">
        <v>0.40931899999999999</v>
      </c>
      <c r="AB115">
        <v>28.53</v>
      </c>
      <c r="AC115">
        <v>28.33</v>
      </c>
      <c r="AD115">
        <v>28.27</v>
      </c>
    </row>
    <row r="116" spans="1:30" x14ac:dyDescent="0.25">
      <c r="A116">
        <v>3</v>
      </c>
      <c r="B116">
        <v>2</v>
      </c>
      <c r="C116">
        <v>1</v>
      </c>
      <c r="D116">
        <v>3</v>
      </c>
      <c r="E116" t="s">
        <v>35</v>
      </c>
      <c r="F116" t="s">
        <v>38</v>
      </c>
      <c r="G116">
        <v>5</v>
      </c>
      <c r="H116">
        <v>2557.2399999999998</v>
      </c>
      <c r="I116">
        <v>2547.69</v>
      </c>
      <c r="J116">
        <v>0.52800925925925923</v>
      </c>
      <c r="K116">
        <v>0.55902777777777779</v>
      </c>
      <c r="L116">
        <v>2644.9999999999982</v>
      </c>
      <c r="M116" s="8">
        <v>44.0833333333333</v>
      </c>
      <c r="N116">
        <v>9.5499999999997272</v>
      </c>
      <c r="O116">
        <v>9549.9999999997272</v>
      </c>
      <c r="P116" s="2">
        <v>0.84738243123334012</v>
      </c>
      <c r="Q116">
        <v>768.09</v>
      </c>
      <c r="R116">
        <v>7.6809000000000002E-2</v>
      </c>
      <c r="S116">
        <v>47.007330017863197</v>
      </c>
      <c r="T116">
        <v>32</v>
      </c>
      <c r="U116" s="8">
        <v>37</v>
      </c>
      <c r="V116">
        <v>4.7547753962618131</v>
      </c>
      <c r="W116">
        <f t="shared" si="29"/>
        <v>1.7592668966168707</v>
      </c>
      <c r="X116" s="12">
        <f t="shared" si="30"/>
        <v>2.9955084996449424</v>
      </c>
      <c r="Y116" s="23">
        <v>7.1323999999999999E-2</v>
      </c>
      <c r="Z116" s="23">
        <v>0.55126299999999995</v>
      </c>
      <c r="AA116" s="23">
        <v>0.16742799999999999</v>
      </c>
      <c r="AB116">
        <v>25.75</v>
      </c>
      <c r="AC116">
        <v>25.17</v>
      </c>
      <c r="AD116">
        <v>25.86</v>
      </c>
    </row>
    <row r="117" spans="1:30" x14ac:dyDescent="0.25">
      <c r="A117">
        <v>4</v>
      </c>
      <c r="B117">
        <v>1</v>
      </c>
      <c r="C117">
        <v>4</v>
      </c>
      <c r="D117">
        <v>2</v>
      </c>
      <c r="E117" t="s">
        <v>33</v>
      </c>
      <c r="F117" t="s">
        <v>38</v>
      </c>
      <c r="G117">
        <v>3</v>
      </c>
      <c r="H117">
        <v>2710.98</v>
      </c>
      <c r="I117">
        <v>2682.72</v>
      </c>
      <c r="J117" s="7">
        <v>0.44297453703703704</v>
      </c>
      <c r="K117" s="7">
        <v>0.47096064814814814</v>
      </c>
      <c r="L117" s="8">
        <f t="shared" ref="L117:L129" si="31">M117*60</f>
        <v>2410.8000000000002</v>
      </c>
      <c r="M117" s="8">
        <v>40.18</v>
      </c>
      <c r="N117" s="8">
        <f t="shared" ref="N117:N129" si="32">H117-I117</f>
        <v>28.260000000000218</v>
      </c>
      <c r="O117">
        <f t="shared" ref="O117:O129" si="33">N117*1000</f>
        <v>28260.000000000218</v>
      </c>
      <c r="P117" s="2">
        <v>0.71201814058957358</v>
      </c>
      <c r="Q117">
        <v>2691.97</v>
      </c>
      <c r="R117">
        <f>+Q117/10000</f>
        <v>0.26919699999999996</v>
      </c>
      <c r="S117">
        <f>O117/(R117*L117)</f>
        <v>43.545247070212788</v>
      </c>
      <c r="T117">
        <v>32</v>
      </c>
      <c r="U117" s="8">
        <v>57</v>
      </c>
      <c r="V117">
        <f>0.6108*EXP((17.27*T117)/(T117+237.3))</f>
        <v>4.7547753962618131</v>
      </c>
      <c r="W117">
        <f t="shared" si="29"/>
        <v>2.7102219758692332</v>
      </c>
      <c r="X117" s="12">
        <f t="shared" si="30"/>
        <v>2.0445534203925799</v>
      </c>
      <c r="Y117" s="23">
        <v>0.30281599999999997</v>
      </c>
      <c r="Z117" s="23">
        <v>0.33995700000000001</v>
      </c>
      <c r="AA117" s="23">
        <v>0.32991399999999999</v>
      </c>
      <c r="AB117">
        <v>26.58</v>
      </c>
      <c r="AC117">
        <v>26.48</v>
      </c>
      <c r="AD117">
        <v>26.64</v>
      </c>
    </row>
    <row r="118" spans="1:30" x14ac:dyDescent="0.25">
      <c r="A118">
        <v>4</v>
      </c>
      <c r="B118">
        <v>1</v>
      </c>
      <c r="C118">
        <v>4</v>
      </c>
      <c r="D118">
        <v>4</v>
      </c>
      <c r="E118" t="s">
        <v>23</v>
      </c>
      <c r="F118" s="13" t="s">
        <v>39</v>
      </c>
      <c r="G118">
        <v>3</v>
      </c>
      <c r="H118">
        <v>2447.19</v>
      </c>
      <c r="I118">
        <v>2408.5</v>
      </c>
      <c r="J118" s="7">
        <v>0.44297453703703704</v>
      </c>
      <c r="K118" s="7">
        <v>0.47096064814814814</v>
      </c>
      <c r="L118" s="8">
        <f t="shared" si="31"/>
        <v>2410.8000000000002</v>
      </c>
      <c r="M118" s="8">
        <v>40.18</v>
      </c>
      <c r="N118" s="8">
        <f t="shared" si="32"/>
        <v>38.690000000000055</v>
      </c>
      <c r="O118">
        <f t="shared" si="33"/>
        <v>38690.000000000058</v>
      </c>
      <c r="U118" s="8"/>
      <c r="X118" s="12"/>
      <c r="Y118" s="23">
        <v>0.56036200000000003</v>
      </c>
      <c r="Z118" s="23">
        <v>0.24</v>
      </c>
      <c r="AA118" s="23">
        <v>0.231521</v>
      </c>
      <c r="AB118">
        <v>25.78</v>
      </c>
      <c r="AC118">
        <v>26.9</v>
      </c>
      <c r="AD118">
        <v>26.81</v>
      </c>
    </row>
    <row r="119" spans="1:30" x14ac:dyDescent="0.25">
      <c r="A119">
        <v>4</v>
      </c>
      <c r="B119">
        <v>1</v>
      </c>
      <c r="C119">
        <v>5</v>
      </c>
      <c r="D119">
        <v>3</v>
      </c>
      <c r="E119" t="s">
        <v>28</v>
      </c>
      <c r="F119" s="20" t="s">
        <v>40</v>
      </c>
      <c r="G119">
        <v>3</v>
      </c>
      <c r="H119">
        <v>2753.4</v>
      </c>
      <c r="I119">
        <v>2723.87</v>
      </c>
      <c r="J119" s="7">
        <v>0.44297453703703704</v>
      </c>
      <c r="K119" s="7">
        <v>0.47096064814814814</v>
      </c>
      <c r="L119" s="8">
        <f t="shared" si="31"/>
        <v>2410.8000000000002</v>
      </c>
      <c r="M119" s="8">
        <v>40.18</v>
      </c>
      <c r="N119" s="8">
        <f t="shared" si="32"/>
        <v>29.5300000000002</v>
      </c>
      <c r="O119">
        <f t="shared" si="33"/>
        <v>29530.0000000002</v>
      </c>
      <c r="P119" s="2">
        <v>0.74702757399443587</v>
      </c>
      <c r="Q119">
        <v>4057.6</v>
      </c>
      <c r="R119">
        <f>+Q119/10000</f>
        <v>0.40576000000000001</v>
      </c>
      <c r="S119">
        <f>O119/(R119*L119)</f>
        <v>30.187909009876371</v>
      </c>
      <c r="T119">
        <v>32</v>
      </c>
      <c r="U119" s="8">
        <v>57</v>
      </c>
      <c r="V119">
        <f>0.6108*EXP((17.27*T119)/(T119+237.3))</f>
        <v>4.7547753962618131</v>
      </c>
      <c r="W119">
        <f>V119*(U119/100)</f>
        <v>2.7102219758692332</v>
      </c>
      <c r="X119" s="12">
        <f>V119-W119</f>
        <v>2.0445534203925799</v>
      </c>
      <c r="Y119" s="23">
        <v>0.51921499999999998</v>
      </c>
      <c r="Z119" s="23">
        <v>0.27144299999999999</v>
      </c>
      <c r="AA119" s="23">
        <v>0.73122699999999996</v>
      </c>
      <c r="AB119">
        <v>27.8</v>
      </c>
      <c r="AC119">
        <v>28.15</v>
      </c>
      <c r="AD119">
        <v>27.54</v>
      </c>
    </row>
    <row r="120" spans="1:30" x14ac:dyDescent="0.25">
      <c r="A120">
        <v>4</v>
      </c>
      <c r="B120">
        <v>2</v>
      </c>
      <c r="C120">
        <v>5</v>
      </c>
      <c r="D120">
        <v>2</v>
      </c>
      <c r="E120" t="s">
        <v>24</v>
      </c>
      <c r="F120" s="13" t="s">
        <v>41</v>
      </c>
      <c r="G120">
        <v>1</v>
      </c>
      <c r="H120">
        <v>2594.92</v>
      </c>
      <c r="I120">
        <v>2577.0300000000002</v>
      </c>
      <c r="J120" s="11">
        <v>0.37622685185185184</v>
      </c>
      <c r="K120" s="11">
        <v>0.40423611111111113</v>
      </c>
      <c r="L120">
        <f t="shared" si="31"/>
        <v>2400</v>
      </c>
      <c r="M120" s="8">
        <v>40</v>
      </c>
      <c r="N120" s="8">
        <f t="shared" si="32"/>
        <v>17.889999999999873</v>
      </c>
      <c r="O120">
        <f t="shared" si="33"/>
        <v>17889.999999999873</v>
      </c>
      <c r="P120" s="2">
        <v>0.58829332456428673</v>
      </c>
      <c r="Q120">
        <v>1459.08</v>
      </c>
      <c r="R120">
        <f>+Q120/10000</f>
        <v>0.14590799999999998</v>
      </c>
      <c r="S120">
        <f>O120/(R120*L120)</f>
        <v>51.088128592446019</v>
      </c>
      <c r="T120">
        <v>32</v>
      </c>
      <c r="U120" s="8">
        <v>80</v>
      </c>
      <c r="V120">
        <f>0.6108*EXP((17.27*T120)/(T120+237.3))</f>
        <v>4.7547753962618131</v>
      </c>
      <c r="W120">
        <f>V120*(U120/100)</f>
        <v>3.8038203170094507</v>
      </c>
      <c r="X120" s="12">
        <f>V120-W120</f>
        <v>0.95095507925236245</v>
      </c>
      <c r="Y120" s="22">
        <v>1.001066</v>
      </c>
      <c r="Z120" s="22">
        <v>0.766903</v>
      </c>
      <c r="AA120" s="22">
        <v>0.66309899999999999</v>
      </c>
      <c r="AB120">
        <v>28.41</v>
      </c>
      <c r="AC120">
        <v>28.55</v>
      </c>
      <c r="AD120">
        <v>28.75</v>
      </c>
    </row>
    <row r="121" spans="1:30" x14ac:dyDescent="0.25">
      <c r="A121">
        <v>4</v>
      </c>
      <c r="B121">
        <v>2</v>
      </c>
      <c r="C121">
        <v>1</v>
      </c>
      <c r="D121">
        <v>1</v>
      </c>
      <c r="E121" t="s">
        <v>35</v>
      </c>
      <c r="F121" t="s">
        <v>38</v>
      </c>
      <c r="G121">
        <v>1</v>
      </c>
      <c r="H121">
        <v>2661.64</v>
      </c>
      <c r="I121">
        <v>2636.64</v>
      </c>
      <c r="J121" s="11">
        <v>0.37622685185185184</v>
      </c>
      <c r="K121" s="11">
        <v>0.40423611111111113</v>
      </c>
      <c r="L121">
        <f t="shared" si="31"/>
        <v>2400</v>
      </c>
      <c r="M121" s="8">
        <v>40</v>
      </c>
      <c r="N121" s="8">
        <f t="shared" si="32"/>
        <v>25</v>
      </c>
      <c r="O121">
        <f t="shared" si="33"/>
        <v>25000</v>
      </c>
      <c r="P121" s="2">
        <v>0.52587294909549898</v>
      </c>
      <c r="Q121">
        <v>2878.45</v>
      </c>
      <c r="R121">
        <f>+Q121/10000</f>
        <v>0.28784499999999996</v>
      </c>
      <c r="S121">
        <f>O121/(R121*L121)</f>
        <v>36.188457908480842</v>
      </c>
      <c r="T121">
        <v>32</v>
      </c>
      <c r="U121" s="8">
        <v>80</v>
      </c>
      <c r="V121">
        <f>0.6108*EXP((17.27*T121)/(T121+237.3))</f>
        <v>4.7547753962618131</v>
      </c>
      <c r="W121">
        <f>V121*(U121/100)</f>
        <v>3.8038203170094507</v>
      </c>
      <c r="X121" s="12">
        <f>V121-W121</f>
        <v>0.95095507925236245</v>
      </c>
      <c r="Y121" s="22">
        <v>0.25588499999999997</v>
      </c>
      <c r="Z121" s="22">
        <v>0.31364199999999998</v>
      </c>
      <c r="AA121" s="22">
        <v>0.45857500000000001</v>
      </c>
      <c r="AB121">
        <v>26.55</v>
      </c>
      <c r="AC121">
        <v>26.72</v>
      </c>
      <c r="AD121">
        <v>26.65</v>
      </c>
    </row>
    <row r="122" spans="1:30" x14ac:dyDescent="0.25">
      <c r="A122">
        <v>4</v>
      </c>
      <c r="B122">
        <v>2</v>
      </c>
      <c r="C122">
        <v>4</v>
      </c>
      <c r="D122">
        <v>2</v>
      </c>
      <c r="E122" t="s">
        <v>33</v>
      </c>
      <c r="F122" t="s">
        <v>38</v>
      </c>
      <c r="G122">
        <v>2</v>
      </c>
      <c r="H122">
        <v>2607.9299999999998</v>
      </c>
      <c r="I122">
        <v>2574.98</v>
      </c>
      <c r="J122" s="11">
        <v>0.43112268518518521</v>
      </c>
      <c r="K122" s="11">
        <v>0.45833333333333331</v>
      </c>
      <c r="L122">
        <f t="shared" si="31"/>
        <v>2340</v>
      </c>
      <c r="M122" s="8">
        <v>39</v>
      </c>
      <c r="N122" s="8">
        <f t="shared" si="32"/>
        <v>32.949999999999818</v>
      </c>
      <c r="O122">
        <f t="shared" si="33"/>
        <v>32949.999999999818</v>
      </c>
      <c r="P122" s="2">
        <v>0.73516287371708389</v>
      </c>
      <c r="Q122">
        <v>2691.97</v>
      </c>
      <c r="R122">
        <f>+Q122/10000</f>
        <v>0.26919699999999996</v>
      </c>
      <c r="S122">
        <f>O122/(R122*L122)</f>
        <v>52.308148237894578</v>
      </c>
      <c r="T122">
        <v>32</v>
      </c>
      <c r="U122" s="8">
        <v>64</v>
      </c>
      <c r="V122">
        <f>0.6108*EXP((17.27*T122)/(T122+237.3))</f>
        <v>4.7547753962618131</v>
      </c>
      <c r="W122">
        <f>V122*(U122/100)</f>
        <v>3.0430562536075603</v>
      </c>
      <c r="X122" s="12">
        <f>V122-W122</f>
        <v>1.7117191426542528</v>
      </c>
      <c r="Y122" s="22">
        <v>0.61315600000000003</v>
      </c>
      <c r="Z122" s="22">
        <v>0.34788400000000003</v>
      </c>
      <c r="AA122" s="22">
        <v>0.45053900000000002</v>
      </c>
      <c r="AB122">
        <v>27.54</v>
      </c>
      <c r="AC122">
        <v>28.3</v>
      </c>
      <c r="AD122">
        <v>27.91</v>
      </c>
    </row>
    <row r="123" spans="1:30" x14ac:dyDescent="0.25">
      <c r="A123">
        <v>4</v>
      </c>
      <c r="B123">
        <v>2</v>
      </c>
      <c r="C123">
        <v>4</v>
      </c>
      <c r="D123">
        <v>4</v>
      </c>
      <c r="E123" t="s">
        <v>23</v>
      </c>
      <c r="F123" s="13" t="s">
        <v>39</v>
      </c>
      <c r="G123">
        <v>2</v>
      </c>
      <c r="H123">
        <v>2439.14</v>
      </c>
      <c r="I123">
        <v>2390.34</v>
      </c>
      <c r="J123" s="11">
        <v>0.43112268518518521</v>
      </c>
      <c r="K123" s="11">
        <v>0.45833333333333331</v>
      </c>
      <c r="L123">
        <f t="shared" si="31"/>
        <v>2340</v>
      </c>
      <c r="M123" s="8">
        <v>39</v>
      </c>
      <c r="N123" s="8">
        <f t="shared" si="32"/>
        <v>48.799999999999727</v>
      </c>
      <c r="O123">
        <f t="shared" si="33"/>
        <v>48799.999999999724</v>
      </c>
      <c r="U123" s="8"/>
      <c r="X123" s="12"/>
      <c r="Y123" s="22">
        <v>0.30026000000000003</v>
      </c>
      <c r="Z123" s="22">
        <v>0.645092</v>
      </c>
      <c r="AA123" s="22">
        <v>0.21796199999999999</v>
      </c>
      <c r="AB123">
        <v>27.48</v>
      </c>
      <c r="AC123">
        <v>27.53</v>
      </c>
      <c r="AD123">
        <v>28.26</v>
      </c>
    </row>
    <row r="124" spans="1:30" x14ac:dyDescent="0.25">
      <c r="A124">
        <v>4</v>
      </c>
      <c r="B124">
        <v>2</v>
      </c>
      <c r="C124">
        <v>5</v>
      </c>
      <c r="D124">
        <v>3</v>
      </c>
      <c r="E124" t="s">
        <v>28</v>
      </c>
      <c r="F124" s="20" t="s">
        <v>40</v>
      </c>
      <c r="G124">
        <v>2</v>
      </c>
      <c r="H124">
        <v>2667.43</v>
      </c>
      <c r="I124">
        <v>2633.09</v>
      </c>
      <c r="J124" s="11">
        <v>0.43112268518518521</v>
      </c>
      <c r="K124" s="11">
        <v>0.45833333333333331</v>
      </c>
      <c r="L124">
        <f t="shared" si="31"/>
        <v>2340</v>
      </c>
      <c r="M124" s="8">
        <v>39</v>
      </c>
      <c r="N124" s="8">
        <f t="shared" si="32"/>
        <v>34.339999999999691</v>
      </c>
      <c r="O124">
        <f t="shared" si="33"/>
        <v>34339.999999999694</v>
      </c>
      <c r="P124">
        <v>0.7117098445595792</v>
      </c>
      <c r="Q124">
        <v>4057.6</v>
      </c>
      <c r="R124">
        <f>+Q124/10000</f>
        <v>0.40576000000000001</v>
      </c>
      <c r="S124">
        <f t="shared" ref="S124:S129" si="34">O124/(R124*L124)</f>
        <v>36.167226131736847</v>
      </c>
      <c r="T124">
        <v>32</v>
      </c>
      <c r="U124" s="8">
        <v>64</v>
      </c>
      <c r="V124">
        <f t="shared" ref="V124:V129" si="35">0.6108*EXP((17.27*T124)/(T124+237.3))</f>
        <v>4.7547753962618131</v>
      </c>
      <c r="W124">
        <f t="shared" ref="W124:W129" si="36">V124*(U124/100)</f>
        <v>3.0430562536075603</v>
      </c>
      <c r="X124" s="12">
        <f t="shared" ref="X124:X129" si="37">V124-W124</f>
        <v>1.7117191426542528</v>
      </c>
      <c r="Y124" s="22">
        <v>0.61398900000000001</v>
      </c>
      <c r="Z124" s="22">
        <v>0.50930500000000001</v>
      </c>
      <c r="AA124" s="22">
        <v>0.634575</v>
      </c>
      <c r="AB124">
        <v>28.83</v>
      </c>
      <c r="AC124">
        <v>29.12</v>
      </c>
      <c r="AD124">
        <v>28.72</v>
      </c>
    </row>
    <row r="125" spans="1:30" x14ac:dyDescent="0.25">
      <c r="A125">
        <v>1</v>
      </c>
      <c r="B125" s="1">
        <v>2</v>
      </c>
      <c r="C125">
        <v>1</v>
      </c>
      <c r="D125">
        <v>5</v>
      </c>
      <c r="E125" t="s">
        <v>28</v>
      </c>
      <c r="F125" s="14" t="s">
        <v>40</v>
      </c>
      <c r="G125" s="1">
        <v>2</v>
      </c>
      <c r="H125">
        <v>2285.5</v>
      </c>
      <c r="I125">
        <v>2266.21</v>
      </c>
      <c r="J125" s="7">
        <v>0.41741898148148149</v>
      </c>
      <c r="K125" s="7">
        <v>0.44797453703703705</v>
      </c>
      <c r="L125" s="1">
        <f t="shared" si="31"/>
        <v>2640</v>
      </c>
      <c r="M125" s="4">
        <v>44</v>
      </c>
      <c r="N125" s="4">
        <f t="shared" si="32"/>
        <v>19.289999999999964</v>
      </c>
      <c r="O125" s="4">
        <f t="shared" si="33"/>
        <v>19289.999999999964</v>
      </c>
      <c r="P125" s="5">
        <v>0.77129148340664322</v>
      </c>
      <c r="Q125">
        <v>1146</v>
      </c>
      <c r="R125" s="1">
        <f>Q125/10000</f>
        <v>0.11459999999999999</v>
      </c>
      <c r="S125" s="5">
        <f t="shared" si="34"/>
        <v>63.759320958273719</v>
      </c>
      <c r="T125" s="4">
        <v>32</v>
      </c>
      <c r="U125" s="8">
        <f>+AVERAGE([1]humidity!$B$23313:$B$23401)</f>
        <v>71.887640449438209</v>
      </c>
      <c r="V125">
        <f t="shared" si="35"/>
        <v>4.7547753962618131</v>
      </c>
      <c r="W125">
        <f t="shared" si="36"/>
        <v>3.4180958410430429</v>
      </c>
      <c r="X125" s="6">
        <f t="shared" si="37"/>
        <v>1.3366795552187702</v>
      </c>
    </row>
    <row r="126" spans="1:30" x14ac:dyDescent="0.25">
      <c r="A126">
        <v>1</v>
      </c>
      <c r="B126" s="1">
        <v>2</v>
      </c>
      <c r="C126">
        <v>1</v>
      </c>
      <c r="D126">
        <v>5</v>
      </c>
      <c r="E126" t="s">
        <v>28</v>
      </c>
      <c r="F126" s="14" t="s">
        <v>40</v>
      </c>
      <c r="G126" s="1">
        <v>3</v>
      </c>
      <c r="H126">
        <v>2247.86</v>
      </c>
      <c r="I126">
        <v>2227.46</v>
      </c>
      <c r="J126" s="7">
        <v>0.47769675925925925</v>
      </c>
      <c r="K126" s="7">
        <v>0.5084143518518518</v>
      </c>
      <c r="L126" s="1">
        <f t="shared" si="31"/>
        <v>2648.4</v>
      </c>
      <c r="M126" s="4">
        <v>44.14</v>
      </c>
      <c r="N126" s="4">
        <f t="shared" si="32"/>
        <v>20.400000000000091</v>
      </c>
      <c r="O126" s="4">
        <f t="shared" si="33"/>
        <v>20400.000000000091</v>
      </c>
      <c r="P126" s="5">
        <v>0.81567373050780823</v>
      </c>
      <c r="Q126">
        <v>1146</v>
      </c>
      <c r="R126" s="1">
        <f>Q126/10000</f>
        <v>0.11459999999999999</v>
      </c>
      <c r="S126" s="5">
        <f t="shared" si="34"/>
        <v>67.214344964578345</v>
      </c>
      <c r="T126" s="4">
        <v>32</v>
      </c>
      <c r="U126" s="8">
        <f>+AVERAGE([1]humidity!$B$23480:$B$23571)</f>
        <v>55.608695652173914</v>
      </c>
      <c r="V126">
        <f t="shared" si="35"/>
        <v>4.7547753962618131</v>
      </c>
      <c r="W126">
        <f t="shared" si="36"/>
        <v>2.6440685790516776</v>
      </c>
      <c r="X126" s="6">
        <f t="shared" si="37"/>
        <v>2.1107068172101355</v>
      </c>
    </row>
    <row r="127" spans="1:30" x14ac:dyDescent="0.25">
      <c r="A127">
        <v>1</v>
      </c>
      <c r="B127" s="1">
        <v>2</v>
      </c>
      <c r="C127">
        <v>1</v>
      </c>
      <c r="D127">
        <v>5</v>
      </c>
      <c r="E127" t="s">
        <v>28</v>
      </c>
      <c r="F127" s="14" t="s">
        <v>40</v>
      </c>
      <c r="G127" s="1">
        <v>4</v>
      </c>
      <c r="H127">
        <v>2211.4699999999998</v>
      </c>
      <c r="I127">
        <v>2188.2800000000002</v>
      </c>
      <c r="J127" s="7">
        <v>0.53045138888888888</v>
      </c>
      <c r="K127" s="7">
        <v>0.56327546296296294</v>
      </c>
      <c r="L127" s="1">
        <f t="shared" si="31"/>
        <v>2829.6</v>
      </c>
      <c r="M127" s="4">
        <v>47.16</v>
      </c>
      <c r="N127" s="4">
        <f t="shared" si="32"/>
        <v>23.1899999999996</v>
      </c>
      <c r="O127" s="4">
        <f t="shared" si="33"/>
        <v>23189.9999999996</v>
      </c>
      <c r="P127" s="5">
        <v>0.92722910835665007</v>
      </c>
      <c r="Q127">
        <v>1146</v>
      </c>
      <c r="R127" s="1">
        <f>Q127/10000</f>
        <v>0.11459999999999999</v>
      </c>
      <c r="S127" s="5">
        <f t="shared" si="34"/>
        <v>71.514002312130657</v>
      </c>
      <c r="T127" s="4">
        <v>32</v>
      </c>
      <c r="U127" s="8">
        <f>+AVERAGE([1]humidity!$B$23635:$B$23728)</f>
        <v>48.244680851063826</v>
      </c>
      <c r="V127">
        <f t="shared" si="35"/>
        <v>4.7547753962618131</v>
      </c>
      <c r="W127">
        <f t="shared" si="36"/>
        <v>2.293926215111417</v>
      </c>
      <c r="X127" s="6">
        <f t="shared" si="37"/>
        <v>2.4608491811503961</v>
      </c>
    </row>
    <row r="128" spans="1:30" x14ac:dyDescent="0.25">
      <c r="A128">
        <v>1</v>
      </c>
      <c r="B128" s="1">
        <v>2</v>
      </c>
      <c r="C128">
        <v>1</v>
      </c>
      <c r="D128">
        <v>5</v>
      </c>
      <c r="E128" t="s">
        <v>28</v>
      </c>
      <c r="F128" s="14" t="s">
        <v>40</v>
      </c>
      <c r="G128" s="1">
        <v>5</v>
      </c>
      <c r="H128">
        <v>2169.8200000000002</v>
      </c>
      <c r="I128">
        <v>2147.1</v>
      </c>
      <c r="J128" s="7">
        <v>0.58910879629629631</v>
      </c>
      <c r="K128" s="7">
        <v>0.61982638888888886</v>
      </c>
      <c r="L128" s="1">
        <f t="shared" si="31"/>
        <v>2648.4</v>
      </c>
      <c r="M128" s="4">
        <f>52.33-8.19</f>
        <v>44.14</v>
      </c>
      <c r="N128" s="4">
        <f t="shared" si="32"/>
        <v>22.720000000000255</v>
      </c>
      <c r="O128" s="4">
        <f t="shared" si="33"/>
        <v>22720.000000000255</v>
      </c>
      <c r="P128" s="5">
        <v>0.90843662534987879</v>
      </c>
      <c r="Q128">
        <v>1146</v>
      </c>
      <c r="R128" s="1">
        <f>Q128/10000</f>
        <v>0.11459999999999999</v>
      </c>
      <c r="S128" s="5">
        <f t="shared" si="34"/>
        <v>74.858329293883827</v>
      </c>
      <c r="T128" s="4">
        <v>32</v>
      </c>
      <c r="U128" s="8">
        <f>+AVERAGE([1]humidity!$B$23800:$B$23885)</f>
        <v>34.860465116279073</v>
      </c>
      <c r="V128">
        <f t="shared" si="35"/>
        <v>4.7547753962618131</v>
      </c>
      <c r="W128">
        <f t="shared" si="36"/>
        <v>1.6575368183712693</v>
      </c>
      <c r="X128" s="6">
        <f t="shared" si="37"/>
        <v>3.0972385778905438</v>
      </c>
    </row>
    <row r="129" spans="1:24" x14ac:dyDescent="0.25">
      <c r="A129">
        <v>1</v>
      </c>
      <c r="B129" s="1">
        <v>2</v>
      </c>
      <c r="C129">
        <v>1</v>
      </c>
      <c r="D129">
        <v>5</v>
      </c>
      <c r="E129" t="s">
        <v>28</v>
      </c>
      <c r="F129" s="14" t="s">
        <v>40</v>
      </c>
      <c r="G129" s="1">
        <v>6</v>
      </c>
      <c r="H129">
        <v>2125.9299999999998</v>
      </c>
      <c r="I129">
        <v>2100.92</v>
      </c>
      <c r="J129" s="7">
        <v>0.64884259259259258</v>
      </c>
      <c r="K129" s="7">
        <v>0.68104166666666666</v>
      </c>
      <c r="L129" s="1">
        <f t="shared" si="31"/>
        <v>2748</v>
      </c>
      <c r="M129" s="4">
        <f>+(60-34.2)+20</f>
        <v>45.8</v>
      </c>
      <c r="N129" s="4">
        <f t="shared" si="32"/>
        <v>25.009999999999764</v>
      </c>
      <c r="O129" s="4">
        <f t="shared" si="33"/>
        <v>25009.999999999764</v>
      </c>
      <c r="P129" s="5">
        <v>1</v>
      </c>
      <c r="Q129">
        <v>1146</v>
      </c>
      <c r="R129" s="1">
        <f>Q129/10000</f>
        <v>0.11459999999999999</v>
      </c>
      <c r="S129" s="5">
        <f t="shared" si="34"/>
        <v>79.416793047648056</v>
      </c>
      <c r="T129" s="4">
        <v>32</v>
      </c>
      <c r="U129" s="8">
        <f>+AVERAGE([1]humidity!$B$23968:$B$24060)</f>
        <v>19.892473118279568</v>
      </c>
      <c r="V129">
        <f t="shared" si="35"/>
        <v>4.7547753962618131</v>
      </c>
      <c r="W129">
        <f t="shared" si="36"/>
        <v>0.945842417535952</v>
      </c>
      <c r="X129" s="6">
        <f t="shared" si="37"/>
        <v>3.8089329787258612</v>
      </c>
    </row>
    <row r="130" spans="1:24" x14ac:dyDescent="0.25">
      <c r="A130">
        <v>2</v>
      </c>
      <c r="B130">
        <v>1</v>
      </c>
      <c r="C130">
        <v>4</v>
      </c>
      <c r="D130">
        <v>4</v>
      </c>
      <c r="E130" t="s">
        <v>28</v>
      </c>
      <c r="F130" s="14" t="s">
        <v>40</v>
      </c>
      <c r="G130">
        <v>1</v>
      </c>
      <c r="H130">
        <v>2845.99</v>
      </c>
      <c r="I130">
        <v>2835.38</v>
      </c>
      <c r="J130" s="11">
        <v>0.49791666666666667</v>
      </c>
      <c r="K130" s="7">
        <v>0.53189814814814818</v>
      </c>
      <c r="L130">
        <f t="shared" ref="L130:L141" si="38">+M130*60</f>
        <v>2880</v>
      </c>
      <c r="M130">
        <v>48</v>
      </c>
      <c r="N130">
        <f t="shared" ref="N130:N141" si="39">+H130-I130</f>
        <v>10.609999999999673</v>
      </c>
      <c r="O130">
        <f t="shared" ref="O130:O141" si="40">+N130*1000</f>
        <v>10609.999999999673</v>
      </c>
      <c r="P130" s="2">
        <v>0.8886097152428496</v>
      </c>
      <c r="Q130">
        <v>914</v>
      </c>
      <c r="R130" s="1">
        <v>9.1399999999999995E-2</v>
      </c>
      <c r="S130" s="5">
        <v>40.306649647458038</v>
      </c>
      <c r="T130" s="4">
        <v>32</v>
      </c>
      <c r="U130" s="8">
        <v>77.865979381443296</v>
      </c>
      <c r="V130">
        <v>4.7547753962618131</v>
      </c>
      <c r="W130">
        <v>3.7023524296871622</v>
      </c>
      <c r="X130" s="6">
        <v>1.052422966574651</v>
      </c>
    </row>
    <row r="131" spans="1:24" x14ac:dyDescent="0.25">
      <c r="A131">
        <v>2</v>
      </c>
      <c r="B131">
        <v>1</v>
      </c>
      <c r="C131">
        <v>4</v>
      </c>
      <c r="D131">
        <v>4</v>
      </c>
      <c r="E131" t="s">
        <v>28</v>
      </c>
      <c r="F131" s="14" t="s">
        <v>40</v>
      </c>
      <c r="G131">
        <v>2</v>
      </c>
      <c r="H131">
        <v>2825.95</v>
      </c>
      <c r="I131">
        <v>2815.77</v>
      </c>
      <c r="J131" s="7">
        <v>0.55482638888888891</v>
      </c>
      <c r="K131" s="7">
        <v>0.58539351851851851</v>
      </c>
      <c r="L131">
        <f t="shared" si="38"/>
        <v>2640</v>
      </c>
      <c r="M131">
        <v>44</v>
      </c>
      <c r="N131">
        <f t="shared" si="39"/>
        <v>10.179999999999836</v>
      </c>
      <c r="O131">
        <f t="shared" si="40"/>
        <v>10179.999999999836</v>
      </c>
      <c r="P131" s="2">
        <v>0.85259631490785504</v>
      </c>
      <c r="Q131">
        <v>914</v>
      </c>
      <c r="R131">
        <v>9.1399999999999995E-2</v>
      </c>
      <c r="S131">
        <v>42.188846893441401</v>
      </c>
      <c r="T131">
        <v>32</v>
      </c>
      <c r="U131" s="8">
        <v>66.811764705882354</v>
      </c>
      <c r="V131">
        <v>4.7547753962618131</v>
      </c>
      <c r="W131">
        <v>3.1767493500436275</v>
      </c>
      <c r="X131" s="12">
        <v>1.5780260462181857</v>
      </c>
    </row>
    <row r="132" spans="1:24" x14ac:dyDescent="0.25">
      <c r="A132">
        <v>2</v>
      </c>
      <c r="B132">
        <v>1</v>
      </c>
      <c r="C132">
        <v>4</v>
      </c>
      <c r="D132">
        <v>4</v>
      </c>
      <c r="E132" t="s">
        <v>28</v>
      </c>
      <c r="F132" s="14" t="s">
        <v>40</v>
      </c>
      <c r="G132">
        <v>3</v>
      </c>
      <c r="H132">
        <v>2807.16</v>
      </c>
      <c r="I132">
        <v>2797.09</v>
      </c>
      <c r="J132" s="7">
        <v>0.60451388888888891</v>
      </c>
      <c r="K132" s="7">
        <v>0.63587962962962963</v>
      </c>
      <c r="L132">
        <f t="shared" si="38"/>
        <v>2700</v>
      </c>
      <c r="M132">
        <v>45</v>
      </c>
      <c r="N132">
        <f t="shared" si="39"/>
        <v>10.069999999999709</v>
      </c>
      <c r="O132">
        <f t="shared" si="40"/>
        <v>10069.999999999709</v>
      </c>
      <c r="P132" s="2">
        <v>0.84338358458958651</v>
      </c>
      <c r="Q132">
        <v>914</v>
      </c>
      <c r="R132">
        <v>9.1399999999999995E-2</v>
      </c>
      <c r="S132">
        <v>40.805575816515564</v>
      </c>
      <c r="T132">
        <v>32</v>
      </c>
      <c r="U132" s="8">
        <v>56</v>
      </c>
      <c r="V132">
        <v>4.7547753962618131</v>
      </c>
      <c r="W132">
        <v>2.6626742219066157</v>
      </c>
      <c r="X132" s="12">
        <v>2.0921011743551974</v>
      </c>
    </row>
    <row r="133" spans="1:24" x14ac:dyDescent="0.25">
      <c r="A133">
        <v>2</v>
      </c>
      <c r="B133">
        <v>1</v>
      </c>
      <c r="C133">
        <v>4</v>
      </c>
      <c r="D133">
        <v>4</v>
      </c>
      <c r="E133" t="s">
        <v>28</v>
      </c>
      <c r="F133" s="14" t="s">
        <v>40</v>
      </c>
      <c r="G133">
        <v>4</v>
      </c>
      <c r="H133">
        <v>2790.22</v>
      </c>
      <c r="I133">
        <v>2779.74</v>
      </c>
      <c r="J133" s="7">
        <v>0.65231481481481479</v>
      </c>
      <c r="K133" s="7">
        <v>0.68402777777777779</v>
      </c>
      <c r="L133">
        <f t="shared" si="38"/>
        <v>2700</v>
      </c>
      <c r="M133">
        <v>45</v>
      </c>
      <c r="N133">
        <f t="shared" si="39"/>
        <v>10.480000000000018</v>
      </c>
      <c r="O133">
        <f t="shared" si="40"/>
        <v>10480.000000000018</v>
      </c>
      <c r="P133" s="2">
        <v>0.87772194304857376</v>
      </c>
      <c r="Q133">
        <v>914</v>
      </c>
      <c r="R133">
        <v>9.1399999999999995E-2</v>
      </c>
      <c r="S133">
        <v>42.466974633276678</v>
      </c>
      <c r="T133">
        <v>32</v>
      </c>
      <c r="U133" s="8">
        <v>47.103448275862071</v>
      </c>
      <c r="V133">
        <v>4.7547753962618131</v>
      </c>
      <c r="W133">
        <v>2.2396631694115987</v>
      </c>
      <c r="X133" s="12">
        <v>2.5151122268502144</v>
      </c>
    </row>
    <row r="134" spans="1:24" x14ac:dyDescent="0.25">
      <c r="A134">
        <v>2</v>
      </c>
      <c r="B134">
        <v>1</v>
      </c>
      <c r="C134">
        <v>4</v>
      </c>
      <c r="D134">
        <v>4</v>
      </c>
      <c r="E134" t="s">
        <v>28</v>
      </c>
      <c r="F134" s="14" t="s">
        <v>40</v>
      </c>
      <c r="G134">
        <v>5</v>
      </c>
      <c r="H134">
        <v>2772.74</v>
      </c>
      <c r="I134">
        <v>2761.98</v>
      </c>
      <c r="J134" s="7">
        <v>0.70046296296296295</v>
      </c>
      <c r="K134" s="7">
        <v>0.73293981481481485</v>
      </c>
      <c r="L134">
        <f t="shared" si="38"/>
        <v>2760</v>
      </c>
      <c r="M134">
        <v>46</v>
      </c>
      <c r="N134">
        <f t="shared" si="39"/>
        <v>10.759999999999764</v>
      </c>
      <c r="O134">
        <f t="shared" si="40"/>
        <v>10759.999999999764</v>
      </c>
      <c r="P134" s="2">
        <v>0.9011725293132089</v>
      </c>
      <c r="Q134">
        <v>914</v>
      </c>
      <c r="R134">
        <v>9.1399999999999995E-2</v>
      </c>
      <c r="S134">
        <v>42.653727840673916</v>
      </c>
      <c r="T134">
        <v>32</v>
      </c>
      <c r="U134" s="8">
        <v>38.567010309278352</v>
      </c>
      <c r="V134">
        <v>4.7547753962618131</v>
      </c>
      <c r="W134">
        <v>1.8337747172593242</v>
      </c>
      <c r="X134" s="12">
        <v>2.9210006790024892</v>
      </c>
    </row>
    <row r="135" spans="1:24" x14ac:dyDescent="0.25">
      <c r="A135">
        <v>2</v>
      </c>
      <c r="B135">
        <v>1</v>
      </c>
      <c r="C135">
        <v>4</v>
      </c>
      <c r="D135">
        <v>4</v>
      </c>
      <c r="E135" t="s">
        <v>28</v>
      </c>
      <c r="F135" s="14" t="s">
        <v>40</v>
      </c>
      <c r="G135">
        <v>6</v>
      </c>
      <c r="H135">
        <v>2757.06</v>
      </c>
      <c r="I135">
        <v>2745.12</v>
      </c>
      <c r="J135" s="7">
        <v>0.74305555555555558</v>
      </c>
      <c r="K135" s="7">
        <v>0.77496527777777779</v>
      </c>
      <c r="L135">
        <f t="shared" si="38"/>
        <v>2700</v>
      </c>
      <c r="M135">
        <v>45</v>
      </c>
      <c r="N135">
        <f t="shared" si="39"/>
        <v>11.940000000000055</v>
      </c>
      <c r="O135">
        <f t="shared" si="40"/>
        <v>11940.000000000055</v>
      </c>
      <c r="P135">
        <v>1</v>
      </c>
      <c r="Q135">
        <v>914</v>
      </c>
      <c r="R135">
        <v>9.1399999999999995E-2</v>
      </c>
      <c r="S135">
        <v>48.383175297836353</v>
      </c>
      <c r="T135">
        <v>32</v>
      </c>
      <c r="U135" s="8">
        <v>23.483146067415731</v>
      </c>
      <c r="V135">
        <v>4.7547753962618131</v>
      </c>
      <c r="W135">
        <v>1.1165708514817068</v>
      </c>
      <c r="X135" s="12">
        <v>3.6382045447801064</v>
      </c>
    </row>
    <row r="136" spans="1:24" x14ac:dyDescent="0.25">
      <c r="A136">
        <v>2</v>
      </c>
      <c r="B136">
        <v>2</v>
      </c>
      <c r="C136">
        <v>4</v>
      </c>
      <c r="D136">
        <v>4</v>
      </c>
      <c r="E136" t="s">
        <v>28</v>
      </c>
      <c r="F136" s="14" t="s">
        <v>40</v>
      </c>
      <c r="G136">
        <v>2</v>
      </c>
      <c r="H136">
        <v>3072.65</v>
      </c>
      <c r="I136">
        <v>3057.85</v>
      </c>
      <c r="J136" s="7">
        <v>0.42677083333333332</v>
      </c>
      <c r="K136" s="7">
        <v>0.45771990740740742</v>
      </c>
      <c r="L136">
        <f t="shared" si="38"/>
        <v>2640</v>
      </c>
      <c r="M136">
        <v>44</v>
      </c>
      <c r="N136">
        <f t="shared" si="39"/>
        <v>14.800000000000182</v>
      </c>
      <c r="O136">
        <f t="shared" si="40"/>
        <v>14800.000000000182</v>
      </c>
      <c r="P136" s="2">
        <v>0.82085413200221946</v>
      </c>
      <c r="Q136">
        <v>914</v>
      </c>
      <c r="R136">
        <v>9.1399999999999995E-2</v>
      </c>
      <c r="S136">
        <v>61.335455208541305</v>
      </c>
      <c r="T136">
        <v>32</v>
      </c>
      <c r="U136" s="8">
        <v>64.888888888888886</v>
      </c>
      <c r="V136">
        <v>4.7547753962618131</v>
      </c>
      <c r="W136">
        <v>3.0853209237965542</v>
      </c>
      <c r="X136" s="12">
        <v>1.6694544724652589</v>
      </c>
    </row>
    <row r="137" spans="1:24" x14ac:dyDescent="0.25">
      <c r="A137">
        <v>2</v>
      </c>
      <c r="B137">
        <v>2</v>
      </c>
      <c r="C137">
        <v>1</v>
      </c>
      <c r="D137">
        <v>2</v>
      </c>
      <c r="E137" t="s">
        <v>25</v>
      </c>
      <c r="F137" s="21" t="s">
        <v>41</v>
      </c>
      <c r="G137">
        <v>2</v>
      </c>
      <c r="H137">
        <v>3131.6</v>
      </c>
      <c r="I137">
        <v>3117.81</v>
      </c>
      <c r="J137" s="7">
        <v>0.42677083333333332</v>
      </c>
      <c r="K137" s="7">
        <v>0.45771990740740742</v>
      </c>
      <c r="L137">
        <f t="shared" si="38"/>
        <v>2640</v>
      </c>
      <c r="M137">
        <v>44</v>
      </c>
      <c r="N137">
        <f t="shared" si="39"/>
        <v>13.789999999999964</v>
      </c>
      <c r="O137">
        <f t="shared" si="40"/>
        <v>13789.999999999964</v>
      </c>
      <c r="P137" s="2">
        <v>0.6971688574317404</v>
      </c>
      <c r="Q137">
        <v>915.55</v>
      </c>
      <c r="R137">
        <v>9.1554999999999997E-2</v>
      </c>
      <c r="S137">
        <v>57.052971967504071</v>
      </c>
      <c r="T137">
        <v>32</v>
      </c>
      <c r="U137" s="8">
        <v>64.888888888888886</v>
      </c>
      <c r="V137">
        <v>4.7547753962618131</v>
      </c>
      <c r="W137">
        <v>3.0853209237965542</v>
      </c>
      <c r="X137" s="12">
        <v>1.6694544724652589</v>
      </c>
    </row>
    <row r="138" spans="1:24" x14ac:dyDescent="0.25">
      <c r="A138">
        <v>2</v>
      </c>
      <c r="B138">
        <v>2</v>
      </c>
      <c r="C138">
        <v>4</v>
      </c>
      <c r="D138">
        <v>3</v>
      </c>
      <c r="E138" t="s">
        <v>27</v>
      </c>
      <c r="F138" s="21" t="s">
        <v>39</v>
      </c>
      <c r="G138">
        <v>2</v>
      </c>
      <c r="H138">
        <v>3128.82</v>
      </c>
      <c r="I138">
        <v>3114.71</v>
      </c>
      <c r="J138" s="7">
        <v>0.42677083333333332</v>
      </c>
      <c r="K138" s="7">
        <v>0.45771990740740742</v>
      </c>
      <c r="L138">
        <f t="shared" si="38"/>
        <v>2640</v>
      </c>
      <c r="M138">
        <v>44</v>
      </c>
      <c r="N138">
        <f t="shared" si="39"/>
        <v>14.110000000000127</v>
      </c>
      <c r="O138">
        <f t="shared" si="40"/>
        <v>14110.000000000127</v>
      </c>
      <c r="P138" s="2">
        <v>0.73797071129708203</v>
      </c>
      <c r="Q138">
        <v>793.6</v>
      </c>
      <c r="R138">
        <v>7.936E-2</v>
      </c>
      <c r="S138">
        <v>67.347492057674117</v>
      </c>
      <c r="T138">
        <v>32</v>
      </c>
      <c r="U138" s="8">
        <v>64.888888888888886</v>
      </c>
      <c r="V138">
        <v>4.7547753962618131</v>
      </c>
      <c r="W138">
        <v>3.0853209237965542</v>
      </c>
      <c r="X138" s="12">
        <v>1.6694544724652589</v>
      </c>
    </row>
    <row r="139" spans="1:24" x14ac:dyDescent="0.25">
      <c r="A139">
        <v>2</v>
      </c>
      <c r="B139">
        <v>2</v>
      </c>
      <c r="C139">
        <v>1</v>
      </c>
      <c r="D139">
        <v>4</v>
      </c>
      <c r="E139" t="s">
        <v>26</v>
      </c>
      <c r="F139" s="21" t="s">
        <v>41</v>
      </c>
      <c r="G139">
        <v>2</v>
      </c>
      <c r="H139">
        <v>3171.49</v>
      </c>
      <c r="I139">
        <v>3158.69</v>
      </c>
      <c r="J139" s="7">
        <v>0.42677083333333332</v>
      </c>
      <c r="K139" s="7">
        <v>0.45771990740740742</v>
      </c>
      <c r="L139">
        <f t="shared" si="38"/>
        <v>2640</v>
      </c>
      <c r="M139">
        <v>44</v>
      </c>
      <c r="N139">
        <f t="shared" si="39"/>
        <v>12.799999999999727</v>
      </c>
      <c r="O139">
        <f t="shared" si="40"/>
        <v>12799.999999999727</v>
      </c>
      <c r="P139" s="2">
        <v>0.78914919852031606</v>
      </c>
      <c r="Q139">
        <v>767.27</v>
      </c>
      <c r="R139">
        <v>7.6727000000000004E-2</v>
      </c>
      <c r="S139">
        <v>63.191377852447573</v>
      </c>
      <c r="T139">
        <v>32</v>
      </c>
      <c r="U139" s="8">
        <v>64.888888888888886</v>
      </c>
      <c r="V139">
        <v>4.7547753962618131</v>
      </c>
      <c r="W139">
        <v>3.0853209237965542</v>
      </c>
      <c r="X139" s="12">
        <v>1.6694544724652589</v>
      </c>
    </row>
    <row r="140" spans="1:24" x14ac:dyDescent="0.25">
      <c r="A140">
        <v>2</v>
      </c>
      <c r="B140">
        <v>2</v>
      </c>
      <c r="C140">
        <v>1</v>
      </c>
      <c r="D140">
        <v>3</v>
      </c>
      <c r="E140" t="s">
        <v>29</v>
      </c>
      <c r="F140" s="21" t="s">
        <v>42</v>
      </c>
      <c r="G140">
        <v>2</v>
      </c>
      <c r="H140">
        <v>3235.03</v>
      </c>
      <c r="I140">
        <v>3218.85</v>
      </c>
      <c r="J140" s="7">
        <v>0.42677083333333332</v>
      </c>
      <c r="K140" s="7">
        <v>0.45771990740740742</v>
      </c>
      <c r="L140">
        <f t="shared" si="38"/>
        <v>2640</v>
      </c>
      <c r="M140">
        <v>44</v>
      </c>
      <c r="N140">
        <f t="shared" si="39"/>
        <v>16.180000000000291</v>
      </c>
      <c r="O140">
        <f t="shared" si="40"/>
        <v>16180.000000000291</v>
      </c>
      <c r="P140" s="2">
        <v>0.84008307372793911</v>
      </c>
      <c r="Q140">
        <v>874.77</v>
      </c>
      <c r="R140">
        <v>8.7476999999999999E-2</v>
      </c>
      <c r="S140">
        <v>70.061706263223357</v>
      </c>
      <c r="T140">
        <v>32</v>
      </c>
      <c r="U140" s="8">
        <v>64.888888888888886</v>
      </c>
      <c r="V140">
        <v>4.7547753962618131</v>
      </c>
      <c r="W140">
        <v>3.0853209237965542</v>
      </c>
      <c r="X140" s="12">
        <v>1.6694544724652589</v>
      </c>
    </row>
    <row r="141" spans="1:24" x14ac:dyDescent="0.25">
      <c r="A141">
        <v>2</v>
      </c>
      <c r="B141">
        <v>2</v>
      </c>
      <c r="C141">
        <v>4</v>
      </c>
      <c r="D141">
        <v>1</v>
      </c>
      <c r="E141" t="s">
        <v>30</v>
      </c>
      <c r="F141" s="21" t="s">
        <v>39</v>
      </c>
      <c r="G141">
        <v>2</v>
      </c>
      <c r="H141">
        <v>3069.71</v>
      </c>
      <c r="I141">
        <v>3049.29</v>
      </c>
      <c r="J141" s="7">
        <v>0.42677083333333332</v>
      </c>
      <c r="K141" s="7">
        <v>0.45771990740740742</v>
      </c>
      <c r="L141">
        <f t="shared" si="38"/>
        <v>2640</v>
      </c>
      <c r="M141">
        <v>44</v>
      </c>
      <c r="N141">
        <f t="shared" si="39"/>
        <v>20.420000000000073</v>
      </c>
      <c r="O141">
        <f t="shared" si="40"/>
        <v>20420.000000000073</v>
      </c>
      <c r="P141" s="2">
        <v>0.80615870509278054</v>
      </c>
      <c r="Q141">
        <v>849</v>
      </c>
      <c r="R141">
        <v>8.4900000000000003E-2</v>
      </c>
      <c r="S141">
        <v>91.105400292679775</v>
      </c>
      <c r="T141">
        <v>32</v>
      </c>
      <c r="U141" s="8">
        <v>64.888888888888886</v>
      </c>
      <c r="V141">
        <v>4.7547753962618131</v>
      </c>
      <c r="W141">
        <v>3.0853209237965542</v>
      </c>
      <c r="X141" s="12">
        <v>1.6694544724652589</v>
      </c>
    </row>
    <row r="142" spans="1:24" x14ac:dyDescent="0.25">
      <c r="A142">
        <v>3</v>
      </c>
      <c r="B142">
        <v>1</v>
      </c>
      <c r="C142">
        <v>1</v>
      </c>
      <c r="D142">
        <v>1</v>
      </c>
      <c r="E142" t="s">
        <v>28</v>
      </c>
      <c r="F142" s="14" t="s">
        <v>40</v>
      </c>
      <c r="G142">
        <v>1</v>
      </c>
      <c r="H142">
        <v>2299.1799999999998</v>
      </c>
      <c r="I142">
        <v>2292.46</v>
      </c>
      <c r="J142">
        <v>0.48958333333333331</v>
      </c>
      <c r="K142">
        <v>0.52083333333333337</v>
      </c>
      <c r="L142">
        <v>2700</v>
      </c>
      <c r="M142">
        <v>45</v>
      </c>
      <c r="N142">
        <v>6.7199999999997999</v>
      </c>
      <c r="O142">
        <v>6719.9999999997999</v>
      </c>
      <c r="P142" s="2">
        <v>0.46408839779004085</v>
      </c>
      <c r="Q142">
        <v>824.25</v>
      </c>
      <c r="R142">
        <v>8.2424999999999998E-2</v>
      </c>
      <c r="S142">
        <v>30.195800896436943</v>
      </c>
      <c r="T142">
        <v>32</v>
      </c>
      <c r="U142" s="8">
        <v>79</v>
      </c>
      <c r="V142">
        <v>4.7547753962618131</v>
      </c>
      <c r="W142">
        <f t="shared" ref="W142:W173" si="41">V142*(U142/100)</f>
        <v>3.7562725630468323</v>
      </c>
      <c r="X142" s="12">
        <f t="shared" ref="X142:X173" si="42">V142-W142</f>
        <v>0.99850283321498079</v>
      </c>
    </row>
    <row r="143" spans="1:24" x14ac:dyDescent="0.25">
      <c r="A143">
        <v>3</v>
      </c>
      <c r="B143">
        <v>1</v>
      </c>
      <c r="C143">
        <v>1</v>
      </c>
      <c r="D143">
        <v>1</v>
      </c>
      <c r="E143" t="s">
        <v>28</v>
      </c>
      <c r="F143" s="14" t="s">
        <v>40</v>
      </c>
      <c r="G143">
        <v>2</v>
      </c>
      <c r="H143">
        <v>2289.8000000000002</v>
      </c>
      <c r="I143">
        <v>2279.5</v>
      </c>
      <c r="J143">
        <v>0.53055555555555556</v>
      </c>
      <c r="K143">
        <v>0.56180555555555556</v>
      </c>
      <c r="L143">
        <v>2700</v>
      </c>
      <c r="M143" s="8">
        <v>45</v>
      </c>
      <c r="N143">
        <v>10.300000000000182</v>
      </c>
      <c r="O143">
        <v>10300.000000000182</v>
      </c>
      <c r="P143" s="2">
        <v>0.71132596685084037</v>
      </c>
      <c r="Q143">
        <v>824.25</v>
      </c>
      <c r="R143">
        <v>8.2424999999999998E-2</v>
      </c>
      <c r="S143">
        <v>46.282254350195721</v>
      </c>
      <c r="T143">
        <v>32</v>
      </c>
      <c r="U143" s="8">
        <v>68</v>
      </c>
      <c r="V143">
        <v>4.7547753962618131</v>
      </c>
      <c r="W143">
        <f t="shared" si="41"/>
        <v>3.2332472694580332</v>
      </c>
      <c r="X143" s="12">
        <f t="shared" si="42"/>
        <v>1.5215281268037799</v>
      </c>
    </row>
    <row r="144" spans="1:24" x14ac:dyDescent="0.25">
      <c r="A144">
        <v>3</v>
      </c>
      <c r="B144">
        <v>1</v>
      </c>
      <c r="C144">
        <v>1</v>
      </c>
      <c r="D144">
        <v>1</v>
      </c>
      <c r="E144" t="s">
        <v>28</v>
      </c>
      <c r="F144" s="14" t="s">
        <v>40</v>
      </c>
      <c r="G144">
        <v>3</v>
      </c>
      <c r="H144">
        <v>2274.19</v>
      </c>
      <c r="I144">
        <v>2262.66</v>
      </c>
      <c r="J144">
        <v>0.57556712962962964</v>
      </c>
      <c r="K144">
        <v>0.60728009259259264</v>
      </c>
      <c r="L144">
        <v>2700</v>
      </c>
      <c r="M144" s="8">
        <v>45</v>
      </c>
      <c r="N144">
        <v>11.5300000000002</v>
      </c>
      <c r="O144">
        <v>11530.0000000002</v>
      </c>
      <c r="P144" s="2">
        <v>0.79627071823205697</v>
      </c>
      <c r="Q144">
        <v>824.25</v>
      </c>
      <c r="R144">
        <v>8.2424999999999998E-2</v>
      </c>
      <c r="S144">
        <v>51.809164335704516</v>
      </c>
      <c r="T144">
        <v>32</v>
      </c>
      <c r="U144" s="8">
        <v>57</v>
      </c>
      <c r="V144">
        <v>4.7547753962618131</v>
      </c>
      <c r="W144">
        <f t="shared" si="41"/>
        <v>2.7102219758692332</v>
      </c>
      <c r="X144" s="12">
        <f t="shared" si="42"/>
        <v>2.0445534203925799</v>
      </c>
    </row>
    <row r="145" spans="1:30" x14ac:dyDescent="0.25">
      <c r="A145">
        <v>3</v>
      </c>
      <c r="B145">
        <v>1</v>
      </c>
      <c r="C145">
        <v>1</v>
      </c>
      <c r="D145">
        <v>1</v>
      </c>
      <c r="E145" t="s">
        <v>28</v>
      </c>
      <c r="F145" s="14" t="s">
        <v>40</v>
      </c>
      <c r="G145">
        <v>4</v>
      </c>
      <c r="H145">
        <v>2255.8200000000002</v>
      </c>
      <c r="I145">
        <v>2244.3000000000002</v>
      </c>
      <c r="J145">
        <v>0.62638888888888888</v>
      </c>
      <c r="K145">
        <v>0.65733796296296299</v>
      </c>
      <c r="L145">
        <v>2640</v>
      </c>
      <c r="M145" s="8">
        <v>44</v>
      </c>
      <c r="N145">
        <v>11.519999999999982</v>
      </c>
      <c r="O145">
        <v>11519.999999999982</v>
      </c>
      <c r="P145" s="2">
        <v>0.79558011049723532</v>
      </c>
      <c r="Q145">
        <v>824.25</v>
      </c>
      <c r="R145">
        <v>8.2424999999999998E-2</v>
      </c>
      <c r="S145">
        <v>52.940689883364961</v>
      </c>
      <c r="T145">
        <v>32</v>
      </c>
      <c r="U145" s="8">
        <v>47</v>
      </c>
      <c r="V145">
        <v>4.7547753962618131</v>
      </c>
      <c r="W145">
        <f t="shared" si="41"/>
        <v>2.234744436243052</v>
      </c>
      <c r="X145" s="12">
        <f t="shared" si="42"/>
        <v>2.5200309600187611</v>
      </c>
    </row>
    <row r="146" spans="1:30" x14ac:dyDescent="0.25">
      <c r="A146">
        <v>3</v>
      </c>
      <c r="B146">
        <v>1</v>
      </c>
      <c r="C146">
        <v>1</v>
      </c>
      <c r="D146">
        <v>1</v>
      </c>
      <c r="E146" t="s">
        <v>28</v>
      </c>
      <c r="F146" s="14" t="s">
        <v>40</v>
      </c>
      <c r="G146">
        <v>5</v>
      </c>
      <c r="H146">
        <v>2236.31</v>
      </c>
      <c r="I146">
        <v>2224.58</v>
      </c>
      <c r="J146">
        <v>0.67721064814814813</v>
      </c>
      <c r="K146">
        <v>0.70833333333333337</v>
      </c>
      <c r="L146">
        <v>2640</v>
      </c>
      <c r="M146" s="8">
        <v>44</v>
      </c>
      <c r="N146">
        <v>11.730000000000018</v>
      </c>
      <c r="O146">
        <v>11730.000000000018</v>
      </c>
      <c r="P146" s="2">
        <v>0.81008287292817704</v>
      </c>
      <c r="Q146">
        <v>824.25</v>
      </c>
      <c r="R146">
        <v>8.2424999999999998E-2</v>
      </c>
      <c r="S146">
        <v>53.905754542697302</v>
      </c>
      <c r="T146">
        <v>32</v>
      </c>
      <c r="U146" s="8">
        <v>37</v>
      </c>
      <c r="V146">
        <v>4.7547753962618131</v>
      </c>
      <c r="W146">
        <f t="shared" si="41"/>
        <v>1.7592668966168707</v>
      </c>
      <c r="X146" s="12">
        <f t="shared" si="42"/>
        <v>2.9955084996449424</v>
      </c>
    </row>
    <row r="147" spans="1:30" x14ac:dyDescent="0.25">
      <c r="A147">
        <v>3</v>
      </c>
      <c r="B147">
        <v>1</v>
      </c>
      <c r="C147">
        <v>1</v>
      </c>
      <c r="D147">
        <v>1</v>
      </c>
      <c r="E147" t="s">
        <v>28</v>
      </c>
      <c r="F147" s="14" t="s">
        <v>40</v>
      </c>
      <c r="G147">
        <v>6</v>
      </c>
      <c r="H147">
        <v>2218.35</v>
      </c>
      <c r="I147">
        <v>2203.87</v>
      </c>
      <c r="J147">
        <v>0.72222222222222221</v>
      </c>
      <c r="K147">
        <v>0.7540162037037037</v>
      </c>
      <c r="L147">
        <v>2700</v>
      </c>
      <c r="M147" s="8">
        <v>45</v>
      </c>
      <c r="N147">
        <v>14.480000000000018</v>
      </c>
      <c r="O147">
        <v>14480.000000000018</v>
      </c>
      <c r="P147">
        <v>1</v>
      </c>
      <c r="Q147">
        <v>824.25</v>
      </c>
      <c r="R147">
        <v>8.2424999999999998E-2</v>
      </c>
      <c r="S147">
        <v>65.064761455419713</v>
      </c>
      <c r="T147">
        <v>32</v>
      </c>
      <c r="U147" s="8">
        <v>24</v>
      </c>
      <c r="V147">
        <v>4.7547753962618131</v>
      </c>
      <c r="W147">
        <f t="shared" si="41"/>
        <v>1.1411460951028352</v>
      </c>
      <c r="X147" s="12">
        <f t="shared" si="42"/>
        <v>3.6136293011589782</v>
      </c>
    </row>
    <row r="148" spans="1:30" x14ac:dyDescent="0.25">
      <c r="A148">
        <v>3</v>
      </c>
      <c r="B148">
        <v>2</v>
      </c>
      <c r="C148">
        <v>1</v>
      </c>
      <c r="D148">
        <v>1</v>
      </c>
      <c r="E148" t="s">
        <v>28</v>
      </c>
      <c r="F148" s="14" t="s">
        <v>40</v>
      </c>
      <c r="G148">
        <v>2</v>
      </c>
      <c r="H148">
        <v>2284.5300000000002</v>
      </c>
      <c r="I148">
        <v>2275.7600000000002</v>
      </c>
      <c r="J148">
        <v>0.375</v>
      </c>
      <c r="K148">
        <v>0.40574074074074074</v>
      </c>
      <c r="L148">
        <v>2640</v>
      </c>
      <c r="M148" s="8">
        <v>44</v>
      </c>
      <c r="N148">
        <v>8.7699999999999818</v>
      </c>
      <c r="O148">
        <v>8769.9999999999818</v>
      </c>
      <c r="P148" s="2">
        <v>0.62732474964234408</v>
      </c>
      <c r="Q148">
        <v>824.25</v>
      </c>
      <c r="R148">
        <v>8.2424999999999998E-2</v>
      </c>
      <c r="S148">
        <v>40.302938392110285</v>
      </c>
      <c r="T148">
        <v>32</v>
      </c>
      <c r="U148" s="8">
        <v>68</v>
      </c>
      <c r="V148">
        <v>4.7547753962618131</v>
      </c>
      <c r="W148">
        <f t="shared" si="41"/>
        <v>3.2332472694580332</v>
      </c>
      <c r="X148" s="12">
        <f t="shared" si="42"/>
        <v>1.5215281268037799</v>
      </c>
    </row>
    <row r="149" spans="1:30" x14ac:dyDescent="0.25">
      <c r="A149">
        <v>3</v>
      </c>
      <c r="B149">
        <v>2</v>
      </c>
      <c r="C149">
        <v>1</v>
      </c>
      <c r="D149">
        <v>1</v>
      </c>
      <c r="E149" t="s">
        <v>28</v>
      </c>
      <c r="F149" s="14" t="s">
        <v>40</v>
      </c>
      <c r="G149">
        <v>3</v>
      </c>
      <c r="H149">
        <v>2269.21</v>
      </c>
      <c r="I149">
        <v>2260</v>
      </c>
      <c r="J149">
        <v>0.42790509259259257</v>
      </c>
      <c r="K149">
        <v>0.45833333333333331</v>
      </c>
      <c r="L149">
        <v>2580</v>
      </c>
      <c r="M149" s="8">
        <v>43</v>
      </c>
      <c r="N149">
        <v>9.2100000000000364</v>
      </c>
      <c r="O149">
        <v>9210.0000000000364</v>
      </c>
      <c r="P149" s="2">
        <v>0.65879828326180434</v>
      </c>
      <c r="Q149">
        <v>824.25</v>
      </c>
      <c r="R149">
        <v>8.2424999999999998E-2</v>
      </c>
      <c r="S149">
        <v>43.309280459332477</v>
      </c>
      <c r="T149">
        <v>32</v>
      </c>
      <c r="U149" s="8">
        <v>57</v>
      </c>
      <c r="V149">
        <v>4.7547753962618131</v>
      </c>
      <c r="W149">
        <f t="shared" si="41"/>
        <v>2.7102219758692332</v>
      </c>
      <c r="X149" s="12">
        <f t="shared" si="42"/>
        <v>2.0445534203925799</v>
      </c>
    </row>
    <row r="150" spans="1:30" x14ac:dyDescent="0.25">
      <c r="A150">
        <v>3</v>
      </c>
      <c r="B150">
        <v>2</v>
      </c>
      <c r="C150">
        <v>1</v>
      </c>
      <c r="D150">
        <v>1</v>
      </c>
      <c r="E150" t="s">
        <v>28</v>
      </c>
      <c r="F150" s="14" t="s">
        <v>40</v>
      </c>
      <c r="G150">
        <v>4</v>
      </c>
      <c r="H150">
        <v>2253.88</v>
      </c>
      <c r="I150">
        <v>2243.1799999999998</v>
      </c>
      <c r="J150">
        <v>0.47795138888888888</v>
      </c>
      <c r="K150">
        <v>0.50929398148148153</v>
      </c>
      <c r="L150">
        <v>2700</v>
      </c>
      <c r="M150" s="8">
        <v>45</v>
      </c>
      <c r="N150">
        <v>10.700000000000273</v>
      </c>
      <c r="O150">
        <v>10700.000000000273</v>
      </c>
      <c r="P150" s="2">
        <v>0.7653791130186165</v>
      </c>
      <c r="Q150">
        <v>824.25</v>
      </c>
      <c r="R150">
        <v>8.2424999999999998E-2</v>
      </c>
      <c r="S150">
        <v>48.079623451174577</v>
      </c>
      <c r="T150">
        <v>32</v>
      </c>
      <c r="U150" s="8">
        <v>47</v>
      </c>
      <c r="V150">
        <v>4.7547753962618131</v>
      </c>
      <c r="W150">
        <f t="shared" si="41"/>
        <v>2.234744436243052</v>
      </c>
      <c r="X150" s="12">
        <f t="shared" si="42"/>
        <v>2.5200309600187611</v>
      </c>
    </row>
    <row r="151" spans="1:30" x14ac:dyDescent="0.25">
      <c r="A151">
        <v>3</v>
      </c>
      <c r="B151">
        <v>2</v>
      </c>
      <c r="C151">
        <v>4</v>
      </c>
      <c r="D151">
        <v>1</v>
      </c>
      <c r="E151" t="s">
        <v>25</v>
      </c>
      <c r="F151" s="21" t="s">
        <v>41</v>
      </c>
      <c r="G151">
        <v>5</v>
      </c>
      <c r="H151">
        <v>2546.9299999999998</v>
      </c>
      <c r="I151">
        <v>2532.0500000000002</v>
      </c>
      <c r="J151">
        <v>0.52800925925925923</v>
      </c>
      <c r="K151">
        <v>0.55902777777777779</v>
      </c>
      <c r="L151">
        <v>2640</v>
      </c>
      <c r="M151" s="8">
        <v>44</v>
      </c>
      <c r="N151">
        <v>14.879999999999654</v>
      </c>
      <c r="O151">
        <v>14879.999999999654</v>
      </c>
      <c r="P151" s="2">
        <v>0.85862665897286305</v>
      </c>
      <c r="Q151">
        <v>1049.8</v>
      </c>
      <c r="R151">
        <v>0.10497999999999999</v>
      </c>
      <c r="S151">
        <v>53.689880323523582</v>
      </c>
      <c r="T151">
        <v>32</v>
      </c>
      <c r="U151" s="8">
        <v>37</v>
      </c>
      <c r="V151">
        <v>4.7547753962618131</v>
      </c>
      <c r="W151">
        <f t="shared" si="41"/>
        <v>1.7592668966168707</v>
      </c>
      <c r="X151" s="12">
        <f t="shared" si="42"/>
        <v>2.9955084996449424</v>
      </c>
      <c r="Y151" s="23">
        <v>0.15525900000000001</v>
      </c>
      <c r="Z151" s="23">
        <v>0.120229</v>
      </c>
      <c r="AA151" s="23">
        <v>0.132579</v>
      </c>
      <c r="AB151">
        <v>26.62</v>
      </c>
      <c r="AC151">
        <v>26.47</v>
      </c>
      <c r="AD151">
        <v>26.29</v>
      </c>
    </row>
    <row r="152" spans="1:30" x14ac:dyDescent="0.25">
      <c r="A152">
        <v>3</v>
      </c>
      <c r="B152">
        <v>2</v>
      </c>
      <c r="C152">
        <v>4</v>
      </c>
      <c r="D152">
        <v>2</v>
      </c>
      <c r="E152" t="s">
        <v>27</v>
      </c>
      <c r="F152" s="21" t="s">
        <v>39</v>
      </c>
      <c r="G152">
        <v>5</v>
      </c>
      <c r="H152">
        <v>2412.3200000000002</v>
      </c>
      <c r="I152">
        <v>2401.96</v>
      </c>
      <c r="J152">
        <v>0.52800925925925923</v>
      </c>
      <c r="K152">
        <v>0.55902777777777779</v>
      </c>
      <c r="L152">
        <v>2640</v>
      </c>
      <c r="M152" s="8">
        <v>44</v>
      </c>
      <c r="N152">
        <v>10.360000000000127</v>
      </c>
      <c r="O152">
        <v>10360.000000000127</v>
      </c>
      <c r="P152" s="2">
        <v>0.86694560669458454</v>
      </c>
      <c r="Q152">
        <v>661.3</v>
      </c>
      <c r="R152">
        <v>6.6129999999999994E-2</v>
      </c>
      <c r="S152">
        <v>59.341334103167597</v>
      </c>
      <c r="T152">
        <v>32</v>
      </c>
      <c r="U152" s="8">
        <v>37</v>
      </c>
      <c r="V152">
        <v>4.7547753962618131</v>
      </c>
      <c r="W152">
        <f t="shared" si="41"/>
        <v>1.7592668966168707</v>
      </c>
      <c r="X152" s="12">
        <f t="shared" si="42"/>
        <v>2.9955084996449424</v>
      </c>
      <c r="Y152" s="23">
        <v>0.14099300000000001</v>
      </c>
      <c r="Z152" s="23">
        <v>0.120781</v>
      </c>
      <c r="AA152" s="23">
        <v>9.0486999999999998E-2</v>
      </c>
      <c r="AB152">
        <v>27.12</v>
      </c>
      <c r="AC152">
        <v>27.08</v>
      </c>
      <c r="AD152">
        <v>26.92</v>
      </c>
    </row>
    <row r="153" spans="1:30" x14ac:dyDescent="0.25">
      <c r="A153">
        <v>4</v>
      </c>
      <c r="B153">
        <v>1</v>
      </c>
      <c r="C153">
        <v>1</v>
      </c>
      <c r="D153">
        <v>5</v>
      </c>
      <c r="E153" t="s">
        <v>36</v>
      </c>
      <c r="F153" s="21" t="s">
        <v>41</v>
      </c>
      <c r="G153">
        <v>3</v>
      </c>
      <c r="H153">
        <v>2798.81</v>
      </c>
      <c r="I153">
        <v>2772.71</v>
      </c>
      <c r="J153" s="7">
        <v>0.44297453703703704</v>
      </c>
      <c r="K153" s="7">
        <v>0.47096064814814814</v>
      </c>
      <c r="L153" s="8">
        <f t="shared" ref="L153:L172" si="43">M153*60</f>
        <v>2410.8000000000002</v>
      </c>
      <c r="M153" s="8">
        <v>40.18</v>
      </c>
      <c r="N153" s="8">
        <f t="shared" ref="N153:N172" si="44">H153-I153</f>
        <v>26.099999999999909</v>
      </c>
      <c r="O153">
        <f t="shared" ref="O153:O172" si="45">N153*1000</f>
        <v>26099.999999999909</v>
      </c>
      <c r="P153" s="2">
        <v>0.61980527190690637</v>
      </c>
      <c r="Q153">
        <v>3860.73</v>
      </c>
      <c r="R153">
        <f t="shared" ref="R153:R162" si="46">+Q153/10000</f>
        <v>0.386073</v>
      </c>
      <c r="S153">
        <f t="shared" ref="S153:S172" si="47">O153/(R153*L153)</f>
        <v>28.042058709635324</v>
      </c>
      <c r="T153">
        <v>32</v>
      </c>
      <c r="U153" s="8">
        <v>57</v>
      </c>
      <c r="V153">
        <f t="shared" ref="V153:V172" si="48">0.6108*EXP((17.27*T153)/(T153+237.3))</f>
        <v>4.7547753962618131</v>
      </c>
      <c r="W153">
        <f t="shared" si="41"/>
        <v>2.7102219758692332</v>
      </c>
      <c r="X153" s="12">
        <f t="shared" si="42"/>
        <v>2.0445534203925799</v>
      </c>
      <c r="Y153" s="23">
        <v>0.11688999999999999</v>
      </c>
      <c r="Z153" s="23">
        <v>0.27665000000000001</v>
      </c>
      <c r="AA153" s="23">
        <v>0.21926499999999999</v>
      </c>
      <c r="AB153">
        <v>26.43</v>
      </c>
      <c r="AC153">
        <v>26.06</v>
      </c>
      <c r="AD153">
        <v>26.37</v>
      </c>
    </row>
    <row r="154" spans="1:30" x14ac:dyDescent="0.25">
      <c r="A154">
        <v>4</v>
      </c>
      <c r="B154">
        <v>1</v>
      </c>
      <c r="C154">
        <v>6</v>
      </c>
      <c r="D154">
        <v>1</v>
      </c>
      <c r="E154" t="s">
        <v>25</v>
      </c>
      <c r="F154" s="21" t="s">
        <v>41</v>
      </c>
      <c r="G154">
        <v>3</v>
      </c>
      <c r="H154">
        <v>2670.16</v>
      </c>
      <c r="I154">
        <v>2631.85</v>
      </c>
      <c r="J154" s="7">
        <v>0.44297453703703704</v>
      </c>
      <c r="K154" s="7">
        <v>0.47096064814814814</v>
      </c>
      <c r="L154" s="8">
        <f t="shared" si="43"/>
        <v>2410.8000000000002</v>
      </c>
      <c r="M154" s="8">
        <v>40.18</v>
      </c>
      <c r="N154" s="8">
        <f t="shared" si="44"/>
        <v>38.309999999999945</v>
      </c>
      <c r="O154">
        <f t="shared" si="45"/>
        <v>38309.999999999942</v>
      </c>
      <c r="P154" s="2">
        <v>0.82333978078658443</v>
      </c>
      <c r="Q154">
        <v>3248.02</v>
      </c>
      <c r="R154">
        <f t="shared" si="46"/>
        <v>0.32480199999999998</v>
      </c>
      <c r="S154">
        <f t="shared" si="47"/>
        <v>48.92516222978449</v>
      </c>
      <c r="T154">
        <v>32</v>
      </c>
      <c r="U154" s="8">
        <v>57</v>
      </c>
      <c r="V154">
        <f t="shared" si="48"/>
        <v>4.7547753962618131</v>
      </c>
      <c r="W154">
        <f t="shared" si="41"/>
        <v>2.7102219758692332</v>
      </c>
      <c r="X154" s="12">
        <f t="shared" si="42"/>
        <v>2.0445534203925799</v>
      </c>
      <c r="Y154" s="23">
        <v>0.48991000000000001</v>
      </c>
      <c r="Z154" s="23">
        <v>0.44988400000000001</v>
      </c>
      <c r="AA154" s="23">
        <v>0.223334</v>
      </c>
      <c r="AB154">
        <v>26.79</v>
      </c>
      <c r="AC154">
        <v>26.6</v>
      </c>
      <c r="AD154">
        <v>27.31</v>
      </c>
    </row>
    <row r="155" spans="1:30" x14ac:dyDescent="0.25">
      <c r="A155">
        <v>4</v>
      </c>
      <c r="B155">
        <v>1</v>
      </c>
      <c r="C155">
        <v>6</v>
      </c>
      <c r="D155">
        <v>4</v>
      </c>
      <c r="E155" t="s">
        <v>32</v>
      </c>
      <c r="F155" s="21" t="s">
        <v>42</v>
      </c>
      <c r="G155">
        <v>3</v>
      </c>
      <c r="H155">
        <v>2613.92</v>
      </c>
      <c r="I155">
        <v>2578.15</v>
      </c>
      <c r="J155" s="7">
        <v>0.44297453703703704</v>
      </c>
      <c r="K155" s="7">
        <v>0.47096064814814814</v>
      </c>
      <c r="L155" s="8">
        <f t="shared" si="43"/>
        <v>2410.8000000000002</v>
      </c>
      <c r="M155" s="8">
        <v>40.18</v>
      </c>
      <c r="N155" s="8">
        <f t="shared" si="44"/>
        <v>35.769999999999982</v>
      </c>
      <c r="O155">
        <f t="shared" si="45"/>
        <v>35769.999999999985</v>
      </c>
      <c r="P155" s="2">
        <v>0.73813454395377542</v>
      </c>
      <c r="Q155">
        <v>4004.66</v>
      </c>
      <c r="R155">
        <f t="shared" si="46"/>
        <v>0.40046599999999999</v>
      </c>
      <c r="S155">
        <f t="shared" si="47"/>
        <v>37.050332297832355</v>
      </c>
      <c r="T155">
        <v>32</v>
      </c>
      <c r="U155" s="8">
        <v>57</v>
      </c>
      <c r="V155">
        <f t="shared" si="48"/>
        <v>4.7547753962618131</v>
      </c>
      <c r="W155">
        <f t="shared" si="41"/>
        <v>2.7102219758692332</v>
      </c>
      <c r="X155" s="12">
        <f t="shared" si="42"/>
        <v>2.0445534203925799</v>
      </c>
      <c r="Y155" s="23">
        <v>0.17252100000000001</v>
      </c>
      <c r="Z155" s="23">
        <v>0.217392</v>
      </c>
      <c r="AA155" s="23">
        <v>0.25740499999999999</v>
      </c>
      <c r="AB155">
        <v>27.82</v>
      </c>
      <c r="AC155">
        <v>27.86</v>
      </c>
      <c r="AD155">
        <v>27.76</v>
      </c>
    </row>
    <row r="156" spans="1:30" x14ac:dyDescent="0.25">
      <c r="A156">
        <v>4</v>
      </c>
      <c r="B156">
        <v>1</v>
      </c>
      <c r="C156">
        <v>4</v>
      </c>
      <c r="D156">
        <v>1</v>
      </c>
      <c r="E156" t="s">
        <v>26</v>
      </c>
      <c r="F156" s="21" t="s">
        <v>41</v>
      </c>
      <c r="G156">
        <v>3</v>
      </c>
      <c r="H156">
        <v>2495.27</v>
      </c>
      <c r="I156">
        <v>2465.1799999999998</v>
      </c>
      <c r="J156" s="7">
        <v>0.44297453703703704</v>
      </c>
      <c r="K156" s="7">
        <v>0.47096064814814814</v>
      </c>
      <c r="L156" s="8">
        <f t="shared" si="43"/>
        <v>2410.8000000000002</v>
      </c>
      <c r="M156" s="8">
        <v>40.18</v>
      </c>
      <c r="N156" s="8">
        <f t="shared" si="44"/>
        <v>30.090000000000146</v>
      </c>
      <c r="O156">
        <f t="shared" si="45"/>
        <v>30090.000000000146</v>
      </c>
      <c r="P156" s="2">
        <v>0.79288537549407878</v>
      </c>
      <c r="Q156">
        <v>3146.27</v>
      </c>
      <c r="R156">
        <f t="shared" si="46"/>
        <v>0.31462699999999999</v>
      </c>
      <c r="S156">
        <f t="shared" si="47"/>
        <v>39.670257152162712</v>
      </c>
      <c r="T156">
        <v>32</v>
      </c>
      <c r="U156" s="8">
        <v>57</v>
      </c>
      <c r="V156">
        <f t="shared" si="48"/>
        <v>4.7547753962618131</v>
      </c>
      <c r="W156">
        <f t="shared" si="41"/>
        <v>2.7102219758692332</v>
      </c>
      <c r="X156" s="12">
        <f t="shared" si="42"/>
        <v>2.0445534203925799</v>
      </c>
      <c r="Y156" s="23">
        <v>0.25258000000000003</v>
      </c>
      <c r="Z156" s="23">
        <v>0.28605599999999998</v>
      </c>
      <c r="AA156" s="23">
        <v>0.17630999999999999</v>
      </c>
      <c r="AB156">
        <v>27.07</v>
      </c>
      <c r="AC156">
        <v>26.82</v>
      </c>
      <c r="AD156">
        <v>27.33</v>
      </c>
    </row>
    <row r="157" spans="1:30" x14ac:dyDescent="0.25">
      <c r="A157">
        <v>4</v>
      </c>
      <c r="B157">
        <v>1</v>
      </c>
      <c r="C157">
        <v>1</v>
      </c>
      <c r="D157">
        <v>2</v>
      </c>
      <c r="E157" t="s">
        <v>29</v>
      </c>
      <c r="F157" s="21" t="s">
        <v>42</v>
      </c>
      <c r="G157">
        <v>3</v>
      </c>
      <c r="H157">
        <v>2826.94</v>
      </c>
      <c r="I157">
        <v>2790.22</v>
      </c>
      <c r="J157" s="7">
        <v>0.44297453703703704</v>
      </c>
      <c r="K157" s="7">
        <v>0.47096064814814814</v>
      </c>
      <c r="L157" s="8">
        <f t="shared" si="43"/>
        <v>2410.8000000000002</v>
      </c>
      <c r="M157" s="8">
        <v>40.18</v>
      </c>
      <c r="N157" s="8">
        <f t="shared" si="44"/>
        <v>36.720000000000255</v>
      </c>
      <c r="O157">
        <f t="shared" si="45"/>
        <v>36720.000000000255</v>
      </c>
      <c r="P157" s="2">
        <v>0.67849223946785531</v>
      </c>
      <c r="Q157">
        <v>4071.71</v>
      </c>
      <c r="R157">
        <f t="shared" si="46"/>
        <v>0.40717100000000001</v>
      </c>
      <c r="S157">
        <f t="shared" si="47"/>
        <v>37.408013922979421</v>
      </c>
      <c r="T157">
        <v>32</v>
      </c>
      <c r="U157" s="8">
        <v>57</v>
      </c>
      <c r="V157">
        <f t="shared" si="48"/>
        <v>4.7547753962618131</v>
      </c>
      <c r="W157">
        <f t="shared" si="41"/>
        <v>2.7102219758692332</v>
      </c>
      <c r="X157" s="12">
        <f t="shared" si="42"/>
        <v>2.0445534203925799</v>
      </c>
      <c r="Y157" s="23">
        <v>0.24619199999999999</v>
      </c>
      <c r="Z157" s="23">
        <v>0.16052</v>
      </c>
      <c r="AA157" s="23">
        <v>0.264241</v>
      </c>
      <c r="AB157">
        <v>26.42</v>
      </c>
      <c r="AC157">
        <v>26.4</v>
      </c>
      <c r="AD157">
        <v>26.05</v>
      </c>
    </row>
    <row r="158" spans="1:30" x14ac:dyDescent="0.25">
      <c r="A158">
        <v>4</v>
      </c>
      <c r="B158">
        <v>2</v>
      </c>
      <c r="C158">
        <v>1</v>
      </c>
      <c r="D158">
        <v>4</v>
      </c>
      <c r="E158" t="s">
        <v>36</v>
      </c>
      <c r="F158" s="21" t="s">
        <v>41</v>
      </c>
      <c r="G158">
        <v>2</v>
      </c>
      <c r="H158">
        <v>2751.46</v>
      </c>
      <c r="I158">
        <v>2715.28</v>
      </c>
      <c r="J158" s="11">
        <v>0.43112268518518521</v>
      </c>
      <c r="K158" s="11">
        <v>0.45833333333333331</v>
      </c>
      <c r="L158">
        <f t="shared" si="43"/>
        <v>2340</v>
      </c>
      <c r="M158" s="8">
        <v>39</v>
      </c>
      <c r="N158" s="8">
        <f t="shared" si="44"/>
        <v>36.179999999999836</v>
      </c>
      <c r="O158">
        <f t="shared" si="45"/>
        <v>36179.99999999984</v>
      </c>
      <c r="P158" s="2">
        <v>0.73224043715846887</v>
      </c>
      <c r="Q158">
        <v>3860.73</v>
      </c>
      <c r="R158">
        <f t="shared" si="46"/>
        <v>0.386073</v>
      </c>
      <c r="S158">
        <f t="shared" si="47"/>
        <v>40.048225236000427</v>
      </c>
      <c r="T158">
        <v>32</v>
      </c>
      <c r="U158" s="8">
        <v>64</v>
      </c>
      <c r="V158">
        <f t="shared" si="48"/>
        <v>4.7547753962618131</v>
      </c>
      <c r="W158">
        <f t="shared" si="41"/>
        <v>3.0430562536075603</v>
      </c>
      <c r="X158" s="12">
        <f t="shared" si="42"/>
        <v>1.7117191426542528</v>
      </c>
      <c r="Y158" s="22">
        <v>0.52687799999999996</v>
      </c>
      <c r="Z158" s="22">
        <v>0.78888999999999998</v>
      </c>
      <c r="AA158" s="22">
        <v>0.38973200000000002</v>
      </c>
      <c r="AB158">
        <v>26.74</v>
      </c>
      <c r="AC158">
        <v>26.78</v>
      </c>
      <c r="AD158">
        <v>27.54</v>
      </c>
    </row>
    <row r="159" spans="1:30" x14ac:dyDescent="0.25">
      <c r="A159">
        <v>4</v>
      </c>
      <c r="B159">
        <v>2</v>
      </c>
      <c r="C159">
        <v>6</v>
      </c>
      <c r="D159">
        <v>1</v>
      </c>
      <c r="E159" t="s">
        <v>25</v>
      </c>
      <c r="F159" s="21" t="s">
        <v>41</v>
      </c>
      <c r="G159">
        <v>2</v>
      </c>
      <c r="H159">
        <v>2556.29</v>
      </c>
      <c r="I159">
        <v>2515.29</v>
      </c>
      <c r="J159" s="11">
        <v>0.43112268518518521</v>
      </c>
      <c r="K159" s="11">
        <v>0.45833333333333331</v>
      </c>
      <c r="L159">
        <f t="shared" si="43"/>
        <v>2340</v>
      </c>
      <c r="M159" s="8">
        <v>39</v>
      </c>
      <c r="N159" s="8">
        <f t="shared" si="44"/>
        <v>41</v>
      </c>
      <c r="O159">
        <f t="shared" si="45"/>
        <v>41000</v>
      </c>
      <c r="P159" s="2">
        <v>0.89833479404030903</v>
      </c>
      <c r="Q159">
        <v>3248.02</v>
      </c>
      <c r="R159">
        <f t="shared" si="46"/>
        <v>0.32480199999999998</v>
      </c>
      <c r="S159">
        <f t="shared" si="47"/>
        <v>53.944764876347811</v>
      </c>
      <c r="T159">
        <v>32</v>
      </c>
      <c r="U159" s="8">
        <v>64</v>
      </c>
      <c r="V159">
        <f t="shared" si="48"/>
        <v>4.7547753962618131</v>
      </c>
      <c r="W159">
        <f t="shared" si="41"/>
        <v>3.0430562536075603</v>
      </c>
      <c r="X159" s="12">
        <f t="shared" si="42"/>
        <v>1.7117191426542528</v>
      </c>
      <c r="Y159" s="22">
        <v>0.117383</v>
      </c>
      <c r="Z159" s="22">
        <v>0.141513</v>
      </c>
      <c r="AA159" s="22">
        <v>0.18887200000000001</v>
      </c>
      <c r="AB159">
        <v>29.54</v>
      </c>
      <c r="AC159">
        <v>29.51</v>
      </c>
      <c r="AD159">
        <v>29.42</v>
      </c>
    </row>
    <row r="160" spans="1:30" x14ac:dyDescent="0.25">
      <c r="A160">
        <v>4</v>
      </c>
      <c r="B160">
        <v>2</v>
      </c>
      <c r="C160">
        <v>6</v>
      </c>
      <c r="D160">
        <v>4</v>
      </c>
      <c r="E160" t="s">
        <v>32</v>
      </c>
      <c r="F160" s="21" t="s">
        <v>42</v>
      </c>
      <c r="G160">
        <v>2</v>
      </c>
      <c r="H160">
        <v>2552.17</v>
      </c>
      <c r="I160">
        <v>2503.54</v>
      </c>
      <c r="J160" s="11">
        <v>0.43112268518518521</v>
      </c>
      <c r="K160" s="11">
        <v>0.45833333333333331</v>
      </c>
      <c r="L160">
        <f t="shared" si="43"/>
        <v>2340</v>
      </c>
      <c r="M160" s="8">
        <v>39</v>
      </c>
      <c r="N160" s="8">
        <f t="shared" si="44"/>
        <v>48.630000000000109</v>
      </c>
      <c r="O160">
        <f t="shared" si="45"/>
        <v>48630.000000000109</v>
      </c>
      <c r="P160" s="2">
        <v>0.79760537969493639</v>
      </c>
      <c r="Q160">
        <v>4004.66</v>
      </c>
      <c r="R160">
        <f t="shared" si="46"/>
        <v>0.40046599999999999</v>
      </c>
      <c r="S160">
        <f t="shared" si="47"/>
        <v>51.894670913514084</v>
      </c>
      <c r="T160">
        <v>32</v>
      </c>
      <c r="U160" s="8">
        <v>64</v>
      </c>
      <c r="V160">
        <f t="shared" si="48"/>
        <v>4.7547753962618131</v>
      </c>
      <c r="W160">
        <f t="shared" si="41"/>
        <v>3.0430562536075603</v>
      </c>
      <c r="X160" s="12">
        <f t="shared" si="42"/>
        <v>1.7117191426542528</v>
      </c>
      <c r="Y160" s="22">
        <v>0.31732300000000002</v>
      </c>
      <c r="Z160" s="22">
        <v>0.35349399999999997</v>
      </c>
      <c r="AA160" s="22">
        <v>0.49645699999999998</v>
      </c>
      <c r="AB160">
        <v>28.86</v>
      </c>
      <c r="AC160">
        <v>29.11</v>
      </c>
      <c r="AD160">
        <v>28.36</v>
      </c>
    </row>
    <row r="161" spans="1:30" x14ac:dyDescent="0.25">
      <c r="A161">
        <v>4</v>
      </c>
      <c r="B161">
        <v>2</v>
      </c>
      <c r="C161">
        <v>4</v>
      </c>
      <c r="D161">
        <v>1</v>
      </c>
      <c r="E161" t="s">
        <v>26</v>
      </c>
      <c r="F161" s="21" t="s">
        <v>41</v>
      </c>
      <c r="G161">
        <v>2</v>
      </c>
      <c r="H161">
        <v>2459.44</v>
      </c>
      <c r="I161">
        <v>2418.9299999999998</v>
      </c>
      <c r="J161" s="11">
        <v>0.43112268518518521</v>
      </c>
      <c r="K161" s="11">
        <v>0.45833333333333331</v>
      </c>
      <c r="L161">
        <f t="shared" si="43"/>
        <v>2340</v>
      </c>
      <c r="M161" s="8">
        <v>39</v>
      </c>
      <c r="N161" s="8">
        <f t="shared" si="44"/>
        <v>40.510000000000218</v>
      </c>
      <c r="O161">
        <f t="shared" si="45"/>
        <v>40510.000000000218</v>
      </c>
      <c r="P161" s="2">
        <v>0.84944432795135605</v>
      </c>
      <c r="Q161">
        <v>3146.27</v>
      </c>
      <c r="R161">
        <f t="shared" si="46"/>
        <v>0.31462699999999999</v>
      </c>
      <c r="S161">
        <f t="shared" si="47"/>
        <v>55.023776764123568</v>
      </c>
      <c r="T161">
        <v>32</v>
      </c>
      <c r="U161" s="8">
        <v>64</v>
      </c>
      <c r="V161">
        <f t="shared" si="48"/>
        <v>4.7547753962618131</v>
      </c>
      <c r="W161">
        <f t="shared" si="41"/>
        <v>3.0430562536075603</v>
      </c>
      <c r="X161" s="12">
        <f t="shared" si="42"/>
        <v>1.7117191426542528</v>
      </c>
      <c r="Y161" s="22">
        <v>0.34549099999999999</v>
      </c>
      <c r="Z161" s="22">
        <v>0.507575</v>
      </c>
      <c r="AA161" s="22">
        <v>0.58477100000000004</v>
      </c>
      <c r="AB161">
        <v>28.16</v>
      </c>
      <c r="AC161">
        <v>28.2</v>
      </c>
      <c r="AD161">
        <v>27.99</v>
      </c>
    </row>
    <row r="162" spans="1:30" x14ac:dyDescent="0.25">
      <c r="A162">
        <v>4</v>
      </c>
      <c r="B162">
        <v>2</v>
      </c>
      <c r="C162">
        <v>1</v>
      </c>
      <c r="D162">
        <v>2</v>
      </c>
      <c r="E162" t="s">
        <v>29</v>
      </c>
      <c r="F162" s="21" t="s">
        <v>42</v>
      </c>
      <c r="G162">
        <v>2</v>
      </c>
      <c r="H162">
        <v>2632.49</v>
      </c>
      <c r="I162">
        <v>2585.46</v>
      </c>
      <c r="J162" s="11">
        <v>0.43112268518518521</v>
      </c>
      <c r="K162" s="11">
        <v>0.45833333333333331</v>
      </c>
      <c r="L162">
        <f t="shared" si="43"/>
        <v>2340</v>
      </c>
      <c r="M162" s="8">
        <v>39</v>
      </c>
      <c r="N162" s="8">
        <f t="shared" si="44"/>
        <v>47.029999999999745</v>
      </c>
      <c r="O162">
        <f t="shared" si="45"/>
        <v>47029.999999999745</v>
      </c>
      <c r="P162" s="2">
        <v>0.80904868398417384</v>
      </c>
      <c r="Q162">
        <v>4071.71</v>
      </c>
      <c r="R162">
        <f t="shared" si="46"/>
        <v>0.40717100000000001</v>
      </c>
      <c r="S162">
        <f t="shared" si="47"/>
        <v>49.360810564334123</v>
      </c>
      <c r="T162">
        <v>32</v>
      </c>
      <c r="U162" s="8">
        <v>64</v>
      </c>
      <c r="V162">
        <f t="shared" si="48"/>
        <v>4.7547753962618131</v>
      </c>
      <c r="W162">
        <f t="shared" si="41"/>
        <v>3.0430562536075603</v>
      </c>
      <c r="X162" s="12">
        <f t="shared" si="42"/>
        <v>1.7117191426542528</v>
      </c>
      <c r="Y162" s="22">
        <v>0.19988600000000001</v>
      </c>
      <c r="Z162" s="22">
        <v>0.356076</v>
      </c>
      <c r="AA162" s="22">
        <v>0.36733100000000002</v>
      </c>
      <c r="AB162">
        <v>27.41</v>
      </c>
      <c r="AC162">
        <v>27.01</v>
      </c>
      <c r="AD162">
        <v>27.12</v>
      </c>
    </row>
    <row r="163" spans="1:30" x14ac:dyDescent="0.25">
      <c r="A163">
        <v>1</v>
      </c>
      <c r="B163" s="1">
        <v>1</v>
      </c>
      <c r="C163" s="1">
        <v>5</v>
      </c>
      <c r="D163" s="1">
        <v>3</v>
      </c>
      <c r="E163" t="s">
        <v>34</v>
      </c>
      <c r="F163" s="13" t="s">
        <v>39</v>
      </c>
      <c r="G163" s="1">
        <v>2</v>
      </c>
      <c r="H163">
        <v>2311.48</v>
      </c>
      <c r="I163">
        <v>2298.2600000000002</v>
      </c>
      <c r="J163" s="7">
        <v>0.35893518518518519</v>
      </c>
      <c r="K163" s="7">
        <v>0.38979166666666665</v>
      </c>
      <c r="L163" s="1">
        <f t="shared" si="43"/>
        <v>2655.6</v>
      </c>
      <c r="M163" s="1">
        <v>44.26</v>
      </c>
      <c r="N163" s="4">
        <f t="shared" si="44"/>
        <v>13.2199999999998</v>
      </c>
      <c r="O163" s="4">
        <f t="shared" si="45"/>
        <v>13219.9999999998</v>
      </c>
      <c r="P163" s="4">
        <v>1</v>
      </c>
      <c r="Q163">
        <v>853</v>
      </c>
      <c r="R163" s="1">
        <f>Q163/10000</f>
        <v>8.5300000000000001E-2</v>
      </c>
      <c r="S163" s="5">
        <f t="shared" si="47"/>
        <v>58.360602126020225</v>
      </c>
      <c r="T163" s="4">
        <v>32</v>
      </c>
      <c r="U163">
        <v>71</v>
      </c>
      <c r="V163">
        <f t="shared" si="48"/>
        <v>4.7547753962618131</v>
      </c>
      <c r="W163">
        <f t="shared" si="41"/>
        <v>3.3758905313458873</v>
      </c>
      <c r="X163" s="6">
        <f t="shared" si="42"/>
        <v>1.3788848649159258</v>
      </c>
    </row>
    <row r="164" spans="1:30" x14ac:dyDescent="0.25">
      <c r="A164">
        <v>1</v>
      </c>
      <c r="B164" s="1">
        <v>1</v>
      </c>
      <c r="C164" s="1">
        <v>5</v>
      </c>
      <c r="D164" s="1">
        <v>3</v>
      </c>
      <c r="E164" t="s">
        <v>34</v>
      </c>
      <c r="F164" s="13" t="s">
        <v>39</v>
      </c>
      <c r="G164" s="1">
        <v>3</v>
      </c>
      <c r="H164">
        <v>2291.94</v>
      </c>
      <c r="I164">
        <v>2280.88</v>
      </c>
      <c r="J164" s="7">
        <v>0.41251157407407407</v>
      </c>
      <c r="K164" s="7">
        <v>0.44452546296296297</v>
      </c>
      <c r="L164" s="1">
        <f t="shared" si="43"/>
        <v>2643.6000000000004</v>
      </c>
      <c r="M164" s="4">
        <v>44.06</v>
      </c>
      <c r="N164" s="4">
        <f t="shared" si="44"/>
        <v>11.059999999999945</v>
      </c>
      <c r="O164" s="4">
        <f t="shared" si="45"/>
        <v>11059.999999999945</v>
      </c>
      <c r="P164" s="4">
        <v>0.83661119515885873</v>
      </c>
      <c r="Q164">
        <v>853</v>
      </c>
      <c r="R164" s="1">
        <f>Q164/10000</f>
        <v>8.5300000000000001E-2</v>
      </c>
      <c r="S164" s="5">
        <f t="shared" si="47"/>
        <v>49.046763294998563</v>
      </c>
      <c r="T164" s="4">
        <v>32</v>
      </c>
      <c r="U164" s="8">
        <f>+AVERAGE([1]humidity!$B$20430:$B$20523)</f>
        <v>58.276595744680854</v>
      </c>
      <c r="V164">
        <f t="shared" si="48"/>
        <v>4.7547753962618131</v>
      </c>
      <c r="W164">
        <f t="shared" si="41"/>
        <v>2.7709212362470441</v>
      </c>
      <c r="X164" s="6">
        <f t="shared" si="42"/>
        <v>1.983854160014769</v>
      </c>
    </row>
    <row r="165" spans="1:30" x14ac:dyDescent="0.25">
      <c r="A165">
        <v>1</v>
      </c>
      <c r="B165" s="1">
        <v>1</v>
      </c>
      <c r="C165" s="1">
        <v>5</v>
      </c>
      <c r="D165" s="1">
        <v>3</v>
      </c>
      <c r="E165" t="s">
        <v>34</v>
      </c>
      <c r="F165" s="13" t="s">
        <v>39</v>
      </c>
      <c r="G165" s="1">
        <v>4</v>
      </c>
      <c r="H165">
        <v>2276.12</v>
      </c>
      <c r="I165">
        <v>2265</v>
      </c>
      <c r="J165" s="7">
        <v>0.46377314814814813</v>
      </c>
      <c r="K165" s="7">
        <v>0.49486111111111108</v>
      </c>
      <c r="L165" s="1">
        <f t="shared" si="43"/>
        <v>2667.6</v>
      </c>
      <c r="M165" s="1">
        <v>44.46</v>
      </c>
      <c r="N165" s="4">
        <f t="shared" si="44"/>
        <v>11.119999999999891</v>
      </c>
      <c r="O165" s="4">
        <f t="shared" si="45"/>
        <v>11119.999999999891</v>
      </c>
      <c r="P165" s="4">
        <v>0.84114977307110883</v>
      </c>
      <c r="Q165">
        <v>853</v>
      </c>
      <c r="R165" s="1">
        <f>Q165/10000</f>
        <v>8.5300000000000001E-2</v>
      </c>
      <c r="S165" s="5">
        <f t="shared" si="47"/>
        <v>48.869179491749506</v>
      </c>
      <c r="T165" s="4">
        <v>32</v>
      </c>
      <c r="U165" s="8">
        <f>+AVERAGE([1]humidity!$B$20576:$B$20667)</f>
        <v>47.380434782608695</v>
      </c>
      <c r="V165">
        <f t="shared" si="48"/>
        <v>4.7547753962618131</v>
      </c>
      <c r="W165">
        <f t="shared" si="41"/>
        <v>2.2528332556853523</v>
      </c>
      <c r="X165" s="6">
        <f t="shared" si="42"/>
        <v>2.5019421405764608</v>
      </c>
    </row>
    <row r="166" spans="1:30" x14ac:dyDescent="0.25">
      <c r="A166">
        <v>1</v>
      </c>
      <c r="B166" s="1">
        <v>1</v>
      </c>
      <c r="C166" s="1">
        <v>5</v>
      </c>
      <c r="D166" s="1">
        <v>3</v>
      </c>
      <c r="E166" t="s">
        <v>34</v>
      </c>
      <c r="F166" s="13" t="s">
        <v>39</v>
      </c>
      <c r="G166" s="1">
        <v>5</v>
      </c>
      <c r="H166">
        <v>2256.7600000000002</v>
      </c>
      <c r="I166">
        <v>2244.94</v>
      </c>
      <c r="J166" s="7">
        <v>0.51785879629629628</v>
      </c>
      <c r="K166" s="7">
        <v>0.54924768518518519</v>
      </c>
      <c r="L166" s="1">
        <f t="shared" si="43"/>
        <v>2707.2</v>
      </c>
      <c r="M166" s="4">
        <v>45.12</v>
      </c>
      <c r="N166" s="4">
        <f t="shared" si="44"/>
        <v>11.820000000000164</v>
      </c>
      <c r="O166" s="4">
        <f t="shared" si="45"/>
        <v>11820.000000000164</v>
      </c>
      <c r="P166" s="4">
        <v>0.89409984871409554</v>
      </c>
      <c r="Q166">
        <v>853</v>
      </c>
      <c r="R166" s="1">
        <f>Q166/10000</f>
        <v>8.5300000000000001E-2</v>
      </c>
      <c r="S166" s="5">
        <f t="shared" si="47"/>
        <v>51.185636011408093</v>
      </c>
      <c r="T166" s="4">
        <v>32</v>
      </c>
      <c r="U166" s="8">
        <f>+AVERAGE([1]humidity!$B$20731:$B$20822)</f>
        <v>37.228260869565219</v>
      </c>
      <c r="V166">
        <f t="shared" si="48"/>
        <v>4.7547753962618131</v>
      </c>
      <c r="W166">
        <f t="shared" si="41"/>
        <v>1.770120188282251</v>
      </c>
      <c r="X166" s="6">
        <f t="shared" si="42"/>
        <v>2.9846552079795621</v>
      </c>
    </row>
    <row r="167" spans="1:30" x14ac:dyDescent="0.25">
      <c r="A167">
        <v>1</v>
      </c>
      <c r="B167" s="1">
        <v>1</v>
      </c>
      <c r="C167" s="1">
        <v>5</v>
      </c>
      <c r="D167" s="1">
        <v>3</v>
      </c>
      <c r="E167" t="s">
        <v>34</v>
      </c>
      <c r="F167" s="13" t="s">
        <v>39</v>
      </c>
      <c r="G167" s="1">
        <v>6</v>
      </c>
      <c r="H167">
        <v>2236</v>
      </c>
      <c r="I167">
        <v>2225.0100000000002</v>
      </c>
      <c r="J167" s="7">
        <v>0.57593749999999999</v>
      </c>
      <c r="K167" s="7">
        <v>0.60682870370370368</v>
      </c>
      <c r="L167" s="1">
        <f t="shared" si="43"/>
        <v>2657.4</v>
      </c>
      <c r="M167" s="4">
        <v>44.29</v>
      </c>
      <c r="N167" s="4">
        <f t="shared" si="44"/>
        <v>10.989999999999782</v>
      </c>
      <c r="O167" s="4">
        <f t="shared" si="45"/>
        <v>10989.999999999782</v>
      </c>
      <c r="P167" s="4">
        <v>0.83131618759454973</v>
      </c>
      <c r="Q167">
        <v>853</v>
      </c>
      <c r="R167" s="1">
        <f>Q167/10000</f>
        <v>8.5300000000000001E-2</v>
      </c>
      <c r="S167" s="5">
        <f t="shared" si="47"/>
        <v>48.483250691227255</v>
      </c>
      <c r="T167" s="4">
        <v>32</v>
      </c>
      <c r="U167" s="8">
        <f>+AVERAGE([1]humidity!$B$20898:$B$20986)</f>
        <v>19.865168539325843</v>
      </c>
      <c r="V167">
        <f t="shared" si="48"/>
        <v>4.7547753962618131</v>
      </c>
      <c r="W167">
        <f t="shared" si="41"/>
        <v>0.94454414613380733</v>
      </c>
      <c r="X167" s="6">
        <f t="shared" si="42"/>
        <v>3.8102312501280058</v>
      </c>
    </row>
    <row r="168" spans="1:30" x14ac:dyDescent="0.25">
      <c r="A168">
        <v>1</v>
      </c>
      <c r="B168" s="1">
        <v>2</v>
      </c>
      <c r="C168">
        <v>5</v>
      </c>
      <c r="D168">
        <v>3</v>
      </c>
      <c r="E168" t="s">
        <v>34</v>
      </c>
      <c r="F168" s="13" t="s">
        <v>39</v>
      </c>
      <c r="G168" s="1">
        <v>2</v>
      </c>
      <c r="H168">
        <v>2474.0700000000002</v>
      </c>
      <c r="I168">
        <v>2461.85</v>
      </c>
      <c r="J168" s="7">
        <v>0.41741898148148149</v>
      </c>
      <c r="K168" s="7">
        <v>0.44797453703703705</v>
      </c>
      <c r="L168" s="1">
        <f t="shared" si="43"/>
        <v>2640</v>
      </c>
      <c r="M168" s="4">
        <v>44</v>
      </c>
      <c r="N168" s="4">
        <f t="shared" si="44"/>
        <v>12.220000000000255</v>
      </c>
      <c r="O168" s="4">
        <f t="shared" si="45"/>
        <v>12220.000000000255</v>
      </c>
      <c r="P168" s="4">
        <v>0.87285714285716109</v>
      </c>
      <c r="Q168">
        <v>853</v>
      </c>
      <c r="R168" s="1">
        <f>+Q168/10000</f>
        <v>8.5300000000000001E-2</v>
      </c>
      <c r="S168" s="5">
        <f t="shared" si="47"/>
        <v>54.264805144055977</v>
      </c>
      <c r="T168" s="4">
        <v>32</v>
      </c>
      <c r="U168" s="8">
        <f>+AVERAGE([1]humidity!$B$23313:$B$23401)</f>
        <v>71.887640449438209</v>
      </c>
      <c r="V168">
        <f t="shared" si="48"/>
        <v>4.7547753962618131</v>
      </c>
      <c r="W168">
        <f t="shared" si="41"/>
        <v>3.4180958410430429</v>
      </c>
      <c r="X168" s="6">
        <f t="shared" si="42"/>
        <v>1.3366795552187702</v>
      </c>
    </row>
    <row r="169" spans="1:30" x14ac:dyDescent="0.25">
      <c r="A169">
        <v>1</v>
      </c>
      <c r="B169" s="1">
        <v>2</v>
      </c>
      <c r="C169">
        <v>5</v>
      </c>
      <c r="D169">
        <v>3</v>
      </c>
      <c r="E169" t="s">
        <v>34</v>
      </c>
      <c r="F169" s="13" t="s">
        <v>39</v>
      </c>
      <c r="G169" s="1">
        <v>3</v>
      </c>
      <c r="H169">
        <v>2450.91</v>
      </c>
      <c r="I169">
        <v>2439.35</v>
      </c>
      <c r="J169" s="7">
        <v>0.47769675925925925</v>
      </c>
      <c r="K169" s="7">
        <v>0.5084143518518518</v>
      </c>
      <c r="L169" s="1">
        <f t="shared" si="43"/>
        <v>2648.4</v>
      </c>
      <c r="M169" s="4">
        <v>44.14</v>
      </c>
      <c r="N169" s="4">
        <f t="shared" si="44"/>
        <v>11.559999999999945</v>
      </c>
      <c r="O169" s="4">
        <f t="shared" si="45"/>
        <v>11559.999999999945</v>
      </c>
      <c r="P169" s="4">
        <v>0.82571428571428185</v>
      </c>
      <c r="Q169">
        <v>853</v>
      </c>
      <c r="R169" s="1">
        <f>+Q169/10000</f>
        <v>8.5300000000000001E-2</v>
      </c>
      <c r="S169" s="5">
        <f t="shared" si="47"/>
        <v>51.171155474791057</v>
      </c>
      <c r="T169" s="4">
        <v>32</v>
      </c>
      <c r="U169" s="8">
        <f>+AVERAGE([1]humidity!$B$23480:$B$23571)</f>
        <v>55.608695652173914</v>
      </c>
      <c r="V169">
        <f t="shared" si="48"/>
        <v>4.7547753962618131</v>
      </c>
      <c r="W169">
        <f t="shared" si="41"/>
        <v>2.6440685790516776</v>
      </c>
      <c r="X169" s="6">
        <f t="shared" si="42"/>
        <v>2.1107068172101355</v>
      </c>
    </row>
    <row r="170" spans="1:30" x14ac:dyDescent="0.25">
      <c r="A170">
        <v>1</v>
      </c>
      <c r="B170" s="1">
        <v>2</v>
      </c>
      <c r="C170">
        <v>5</v>
      </c>
      <c r="D170">
        <v>3</v>
      </c>
      <c r="E170" t="s">
        <v>34</v>
      </c>
      <c r="F170" s="13" t="s">
        <v>39</v>
      </c>
      <c r="G170" s="1">
        <v>4</v>
      </c>
      <c r="H170">
        <v>2430.96</v>
      </c>
      <c r="I170">
        <v>2416.96</v>
      </c>
      <c r="J170" s="7">
        <v>0.53045138888888888</v>
      </c>
      <c r="K170" s="7">
        <v>0.56327546296296294</v>
      </c>
      <c r="L170" s="1">
        <f t="shared" si="43"/>
        <v>2829.6</v>
      </c>
      <c r="M170" s="4">
        <v>47.16</v>
      </c>
      <c r="N170" s="4">
        <f t="shared" si="44"/>
        <v>14</v>
      </c>
      <c r="O170" s="4">
        <f t="shared" si="45"/>
        <v>14000</v>
      </c>
      <c r="P170" s="4">
        <v>1</v>
      </c>
      <c r="Q170">
        <v>853</v>
      </c>
      <c r="R170" s="1">
        <f>+Q170/10000</f>
        <v>8.5300000000000001E-2</v>
      </c>
      <c r="S170" s="5">
        <f t="shared" si="47"/>
        <v>58.003467613018103</v>
      </c>
      <c r="T170" s="4">
        <v>32</v>
      </c>
      <c r="U170" s="8">
        <f>+AVERAGE([1]humidity!$B$23635:$B$23728)</f>
        <v>48.244680851063826</v>
      </c>
      <c r="V170">
        <f t="shared" si="48"/>
        <v>4.7547753962618131</v>
      </c>
      <c r="W170">
        <f t="shared" si="41"/>
        <v>2.293926215111417</v>
      </c>
      <c r="X170" s="6">
        <f t="shared" si="42"/>
        <v>2.4608491811503961</v>
      </c>
    </row>
    <row r="171" spans="1:30" x14ac:dyDescent="0.25">
      <c r="A171">
        <v>1</v>
      </c>
      <c r="B171" s="1">
        <v>2</v>
      </c>
      <c r="C171">
        <v>5</v>
      </c>
      <c r="D171">
        <v>3</v>
      </c>
      <c r="E171" t="s">
        <v>34</v>
      </c>
      <c r="F171" s="13" t="s">
        <v>39</v>
      </c>
      <c r="G171" s="1">
        <v>5</v>
      </c>
      <c r="H171">
        <v>2407.15</v>
      </c>
      <c r="I171">
        <v>2394.35</v>
      </c>
      <c r="J171" s="7">
        <v>0.58910879629629631</v>
      </c>
      <c r="K171" s="7">
        <v>0.61982638888888886</v>
      </c>
      <c r="L171" s="1">
        <f t="shared" si="43"/>
        <v>2648.4</v>
      </c>
      <c r="M171" s="4">
        <f>52.33-8.19</f>
        <v>44.14</v>
      </c>
      <c r="N171" s="4">
        <f t="shared" si="44"/>
        <v>12.800000000000182</v>
      </c>
      <c r="O171" s="4">
        <f t="shared" si="45"/>
        <v>12800.000000000182</v>
      </c>
      <c r="P171" s="4">
        <v>0.91428571428572725</v>
      </c>
      <c r="Q171">
        <v>853</v>
      </c>
      <c r="R171" s="1">
        <f>+Q171/10000</f>
        <v>8.5300000000000001E-2</v>
      </c>
      <c r="S171" s="5">
        <f t="shared" si="47"/>
        <v>56.660102947866605</v>
      </c>
      <c r="T171" s="4">
        <v>32</v>
      </c>
      <c r="U171" s="8">
        <f>+AVERAGE([1]humidity!$B$23800:$B$23885)</f>
        <v>34.860465116279073</v>
      </c>
      <c r="V171">
        <f t="shared" si="48"/>
        <v>4.7547753962618131</v>
      </c>
      <c r="W171">
        <f t="shared" si="41"/>
        <v>1.6575368183712693</v>
      </c>
      <c r="X171" s="6">
        <f t="shared" si="42"/>
        <v>3.0972385778905438</v>
      </c>
    </row>
    <row r="172" spans="1:30" x14ac:dyDescent="0.25">
      <c r="A172">
        <v>1</v>
      </c>
      <c r="B172" s="1">
        <v>2</v>
      </c>
      <c r="C172">
        <v>5</v>
      </c>
      <c r="D172">
        <v>3</v>
      </c>
      <c r="E172" t="s">
        <v>34</v>
      </c>
      <c r="F172" s="13" t="s">
        <v>39</v>
      </c>
      <c r="G172" s="1">
        <v>6</v>
      </c>
      <c r="H172">
        <v>2383.04</v>
      </c>
      <c r="I172">
        <v>2369.23</v>
      </c>
      <c r="J172" s="7">
        <v>0.64884259259259258</v>
      </c>
      <c r="K172" s="7">
        <v>0.68069444444444449</v>
      </c>
      <c r="L172" s="1">
        <f t="shared" si="43"/>
        <v>2748</v>
      </c>
      <c r="M172" s="4">
        <f>+(60-34.2)+20</f>
        <v>45.8</v>
      </c>
      <c r="N172" s="4">
        <f t="shared" si="44"/>
        <v>13.809999999999945</v>
      </c>
      <c r="O172" s="4">
        <f t="shared" si="45"/>
        <v>13809.999999999945</v>
      </c>
      <c r="P172" s="4">
        <v>0.98642857142856755</v>
      </c>
      <c r="Q172">
        <v>853</v>
      </c>
      <c r="R172" s="1">
        <f>+Q172/10000</f>
        <v>8.5300000000000001E-2</v>
      </c>
      <c r="S172" s="5">
        <f t="shared" si="47"/>
        <v>58.915276334403046</v>
      </c>
      <c r="T172" s="4">
        <v>32</v>
      </c>
      <c r="U172" s="8">
        <f>+AVERAGE([1]humidity!$B$23968:$B$24060)</f>
        <v>19.892473118279568</v>
      </c>
      <c r="V172">
        <f t="shared" si="48"/>
        <v>4.7547753962618131</v>
      </c>
      <c r="W172">
        <f t="shared" si="41"/>
        <v>0.945842417535952</v>
      </c>
      <c r="X172" s="6">
        <f t="shared" si="42"/>
        <v>3.8089329787258612</v>
      </c>
    </row>
    <row r="173" spans="1:30" x14ac:dyDescent="0.25">
      <c r="A173">
        <v>3</v>
      </c>
      <c r="B173">
        <v>1</v>
      </c>
      <c r="C173">
        <v>4</v>
      </c>
      <c r="D173">
        <v>3</v>
      </c>
      <c r="E173" t="s">
        <v>34</v>
      </c>
      <c r="F173" s="13" t="s">
        <v>39</v>
      </c>
      <c r="G173">
        <v>1</v>
      </c>
      <c r="H173">
        <v>1696.84</v>
      </c>
      <c r="I173">
        <v>1692.26</v>
      </c>
      <c r="J173">
        <v>0.48958333333333331</v>
      </c>
      <c r="K173">
        <v>0.52083333333333337</v>
      </c>
      <c r="L173">
        <v>2700</v>
      </c>
      <c r="M173">
        <v>45</v>
      </c>
      <c r="N173">
        <v>4.5799999999999272</v>
      </c>
      <c r="O173">
        <v>4579.9999999999272</v>
      </c>
      <c r="P173" s="2">
        <v>0.37145174371451373</v>
      </c>
      <c r="Q173">
        <v>1028.48</v>
      </c>
      <c r="R173">
        <v>0.10284799999999999</v>
      </c>
      <c r="S173">
        <v>16.493235612712638</v>
      </c>
      <c r="T173">
        <v>32</v>
      </c>
      <c r="U173" s="8">
        <v>79</v>
      </c>
      <c r="V173">
        <v>4.7547753962618131</v>
      </c>
      <c r="W173">
        <f t="shared" si="41"/>
        <v>3.7562725630468323</v>
      </c>
      <c r="X173" s="12">
        <f t="shared" si="42"/>
        <v>0.99850283321498079</v>
      </c>
    </row>
    <row r="174" spans="1:30" x14ac:dyDescent="0.25">
      <c r="A174">
        <v>3</v>
      </c>
      <c r="B174">
        <v>1</v>
      </c>
      <c r="C174">
        <v>4</v>
      </c>
      <c r="D174">
        <v>3</v>
      </c>
      <c r="E174" t="s">
        <v>34</v>
      </c>
      <c r="F174" s="13" t="s">
        <v>39</v>
      </c>
      <c r="G174">
        <v>2</v>
      </c>
      <c r="H174">
        <v>1691.08</v>
      </c>
      <c r="I174">
        <v>1683.83</v>
      </c>
      <c r="J174">
        <v>0.53055555555555556</v>
      </c>
      <c r="K174">
        <v>0.56180555555555556</v>
      </c>
      <c r="L174">
        <v>2700</v>
      </c>
      <c r="M174">
        <v>45</v>
      </c>
      <c r="N174">
        <v>7.25</v>
      </c>
      <c r="O174">
        <v>7250</v>
      </c>
      <c r="P174" s="2">
        <v>0.58799675587997102</v>
      </c>
      <c r="Q174">
        <v>1028.48</v>
      </c>
      <c r="R174">
        <v>0.10284799999999999</v>
      </c>
      <c r="S174">
        <v>26.108287814883958</v>
      </c>
      <c r="T174">
        <v>32</v>
      </c>
      <c r="U174" s="8">
        <v>68</v>
      </c>
      <c r="V174">
        <v>4.7547753962618131</v>
      </c>
      <c r="W174">
        <f t="shared" ref="W174:W193" si="49">V174*(U174/100)</f>
        <v>3.2332472694580332</v>
      </c>
      <c r="X174" s="12">
        <f t="shared" ref="X174:X193" si="50">V174-W174</f>
        <v>1.5215281268037799</v>
      </c>
    </row>
    <row r="175" spans="1:30" x14ac:dyDescent="0.25">
      <c r="A175">
        <v>3</v>
      </c>
      <c r="B175">
        <v>1</v>
      </c>
      <c r="C175">
        <v>4</v>
      </c>
      <c r="D175">
        <v>3</v>
      </c>
      <c r="E175" t="s">
        <v>34</v>
      </c>
      <c r="F175" s="13" t="s">
        <v>39</v>
      </c>
      <c r="G175">
        <v>3</v>
      </c>
      <c r="H175">
        <v>1679.96</v>
      </c>
      <c r="I175">
        <v>1671.41</v>
      </c>
      <c r="J175">
        <v>0.57556712962962964</v>
      </c>
      <c r="K175">
        <v>0.60728009259259264</v>
      </c>
      <c r="L175">
        <v>2700</v>
      </c>
      <c r="M175">
        <v>45</v>
      </c>
      <c r="N175">
        <v>8.5499999999999545</v>
      </c>
      <c r="O175">
        <v>8549.9999999999545</v>
      </c>
      <c r="P175" s="2">
        <v>0.69343065693430694</v>
      </c>
      <c r="Q175">
        <v>1028.48</v>
      </c>
      <c r="R175">
        <v>0.10284799999999999</v>
      </c>
      <c r="S175">
        <v>30.789773905828504</v>
      </c>
      <c r="T175">
        <v>32</v>
      </c>
      <c r="U175" s="8">
        <v>57</v>
      </c>
      <c r="V175">
        <v>4.7547753962618131</v>
      </c>
      <c r="W175">
        <f t="shared" si="49"/>
        <v>2.7102219758692332</v>
      </c>
      <c r="X175" s="12">
        <f t="shared" si="50"/>
        <v>2.0445534203925799</v>
      </c>
    </row>
    <row r="176" spans="1:30" x14ac:dyDescent="0.25">
      <c r="A176">
        <v>3</v>
      </c>
      <c r="B176">
        <v>1</v>
      </c>
      <c r="C176">
        <v>4</v>
      </c>
      <c r="D176">
        <v>3</v>
      </c>
      <c r="E176" t="s">
        <v>34</v>
      </c>
      <c r="F176" s="13" t="s">
        <v>39</v>
      </c>
      <c r="G176">
        <v>4</v>
      </c>
      <c r="H176">
        <v>1665.73</v>
      </c>
      <c r="I176">
        <v>1656.56</v>
      </c>
      <c r="J176">
        <v>0.62638888888888888</v>
      </c>
      <c r="K176">
        <v>0.65733796296296299</v>
      </c>
      <c r="L176">
        <v>2640</v>
      </c>
      <c r="M176">
        <v>44</v>
      </c>
      <c r="N176">
        <v>9.1700000000000728</v>
      </c>
      <c r="O176">
        <v>9170.0000000000728</v>
      </c>
      <c r="P176" s="2">
        <v>0.74371451743715544</v>
      </c>
      <c r="Q176">
        <v>1028.48</v>
      </c>
      <c r="R176">
        <v>0.10284799999999999</v>
      </c>
      <c r="S176">
        <v>33.772993626369754</v>
      </c>
      <c r="T176">
        <v>32</v>
      </c>
      <c r="U176" s="8">
        <v>47</v>
      </c>
      <c r="V176">
        <v>4.7547753962618131</v>
      </c>
      <c r="W176">
        <f t="shared" si="49"/>
        <v>2.234744436243052</v>
      </c>
      <c r="X176" s="12">
        <f t="shared" si="50"/>
        <v>2.5200309600187611</v>
      </c>
    </row>
    <row r="177" spans="1:30" x14ac:dyDescent="0.25">
      <c r="A177">
        <v>3</v>
      </c>
      <c r="B177">
        <v>1</v>
      </c>
      <c r="C177">
        <v>4</v>
      </c>
      <c r="D177">
        <v>3</v>
      </c>
      <c r="E177" t="s">
        <v>34</v>
      </c>
      <c r="F177" s="13" t="s">
        <v>39</v>
      </c>
      <c r="G177">
        <v>5</v>
      </c>
      <c r="H177">
        <v>1649.43</v>
      </c>
      <c r="I177">
        <v>1639.51</v>
      </c>
      <c r="J177">
        <v>0.67721064814814813</v>
      </c>
      <c r="K177">
        <v>0.70833333333333337</v>
      </c>
      <c r="L177">
        <v>2640</v>
      </c>
      <c r="M177" s="8">
        <v>44</v>
      </c>
      <c r="N177">
        <v>9.9200000000000728</v>
      </c>
      <c r="O177">
        <v>9920.0000000000728</v>
      </c>
      <c r="P177" s="2">
        <v>0.80454176804542832</v>
      </c>
      <c r="Q177">
        <v>1028.48</v>
      </c>
      <c r="R177">
        <v>0.10284799999999999</v>
      </c>
      <c r="S177">
        <v>36.535234108351993</v>
      </c>
      <c r="T177">
        <v>32</v>
      </c>
      <c r="U177" s="8">
        <v>37</v>
      </c>
      <c r="V177">
        <v>4.7547753962618131</v>
      </c>
      <c r="W177">
        <f t="shared" si="49"/>
        <v>1.7592668966168707</v>
      </c>
      <c r="X177" s="12">
        <f t="shared" si="50"/>
        <v>2.9955084996449424</v>
      </c>
    </row>
    <row r="178" spans="1:30" x14ac:dyDescent="0.25">
      <c r="A178">
        <v>3</v>
      </c>
      <c r="B178">
        <v>1</v>
      </c>
      <c r="C178">
        <v>4</v>
      </c>
      <c r="D178">
        <v>3</v>
      </c>
      <c r="E178" t="s">
        <v>34</v>
      </c>
      <c r="F178" s="13" t="s">
        <v>39</v>
      </c>
      <c r="G178">
        <v>6</v>
      </c>
      <c r="H178">
        <v>1633.34</v>
      </c>
      <c r="I178">
        <v>1621.01</v>
      </c>
      <c r="J178">
        <v>0.72222222222222221</v>
      </c>
      <c r="K178">
        <v>0.7540162037037037</v>
      </c>
      <c r="L178">
        <v>2700</v>
      </c>
      <c r="M178" s="8">
        <v>45</v>
      </c>
      <c r="N178">
        <v>12.329999999999927</v>
      </c>
      <c r="O178">
        <v>12329.999999999927</v>
      </c>
      <c r="P178" s="2">
        <v>1</v>
      </c>
      <c r="Q178">
        <v>1028.48</v>
      </c>
      <c r="R178">
        <v>0.10284799999999999</v>
      </c>
      <c r="S178">
        <v>44.402095001036869</v>
      </c>
      <c r="T178">
        <v>32</v>
      </c>
      <c r="U178" s="8">
        <v>24</v>
      </c>
      <c r="V178">
        <v>4.7547753962618131</v>
      </c>
      <c r="W178">
        <f t="shared" si="49"/>
        <v>1.1411460951028352</v>
      </c>
      <c r="X178" s="12">
        <f t="shared" si="50"/>
        <v>3.6136293011589782</v>
      </c>
    </row>
    <row r="179" spans="1:30" x14ac:dyDescent="0.25">
      <c r="A179">
        <v>3</v>
      </c>
      <c r="B179">
        <v>2</v>
      </c>
      <c r="C179">
        <v>4</v>
      </c>
      <c r="D179">
        <v>3</v>
      </c>
      <c r="E179" t="s">
        <v>34</v>
      </c>
      <c r="F179" s="13" t="s">
        <v>39</v>
      </c>
      <c r="G179">
        <v>2</v>
      </c>
      <c r="H179">
        <v>1874.38</v>
      </c>
      <c r="I179">
        <v>1864.27</v>
      </c>
      <c r="J179">
        <v>0.375</v>
      </c>
      <c r="K179">
        <v>0.40574074074074074</v>
      </c>
      <c r="L179">
        <v>2644.9999999999982</v>
      </c>
      <c r="M179" s="8">
        <v>44.0833333333333</v>
      </c>
      <c r="N179">
        <v>10.110000000000127</v>
      </c>
      <c r="O179">
        <v>10110.000000000127</v>
      </c>
      <c r="P179" s="2">
        <v>0.60000000000000264</v>
      </c>
      <c r="Q179">
        <v>1028.48</v>
      </c>
      <c r="R179">
        <v>0.10284799999999999</v>
      </c>
      <c r="S179">
        <v>37.164614170283393</v>
      </c>
      <c r="T179">
        <v>32</v>
      </c>
      <c r="U179" s="8">
        <v>68</v>
      </c>
      <c r="V179">
        <v>4.7547753962618131</v>
      </c>
      <c r="W179">
        <f t="shared" si="49"/>
        <v>3.2332472694580332</v>
      </c>
      <c r="X179" s="12">
        <f t="shared" si="50"/>
        <v>1.5215281268037799</v>
      </c>
    </row>
    <row r="180" spans="1:30" x14ac:dyDescent="0.25">
      <c r="A180">
        <v>3</v>
      </c>
      <c r="B180">
        <v>2</v>
      </c>
      <c r="C180">
        <v>4</v>
      </c>
      <c r="D180">
        <v>3</v>
      </c>
      <c r="E180" t="s">
        <v>34</v>
      </c>
      <c r="F180" s="13" t="s">
        <v>39</v>
      </c>
      <c r="G180">
        <v>3</v>
      </c>
      <c r="H180">
        <v>1856.3</v>
      </c>
      <c r="I180">
        <v>1845.09</v>
      </c>
      <c r="J180">
        <v>0.42790509259259257</v>
      </c>
      <c r="K180">
        <v>0.45833333333333331</v>
      </c>
      <c r="L180">
        <v>2584.9999999999982</v>
      </c>
      <c r="M180" s="8">
        <v>43.0833333333333</v>
      </c>
      <c r="N180">
        <v>11.210000000000036</v>
      </c>
      <c r="O180">
        <v>11210.000000000036</v>
      </c>
      <c r="P180" s="2">
        <v>0.66528189910978897</v>
      </c>
      <c r="Q180">
        <v>1028.48</v>
      </c>
      <c r="R180">
        <v>0.10284799999999999</v>
      </c>
      <c r="S180">
        <v>42.164719391347738</v>
      </c>
      <c r="T180">
        <v>32</v>
      </c>
      <c r="U180" s="8">
        <v>57</v>
      </c>
      <c r="V180">
        <v>4.7547753962618131</v>
      </c>
      <c r="W180">
        <f t="shared" si="49"/>
        <v>2.7102219758692332</v>
      </c>
      <c r="X180" s="12">
        <f t="shared" si="50"/>
        <v>2.0445534203925799</v>
      </c>
    </row>
    <row r="181" spans="1:30" x14ac:dyDescent="0.25">
      <c r="A181">
        <v>3</v>
      </c>
      <c r="B181">
        <v>2</v>
      </c>
      <c r="C181">
        <v>4</v>
      </c>
      <c r="D181">
        <v>3</v>
      </c>
      <c r="E181" t="s">
        <v>34</v>
      </c>
      <c r="F181" s="13" t="s">
        <v>39</v>
      </c>
      <c r="G181">
        <v>4</v>
      </c>
      <c r="H181">
        <v>1836.85</v>
      </c>
      <c r="I181">
        <v>1823.05</v>
      </c>
      <c r="J181">
        <v>0.47795138888888888</v>
      </c>
      <c r="K181">
        <v>0.50929398148148153</v>
      </c>
      <c r="L181">
        <v>2704.9999999999982</v>
      </c>
      <c r="M181" s="8">
        <v>45.0833333333333</v>
      </c>
      <c r="N181">
        <v>13.799999999999955</v>
      </c>
      <c r="O181">
        <v>13799.999999999955</v>
      </c>
      <c r="P181" s="2">
        <v>0.8189910979228392</v>
      </c>
      <c r="Q181">
        <v>1028.48</v>
      </c>
      <c r="R181">
        <v>0.10284799999999999</v>
      </c>
      <c r="S181">
        <v>49.6039163226502</v>
      </c>
      <c r="T181">
        <v>32</v>
      </c>
      <c r="U181" s="8">
        <v>47</v>
      </c>
      <c r="V181">
        <v>4.7547753962618131</v>
      </c>
      <c r="W181">
        <f t="shared" si="49"/>
        <v>2.234744436243052</v>
      </c>
      <c r="X181" s="12">
        <f t="shared" si="50"/>
        <v>2.5200309600187611</v>
      </c>
    </row>
    <row r="182" spans="1:30" x14ac:dyDescent="0.25">
      <c r="A182">
        <v>3</v>
      </c>
      <c r="B182">
        <v>2</v>
      </c>
      <c r="C182">
        <v>4</v>
      </c>
      <c r="D182">
        <v>4</v>
      </c>
      <c r="E182" t="s">
        <v>32</v>
      </c>
      <c r="F182" s="13" t="s">
        <v>42</v>
      </c>
      <c r="G182">
        <v>5</v>
      </c>
      <c r="H182">
        <v>2537.3200000000002</v>
      </c>
      <c r="I182">
        <v>2528.67</v>
      </c>
      <c r="J182">
        <v>0.52800925925925923</v>
      </c>
      <c r="K182">
        <v>0.55902777777777779</v>
      </c>
      <c r="L182">
        <v>2640</v>
      </c>
      <c r="M182" s="8">
        <v>44</v>
      </c>
      <c r="N182">
        <v>8.6500000000000909</v>
      </c>
      <c r="O182">
        <v>8650.0000000000909</v>
      </c>
      <c r="P182" s="2">
        <v>0.80465116279070614</v>
      </c>
      <c r="Q182">
        <v>697.21</v>
      </c>
      <c r="R182">
        <v>6.9721000000000005E-2</v>
      </c>
      <c r="S182">
        <v>46.994666621465349</v>
      </c>
      <c r="T182">
        <v>32</v>
      </c>
      <c r="U182" s="8">
        <v>37</v>
      </c>
      <c r="V182">
        <v>4.7547753962618131</v>
      </c>
      <c r="W182">
        <f t="shared" si="49"/>
        <v>1.7592668966168707</v>
      </c>
      <c r="X182" s="12">
        <f t="shared" si="50"/>
        <v>2.9955084996449424</v>
      </c>
      <c r="Y182" s="23">
        <v>7.0655999999999997E-2</v>
      </c>
      <c r="Z182" s="23">
        <v>5.2218000000000001E-2</v>
      </c>
      <c r="AA182" s="23">
        <v>7.3495000000000005E-2</v>
      </c>
      <c r="AB182">
        <v>26.87</v>
      </c>
      <c r="AC182">
        <v>27.04</v>
      </c>
      <c r="AD182">
        <v>26.81</v>
      </c>
    </row>
    <row r="183" spans="1:30" x14ac:dyDescent="0.25">
      <c r="A183">
        <v>3</v>
      </c>
      <c r="B183">
        <v>2</v>
      </c>
      <c r="C183">
        <v>1</v>
      </c>
      <c r="D183">
        <v>5</v>
      </c>
      <c r="E183" t="s">
        <v>29</v>
      </c>
      <c r="F183" s="13" t="s">
        <v>42</v>
      </c>
      <c r="G183">
        <v>5</v>
      </c>
      <c r="H183">
        <v>3272.25</v>
      </c>
      <c r="I183">
        <v>3259.76</v>
      </c>
      <c r="J183">
        <v>0.52800925925925923</v>
      </c>
      <c r="K183">
        <v>0.55902777777777779</v>
      </c>
      <c r="L183">
        <v>2650.0000000000018</v>
      </c>
      <c r="M183" s="8">
        <v>44.1666666666667</v>
      </c>
      <c r="N183">
        <v>12.489999999999782</v>
      </c>
      <c r="O183">
        <v>12489.999999999782</v>
      </c>
      <c r="P183" s="2">
        <v>0.86796386379426671</v>
      </c>
      <c r="Q183">
        <v>572.4</v>
      </c>
      <c r="R183">
        <v>5.7239999999999999E-2</v>
      </c>
      <c r="S183">
        <v>82.341152116871527</v>
      </c>
      <c r="T183">
        <v>32</v>
      </c>
      <c r="U183" s="8">
        <v>37</v>
      </c>
      <c r="V183">
        <v>4.7547753962618131</v>
      </c>
      <c r="W183">
        <f t="shared" si="49"/>
        <v>1.7592668966168707</v>
      </c>
      <c r="X183" s="12">
        <f t="shared" si="50"/>
        <v>2.9955084996449424</v>
      </c>
      <c r="Y183" s="23">
        <v>0.15814</v>
      </c>
      <c r="Z183" s="23">
        <v>0.144263</v>
      </c>
      <c r="AA183" s="23">
        <v>0.13092100000000001</v>
      </c>
      <c r="AB183">
        <v>25.11</v>
      </c>
      <c r="AC183">
        <v>25</v>
      </c>
      <c r="AD183">
        <v>25.55</v>
      </c>
    </row>
    <row r="184" spans="1:30" x14ac:dyDescent="0.25">
      <c r="A184">
        <v>1</v>
      </c>
      <c r="B184" s="1">
        <v>1</v>
      </c>
      <c r="C184" s="1">
        <v>5</v>
      </c>
      <c r="D184" s="1">
        <v>5</v>
      </c>
      <c r="E184" t="s">
        <v>36</v>
      </c>
      <c r="F184" s="13" t="s">
        <v>41</v>
      </c>
      <c r="G184" s="1">
        <v>2</v>
      </c>
      <c r="H184">
        <v>2359.6799999999998</v>
      </c>
      <c r="I184">
        <v>2343.34</v>
      </c>
      <c r="J184" s="7">
        <v>0.35893518518518519</v>
      </c>
      <c r="K184" s="7">
        <v>0.38979166666666665</v>
      </c>
      <c r="L184" s="1">
        <f t="shared" ref="L184:L193" si="51">M184*60</f>
        <v>2655.6</v>
      </c>
      <c r="M184" s="1">
        <v>44.26</v>
      </c>
      <c r="N184" s="4">
        <f t="shared" ref="N184:N193" si="52">H184-I184</f>
        <v>16.339999999999691</v>
      </c>
      <c r="O184" s="4">
        <f t="shared" ref="O184:O193" si="53">N184*1000</f>
        <v>16339.999999999691</v>
      </c>
      <c r="P184" s="4">
        <v>0.78709055876685341</v>
      </c>
      <c r="Q184">
        <v>1058</v>
      </c>
      <c r="R184" s="1">
        <f>Q184/10000</f>
        <v>0.10580000000000001</v>
      </c>
      <c r="S184" s="5">
        <f t="shared" ref="S184:S193" si="54">O184/(R184*L184)</f>
        <v>58.157231527852723</v>
      </c>
      <c r="T184" s="4">
        <v>32</v>
      </c>
      <c r="U184">
        <v>71</v>
      </c>
      <c r="V184">
        <f t="shared" ref="V184:V193" si="55">0.6108*EXP((17.27*T184)/(T184+237.3))</f>
        <v>4.7547753962618131</v>
      </c>
      <c r="W184">
        <f t="shared" si="49"/>
        <v>3.3758905313458873</v>
      </c>
      <c r="X184" s="6">
        <f t="shared" si="50"/>
        <v>1.3788848649159258</v>
      </c>
    </row>
    <row r="185" spans="1:30" x14ac:dyDescent="0.25">
      <c r="A185">
        <v>1</v>
      </c>
      <c r="B185" s="1">
        <v>1</v>
      </c>
      <c r="C185" s="1">
        <v>5</v>
      </c>
      <c r="D185" s="1">
        <v>5</v>
      </c>
      <c r="E185" t="s">
        <v>36</v>
      </c>
      <c r="F185" s="13" t="s">
        <v>41</v>
      </c>
      <c r="G185" s="1">
        <v>3</v>
      </c>
      <c r="H185">
        <v>2332.56</v>
      </c>
      <c r="I185">
        <v>2316.6799999999998</v>
      </c>
      <c r="J185" s="7">
        <v>0.41251157407407407</v>
      </c>
      <c r="K185" s="7">
        <v>0.44452546296296297</v>
      </c>
      <c r="L185" s="1">
        <f t="shared" si="51"/>
        <v>2643.6000000000004</v>
      </c>
      <c r="M185" s="4">
        <v>44.06</v>
      </c>
      <c r="N185" s="4">
        <f t="shared" si="52"/>
        <v>15.880000000000109</v>
      </c>
      <c r="O185" s="4">
        <f t="shared" si="53"/>
        <v>15880.000000000109</v>
      </c>
      <c r="P185" s="4">
        <v>0.76493256262043785</v>
      </c>
      <c r="Q185">
        <v>1058</v>
      </c>
      <c r="R185" s="1">
        <f>Q185/10000</f>
        <v>0.10580000000000001</v>
      </c>
      <c r="S185" s="5">
        <f t="shared" si="54"/>
        <v>56.776561491304697</v>
      </c>
      <c r="T185" s="4">
        <v>32</v>
      </c>
      <c r="U185" s="8">
        <f>+AVERAGE([1]humidity!$B$20430:$B$20523)</f>
        <v>58.276595744680854</v>
      </c>
      <c r="V185">
        <f t="shared" si="55"/>
        <v>4.7547753962618131</v>
      </c>
      <c r="W185">
        <f t="shared" si="49"/>
        <v>2.7709212362470441</v>
      </c>
      <c r="X185" s="6">
        <f t="shared" si="50"/>
        <v>1.983854160014769</v>
      </c>
    </row>
    <row r="186" spans="1:30" x14ac:dyDescent="0.25">
      <c r="A186">
        <v>1</v>
      </c>
      <c r="B186" s="1">
        <v>1</v>
      </c>
      <c r="C186" s="1">
        <v>5</v>
      </c>
      <c r="D186" s="1">
        <v>5</v>
      </c>
      <c r="E186" t="s">
        <v>36</v>
      </c>
      <c r="F186" s="13" t="s">
        <v>41</v>
      </c>
      <c r="G186" s="1">
        <v>4</v>
      </c>
      <c r="H186">
        <v>2307.2199999999998</v>
      </c>
      <c r="I186">
        <v>2288.5300000000002</v>
      </c>
      <c r="J186" s="7">
        <v>0.46377314814814813</v>
      </c>
      <c r="K186" s="7">
        <v>0.49486111111111108</v>
      </c>
      <c r="L186" s="1">
        <f t="shared" si="51"/>
        <v>2667.6</v>
      </c>
      <c r="M186" s="1">
        <v>44.46</v>
      </c>
      <c r="N186" s="4">
        <f t="shared" si="52"/>
        <v>18.6899999999996</v>
      </c>
      <c r="O186" s="4">
        <f t="shared" si="53"/>
        <v>18689.9999999996</v>
      </c>
      <c r="P186" s="4">
        <v>0.90028901734103139</v>
      </c>
      <c r="Q186">
        <v>1058</v>
      </c>
      <c r="R186" s="1">
        <f>Q186/10000</f>
        <v>0.10580000000000001</v>
      </c>
      <c r="S186" s="5">
        <f t="shared" si="54"/>
        <v>66.222096368349057</v>
      </c>
      <c r="T186" s="4">
        <v>32</v>
      </c>
      <c r="U186" s="8">
        <f>+AVERAGE([1]humidity!$B$20576:$B$20667)</f>
        <v>47.380434782608695</v>
      </c>
      <c r="V186">
        <f t="shared" si="55"/>
        <v>4.7547753962618131</v>
      </c>
      <c r="W186">
        <f t="shared" si="49"/>
        <v>2.2528332556853523</v>
      </c>
      <c r="X186" s="6">
        <f t="shared" si="50"/>
        <v>2.5019421405764608</v>
      </c>
    </row>
    <row r="187" spans="1:30" x14ac:dyDescent="0.25">
      <c r="A187">
        <v>1</v>
      </c>
      <c r="B187" s="1">
        <v>1</v>
      </c>
      <c r="C187" s="1">
        <v>5</v>
      </c>
      <c r="D187" s="1">
        <v>5</v>
      </c>
      <c r="E187" t="s">
        <v>36</v>
      </c>
      <c r="F187" s="13" t="s">
        <v>41</v>
      </c>
      <c r="G187" s="1">
        <v>5</v>
      </c>
      <c r="H187">
        <v>2275.11</v>
      </c>
      <c r="I187">
        <v>2255.19</v>
      </c>
      <c r="J187" s="7">
        <v>0.51785879629629628</v>
      </c>
      <c r="K187" s="7">
        <v>0.54924768518518519</v>
      </c>
      <c r="L187" s="1">
        <f t="shared" si="51"/>
        <v>2707.2</v>
      </c>
      <c r="M187" s="4">
        <v>45.12</v>
      </c>
      <c r="N187" s="4">
        <f t="shared" si="52"/>
        <v>19.920000000000073</v>
      </c>
      <c r="O187" s="4">
        <f t="shared" si="53"/>
        <v>19920.000000000073</v>
      </c>
      <c r="P187" s="4">
        <v>0.95953757225434966</v>
      </c>
      <c r="Q187">
        <v>1058</v>
      </c>
      <c r="R187" s="1">
        <f>Q187/10000</f>
        <v>0.10580000000000001</v>
      </c>
      <c r="S187" s="5">
        <f t="shared" si="54"/>
        <v>69.547788547909462</v>
      </c>
      <c r="T187" s="4">
        <v>32</v>
      </c>
      <c r="U187" s="8">
        <f>+AVERAGE([1]humidity!$B$20731:$B$20822)</f>
        <v>37.228260869565219</v>
      </c>
      <c r="V187">
        <f t="shared" si="55"/>
        <v>4.7547753962618131</v>
      </c>
      <c r="W187">
        <f t="shared" si="49"/>
        <v>1.770120188282251</v>
      </c>
      <c r="X187" s="6">
        <f t="shared" si="50"/>
        <v>2.9846552079795621</v>
      </c>
    </row>
    <row r="188" spans="1:30" x14ac:dyDescent="0.25">
      <c r="A188">
        <v>1</v>
      </c>
      <c r="B188" s="1">
        <v>1</v>
      </c>
      <c r="C188" s="1">
        <v>5</v>
      </c>
      <c r="D188" s="1">
        <v>5</v>
      </c>
      <c r="E188" t="s">
        <v>36</v>
      </c>
      <c r="F188" s="13" t="s">
        <v>41</v>
      </c>
      <c r="G188" s="1">
        <v>6</v>
      </c>
      <c r="H188">
        <v>2238.7199999999998</v>
      </c>
      <c r="I188">
        <v>2217.96</v>
      </c>
      <c r="J188" s="7">
        <v>0.57593749999999999</v>
      </c>
      <c r="K188" s="7">
        <v>0.60682870370370368</v>
      </c>
      <c r="L188" s="1">
        <f t="shared" si="51"/>
        <v>2657.4</v>
      </c>
      <c r="M188" s="4">
        <v>44.29</v>
      </c>
      <c r="N188" s="4">
        <f t="shared" si="52"/>
        <v>20.759999999999764</v>
      </c>
      <c r="O188" s="4">
        <f t="shared" si="53"/>
        <v>20759.999999999764</v>
      </c>
      <c r="P188" s="4">
        <v>1</v>
      </c>
      <c r="Q188">
        <v>1058</v>
      </c>
      <c r="R188" s="1">
        <f>Q188/10000</f>
        <v>0.10580000000000001</v>
      </c>
      <c r="S188" s="5">
        <f t="shared" si="54"/>
        <v>73.838820525142538</v>
      </c>
      <c r="T188" s="4">
        <v>32</v>
      </c>
      <c r="U188" s="8">
        <f>+AVERAGE([1]humidity!$B$20898:$B$20986)</f>
        <v>19.865168539325843</v>
      </c>
      <c r="V188">
        <f t="shared" si="55"/>
        <v>4.7547753962618131</v>
      </c>
      <c r="W188">
        <f t="shared" si="49"/>
        <v>0.94454414613380733</v>
      </c>
      <c r="X188" s="6">
        <f t="shared" si="50"/>
        <v>3.8102312501280058</v>
      </c>
    </row>
    <row r="189" spans="1:30" x14ac:dyDescent="0.25">
      <c r="A189">
        <v>1</v>
      </c>
      <c r="B189" s="1">
        <v>2</v>
      </c>
      <c r="C189">
        <v>5</v>
      </c>
      <c r="D189">
        <v>5</v>
      </c>
      <c r="E189" t="s">
        <v>36</v>
      </c>
      <c r="F189" s="13" t="s">
        <v>41</v>
      </c>
      <c r="G189" s="1">
        <v>2</v>
      </c>
      <c r="H189">
        <v>2565.84</v>
      </c>
      <c r="I189">
        <v>2551.0700000000002</v>
      </c>
      <c r="J189" s="7">
        <v>0.41741898148148149</v>
      </c>
      <c r="K189" s="7">
        <v>0.44797453703703705</v>
      </c>
      <c r="L189" s="1">
        <f t="shared" si="51"/>
        <v>2640</v>
      </c>
      <c r="M189" s="4">
        <v>44</v>
      </c>
      <c r="N189" s="4">
        <f t="shared" si="52"/>
        <v>14.769999999999982</v>
      </c>
      <c r="O189" s="4">
        <f t="shared" si="53"/>
        <v>14769.999999999982</v>
      </c>
      <c r="P189" s="4">
        <v>0.71352657004831455</v>
      </c>
      <c r="Q189">
        <v>1058</v>
      </c>
      <c r="R189" s="1">
        <f>+Q189/10000</f>
        <v>0.10580000000000001</v>
      </c>
      <c r="S189" s="5">
        <f t="shared" si="54"/>
        <v>52.879933551010986</v>
      </c>
      <c r="T189" s="4">
        <v>32</v>
      </c>
      <c r="U189" s="8">
        <f>+AVERAGE([1]humidity!$B$23313:$B$23401)</f>
        <v>71.887640449438209</v>
      </c>
      <c r="V189">
        <f t="shared" si="55"/>
        <v>4.7547753962618131</v>
      </c>
      <c r="W189">
        <f t="shared" si="49"/>
        <v>3.4180958410430429</v>
      </c>
      <c r="X189" s="6">
        <f t="shared" si="50"/>
        <v>1.3366795552187702</v>
      </c>
    </row>
    <row r="190" spans="1:30" x14ac:dyDescent="0.25">
      <c r="A190">
        <v>1</v>
      </c>
      <c r="B190" s="1">
        <v>2</v>
      </c>
      <c r="C190">
        <v>5</v>
      </c>
      <c r="D190">
        <v>5</v>
      </c>
      <c r="E190" t="s">
        <v>36</v>
      </c>
      <c r="F190" s="13" t="s">
        <v>41</v>
      </c>
      <c r="G190" s="1">
        <v>3</v>
      </c>
      <c r="H190">
        <v>2537.7600000000002</v>
      </c>
      <c r="I190">
        <v>2523.4</v>
      </c>
      <c r="J190" s="7">
        <v>0.47769675925925925</v>
      </c>
      <c r="K190" s="7">
        <v>0.5084143518518518</v>
      </c>
      <c r="L190" s="1">
        <f t="shared" si="51"/>
        <v>2648.4</v>
      </c>
      <c r="M190" s="4">
        <v>44.14</v>
      </c>
      <c r="N190" s="4">
        <f t="shared" si="52"/>
        <v>14.360000000000127</v>
      </c>
      <c r="O190" s="4">
        <f t="shared" si="53"/>
        <v>14360.000000000127</v>
      </c>
      <c r="P190" s="4">
        <v>0.69371980676329725</v>
      </c>
      <c r="Q190">
        <v>1058</v>
      </c>
      <c r="R190" s="1">
        <f>+Q190/10000</f>
        <v>0.10580000000000001</v>
      </c>
      <c r="S190" s="5">
        <f t="shared" si="54"/>
        <v>51.248976091139681</v>
      </c>
      <c r="T190" s="4">
        <v>32</v>
      </c>
      <c r="U190" s="8">
        <f>+AVERAGE([1]humidity!$B$23480:$B$23571)</f>
        <v>55.608695652173914</v>
      </c>
      <c r="V190">
        <f t="shared" si="55"/>
        <v>4.7547753962618131</v>
      </c>
      <c r="W190">
        <f t="shared" si="49"/>
        <v>2.6440685790516776</v>
      </c>
      <c r="X190" s="6">
        <f t="shared" si="50"/>
        <v>2.1107068172101355</v>
      </c>
    </row>
    <row r="191" spans="1:30" x14ac:dyDescent="0.25">
      <c r="A191">
        <v>1</v>
      </c>
      <c r="B191" s="1">
        <v>2</v>
      </c>
      <c r="C191">
        <v>5</v>
      </c>
      <c r="D191">
        <v>5</v>
      </c>
      <c r="E191" t="s">
        <v>36</v>
      </c>
      <c r="F191" s="13" t="s">
        <v>41</v>
      </c>
      <c r="G191" s="1">
        <v>4</v>
      </c>
      <c r="H191">
        <v>2511.7600000000002</v>
      </c>
      <c r="I191">
        <v>2493.09</v>
      </c>
      <c r="J191" s="7">
        <v>0.53045138888888888</v>
      </c>
      <c r="K191" s="7">
        <v>0.56327546296296294</v>
      </c>
      <c r="L191" s="1">
        <f t="shared" si="51"/>
        <v>2829.6</v>
      </c>
      <c r="M191" s="4">
        <v>47.16</v>
      </c>
      <c r="N191" s="4">
        <f t="shared" si="52"/>
        <v>18.670000000000073</v>
      </c>
      <c r="O191" s="4">
        <f t="shared" si="53"/>
        <v>18670.000000000073</v>
      </c>
      <c r="P191" s="4">
        <v>0.90193236714976988</v>
      </c>
      <c r="Q191">
        <v>1058</v>
      </c>
      <c r="R191" s="1">
        <f>+Q191/10000</f>
        <v>0.10580000000000001</v>
      </c>
      <c r="S191" s="5">
        <f t="shared" si="54"/>
        <v>62.363948386834956</v>
      </c>
      <c r="T191" s="4">
        <v>32</v>
      </c>
      <c r="U191" s="8">
        <f>+AVERAGE([1]humidity!$B$23635:$B$23728)</f>
        <v>48.244680851063826</v>
      </c>
      <c r="V191">
        <f t="shared" si="55"/>
        <v>4.7547753962618131</v>
      </c>
      <c r="W191">
        <f t="shared" si="49"/>
        <v>2.293926215111417</v>
      </c>
      <c r="X191" s="6">
        <f t="shared" si="50"/>
        <v>2.4608491811503961</v>
      </c>
    </row>
    <row r="192" spans="1:30" x14ac:dyDescent="0.25">
      <c r="A192">
        <v>1</v>
      </c>
      <c r="B192" s="1">
        <v>2</v>
      </c>
      <c r="C192">
        <v>5</v>
      </c>
      <c r="D192">
        <v>5</v>
      </c>
      <c r="E192" t="s">
        <v>36</v>
      </c>
      <c r="F192" s="13" t="s">
        <v>41</v>
      </c>
      <c r="G192" s="1">
        <v>5</v>
      </c>
      <c r="H192">
        <v>2479.19</v>
      </c>
      <c r="I192">
        <v>2460.4299999999998</v>
      </c>
      <c r="J192" s="7">
        <v>0.58910879629629631</v>
      </c>
      <c r="K192" s="7">
        <v>0.61982638888888886</v>
      </c>
      <c r="L192" s="1">
        <f t="shared" si="51"/>
        <v>2648.4</v>
      </c>
      <c r="M192" s="4">
        <f>52.33-8.19</f>
        <v>44.14</v>
      </c>
      <c r="N192" s="4">
        <f t="shared" si="52"/>
        <v>18.760000000000218</v>
      </c>
      <c r="O192" s="4">
        <f t="shared" si="53"/>
        <v>18760.000000000218</v>
      </c>
      <c r="P192" s="4">
        <v>0.90628019323673348</v>
      </c>
      <c r="Q192">
        <v>1058</v>
      </c>
      <c r="R192" s="1">
        <f>+Q192/10000</f>
        <v>0.10580000000000001</v>
      </c>
      <c r="S192" s="5">
        <f t="shared" si="54"/>
        <v>66.952004977004393</v>
      </c>
      <c r="T192" s="4">
        <v>32</v>
      </c>
      <c r="U192" s="8">
        <f>+AVERAGE([1]humidity!$B$23800:$B$23885)</f>
        <v>34.860465116279073</v>
      </c>
      <c r="V192">
        <f t="shared" si="55"/>
        <v>4.7547753962618131</v>
      </c>
      <c r="W192">
        <f t="shared" si="49"/>
        <v>1.6575368183712693</v>
      </c>
      <c r="X192" s="6">
        <f t="shared" si="50"/>
        <v>3.0972385778905438</v>
      </c>
    </row>
    <row r="193" spans="1:24" x14ac:dyDescent="0.25">
      <c r="A193">
        <v>1</v>
      </c>
      <c r="B193" s="1">
        <v>2</v>
      </c>
      <c r="C193">
        <v>5</v>
      </c>
      <c r="D193">
        <v>5</v>
      </c>
      <c r="E193" t="s">
        <v>36</v>
      </c>
      <c r="F193" s="13" t="s">
        <v>41</v>
      </c>
      <c r="G193" s="1">
        <v>6</v>
      </c>
      <c r="H193">
        <v>2442.81</v>
      </c>
      <c r="I193">
        <v>2422.11</v>
      </c>
      <c r="J193" s="7">
        <v>0.64884259259259258</v>
      </c>
      <c r="K193" s="7">
        <v>0.68069444444444449</v>
      </c>
      <c r="L193" s="1">
        <f t="shared" si="51"/>
        <v>2748</v>
      </c>
      <c r="M193" s="4">
        <f>+(60-34.2)+20</f>
        <v>45.8</v>
      </c>
      <c r="N193" s="4">
        <f t="shared" si="52"/>
        <v>20.699999999999818</v>
      </c>
      <c r="O193" s="4">
        <f t="shared" si="53"/>
        <v>20699.999999999818</v>
      </c>
      <c r="P193" s="4">
        <v>1</v>
      </c>
      <c r="Q193">
        <v>1058</v>
      </c>
      <c r="R193" s="1">
        <f>+Q193/10000</f>
        <v>0.10580000000000001</v>
      </c>
      <c r="S193" s="5">
        <f t="shared" si="54"/>
        <v>71.198025441427134</v>
      </c>
      <c r="T193" s="4">
        <v>32</v>
      </c>
      <c r="U193" s="8">
        <f>+AVERAGE([1]humidity!$B$23968:$B$24060)</f>
        <v>19.892473118279568</v>
      </c>
      <c r="V193">
        <f t="shared" si="55"/>
        <v>4.7547753962618131</v>
      </c>
      <c r="W193">
        <f t="shared" si="49"/>
        <v>0.945842417535952</v>
      </c>
      <c r="X193" s="6">
        <f t="shared" si="50"/>
        <v>3.8089329787258612</v>
      </c>
    </row>
    <row r="194" spans="1:24" x14ac:dyDescent="0.25">
      <c r="A194">
        <v>2</v>
      </c>
      <c r="B194">
        <v>1</v>
      </c>
      <c r="C194">
        <v>5</v>
      </c>
      <c r="D194">
        <v>2</v>
      </c>
      <c r="E194" t="s">
        <v>36</v>
      </c>
      <c r="F194" s="13" t="s">
        <v>41</v>
      </c>
      <c r="G194">
        <v>1</v>
      </c>
      <c r="H194">
        <v>3077.34</v>
      </c>
      <c r="I194">
        <v>3070.13</v>
      </c>
      <c r="J194" s="11">
        <v>0.49791666666666667</v>
      </c>
      <c r="K194" s="7">
        <v>0.53189814814814818</v>
      </c>
      <c r="L194">
        <f t="shared" ref="L194:L199" si="56">+M194*60</f>
        <v>2880</v>
      </c>
      <c r="M194">
        <v>48</v>
      </c>
      <c r="N194">
        <f t="shared" ref="N194:N199" si="57">+H194-I194</f>
        <v>7.2100000000000364</v>
      </c>
      <c r="O194">
        <f t="shared" ref="O194:O199" si="58">+N194*1000</f>
        <v>7210.0000000000364</v>
      </c>
      <c r="P194" s="2">
        <v>0.80022197558267061</v>
      </c>
      <c r="Q194">
        <v>581</v>
      </c>
      <c r="R194" s="1">
        <v>5.8099999999999999E-2</v>
      </c>
      <c r="S194" s="5">
        <v>43.08902275769767</v>
      </c>
      <c r="T194" s="4">
        <v>32</v>
      </c>
      <c r="U194" s="8">
        <v>77.865979381443296</v>
      </c>
      <c r="V194">
        <v>4.7547753962618131</v>
      </c>
      <c r="W194">
        <v>3.7023524296871622</v>
      </c>
      <c r="X194" s="6">
        <v>1.052422966574651</v>
      </c>
    </row>
    <row r="195" spans="1:24" x14ac:dyDescent="0.25">
      <c r="A195">
        <v>2</v>
      </c>
      <c r="B195">
        <v>1</v>
      </c>
      <c r="C195">
        <v>5</v>
      </c>
      <c r="D195">
        <v>2</v>
      </c>
      <c r="E195" t="s">
        <v>36</v>
      </c>
      <c r="F195" s="13" t="s">
        <v>41</v>
      </c>
      <c r="G195">
        <v>2</v>
      </c>
      <c r="H195">
        <v>3065.4</v>
      </c>
      <c r="I195">
        <v>3058.38</v>
      </c>
      <c r="J195" s="7">
        <v>0.55482638888888891</v>
      </c>
      <c r="K195" s="7">
        <v>0.58539351851851851</v>
      </c>
      <c r="L195">
        <f t="shared" si="56"/>
        <v>2640</v>
      </c>
      <c r="M195">
        <v>44</v>
      </c>
      <c r="N195">
        <f t="shared" si="57"/>
        <v>7.0199999999999818</v>
      </c>
      <c r="O195">
        <f t="shared" si="58"/>
        <v>7019.9999999999818</v>
      </c>
      <c r="P195" s="2">
        <v>0.7791342952275041</v>
      </c>
      <c r="Q195">
        <v>581</v>
      </c>
      <c r="R195">
        <v>5.8099999999999999E-2</v>
      </c>
      <c r="S195">
        <v>45.767485526521554</v>
      </c>
      <c r="T195">
        <v>32</v>
      </c>
      <c r="U195" s="8">
        <v>66.811764705882354</v>
      </c>
      <c r="V195">
        <v>4.7547753962618131</v>
      </c>
      <c r="W195">
        <v>3.1767493500436275</v>
      </c>
      <c r="X195" s="12">
        <v>1.5780260462181857</v>
      </c>
    </row>
    <row r="196" spans="1:24" x14ac:dyDescent="0.25">
      <c r="A196">
        <v>2</v>
      </c>
      <c r="B196">
        <v>1</v>
      </c>
      <c r="C196">
        <v>5</v>
      </c>
      <c r="D196">
        <v>2</v>
      </c>
      <c r="E196" t="s">
        <v>36</v>
      </c>
      <c r="F196" s="13" t="s">
        <v>41</v>
      </c>
      <c r="G196">
        <v>3</v>
      </c>
      <c r="H196">
        <v>3054.53</v>
      </c>
      <c r="I196">
        <v>3046.3</v>
      </c>
      <c r="J196" s="7">
        <v>0.60451388888888891</v>
      </c>
      <c r="K196" s="7">
        <v>0.63587962962962963</v>
      </c>
      <c r="L196">
        <f t="shared" si="56"/>
        <v>2700</v>
      </c>
      <c r="M196">
        <v>45</v>
      </c>
      <c r="N196">
        <f t="shared" si="57"/>
        <v>8.2300000000000182</v>
      </c>
      <c r="O196">
        <f t="shared" si="58"/>
        <v>8230.0000000000182</v>
      </c>
      <c r="P196" s="2">
        <v>0.91342952275247713</v>
      </c>
      <c r="Q196">
        <v>581</v>
      </c>
      <c r="R196">
        <v>5.8099999999999999E-2</v>
      </c>
      <c r="S196">
        <v>52.46382354816101</v>
      </c>
      <c r="T196">
        <v>32</v>
      </c>
      <c r="U196" s="8">
        <v>56</v>
      </c>
      <c r="V196">
        <v>4.7547753962618131</v>
      </c>
      <c r="W196">
        <v>2.6626742219066157</v>
      </c>
      <c r="X196" s="12">
        <v>2.0921011743551974</v>
      </c>
    </row>
    <row r="197" spans="1:24" x14ac:dyDescent="0.25">
      <c r="A197">
        <v>2</v>
      </c>
      <c r="B197">
        <v>1</v>
      </c>
      <c r="C197">
        <v>5</v>
      </c>
      <c r="D197">
        <v>2</v>
      </c>
      <c r="E197" t="s">
        <v>36</v>
      </c>
      <c r="F197" s="13" t="s">
        <v>41</v>
      </c>
      <c r="G197">
        <v>4</v>
      </c>
      <c r="H197">
        <v>3042.57</v>
      </c>
      <c r="I197">
        <v>3034</v>
      </c>
      <c r="J197" s="7">
        <v>0.65231481481481479</v>
      </c>
      <c r="K197" s="7">
        <v>0.68402777777777779</v>
      </c>
      <c r="L197">
        <f t="shared" si="56"/>
        <v>2700</v>
      </c>
      <c r="M197">
        <v>45</v>
      </c>
      <c r="N197">
        <f t="shared" si="57"/>
        <v>8.5700000000001637</v>
      </c>
      <c r="O197">
        <f t="shared" si="58"/>
        <v>8570.0000000001637</v>
      </c>
      <c r="P197" s="2">
        <v>0.95116537180909611</v>
      </c>
      <c r="Q197">
        <v>581</v>
      </c>
      <c r="R197">
        <v>5.8099999999999999E-2</v>
      </c>
      <c r="S197">
        <v>54.631223305923143</v>
      </c>
      <c r="T197">
        <v>32</v>
      </c>
      <c r="U197" s="8">
        <v>47.103448275862071</v>
      </c>
      <c r="V197">
        <v>4.7547753962618131</v>
      </c>
      <c r="W197">
        <v>2.2396631694115987</v>
      </c>
      <c r="X197" s="12">
        <v>2.5151122268502144</v>
      </c>
    </row>
    <row r="198" spans="1:24" x14ac:dyDescent="0.25">
      <c r="A198">
        <v>2</v>
      </c>
      <c r="B198">
        <v>1</v>
      </c>
      <c r="C198">
        <v>5</v>
      </c>
      <c r="D198">
        <v>2</v>
      </c>
      <c r="E198" t="s">
        <v>36</v>
      </c>
      <c r="F198" s="13" t="s">
        <v>41</v>
      </c>
      <c r="G198">
        <v>5</v>
      </c>
      <c r="H198">
        <v>3030.23</v>
      </c>
      <c r="I198">
        <v>3021.22</v>
      </c>
      <c r="J198" s="7">
        <v>0.70046296296296295</v>
      </c>
      <c r="K198" s="7">
        <v>0.73293981481481485</v>
      </c>
      <c r="L198">
        <f t="shared" si="56"/>
        <v>2760</v>
      </c>
      <c r="M198">
        <v>46</v>
      </c>
      <c r="N198">
        <f t="shared" si="57"/>
        <v>9.0100000000002183</v>
      </c>
      <c r="O198">
        <f t="shared" si="58"/>
        <v>9010.0000000002183</v>
      </c>
      <c r="P198" s="2">
        <v>1</v>
      </c>
      <c r="Q198">
        <v>581</v>
      </c>
      <c r="R198">
        <v>5.8099999999999999E-2</v>
      </c>
      <c r="S198">
        <v>56.187482850658654</v>
      </c>
      <c r="T198">
        <v>32</v>
      </c>
      <c r="U198" s="8">
        <v>38.567010309278352</v>
      </c>
      <c r="V198">
        <v>4.7547753962618131</v>
      </c>
      <c r="W198">
        <v>1.8337747172593242</v>
      </c>
      <c r="X198" s="12">
        <v>2.9210006790024892</v>
      </c>
    </row>
    <row r="199" spans="1:24" x14ac:dyDescent="0.25">
      <c r="A199">
        <v>2</v>
      </c>
      <c r="B199">
        <v>1</v>
      </c>
      <c r="C199">
        <v>5</v>
      </c>
      <c r="D199">
        <v>2</v>
      </c>
      <c r="E199" t="s">
        <v>36</v>
      </c>
      <c r="F199" s="13" t="s">
        <v>41</v>
      </c>
      <c r="G199">
        <v>6</v>
      </c>
      <c r="H199">
        <v>3018.59</v>
      </c>
      <c r="I199">
        <v>3011.1</v>
      </c>
      <c r="J199" s="7">
        <v>0.7436342592592593</v>
      </c>
      <c r="K199" s="7">
        <v>0.77496527777777779</v>
      </c>
      <c r="L199">
        <f t="shared" si="56"/>
        <v>2700</v>
      </c>
      <c r="M199">
        <v>45</v>
      </c>
      <c r="N199">
        <f t="shared" si="57"/>
        <v>7.4900000000002365</v>
      </c>
      <c r="O199">
        <f t="shared" si="58"/>
        <v>7490.0000000002365</v>
      </c>
      <c r="P199" s="2">
        <v>0.62054681027341629</v>
      </c>
      <c r="Q199">
        <v>581</v>
      </c>
      <c r="R199">
        <v>5.8099999999999999E-2</v>
      </c>
      <c r="S199">
        <v>47.746541722446842</v>
      </c>
      <c r="T199">
        <v>32</v>
      </c>
      <c r="U199" s="8">
        <v>23.483146067415731</v>
      </c>
      <c r="V199">
        <v>4.7547753962618131</v>
      </c>
      <c r="W199">
        <v>1.1165708514817068</v>
      </c>
      <c r="X199" s="12">
        <v>3.6382045447801064</v>
      </c>
    </row>
    <row r="200" spans="1:24" x14ac:dyDescent="0.25">
      <c r="A200">
        <v>3</v>
      </c>
      <c r="B200">
        <v>1</v>
      </c>
      <c r="C200">
        <v>1</v>
      </c>
      <c r="D200">
        <v>2</v>
      </c>
      <c r="E200" t="s">
        <v>36</v>
      </c>
      <c r="F200" s="13" t="s">
        <v>41</v>
      </c>
      <c r="G200">
        <v>1</v>
      </c>
      <c r="H200">
        <v>2193.36</v>
      </c>
      <c r="I200">
        <v>2187.62</v>
      </c>
      <c r="J200">
        <v>0.48958333333333331</v>
      </c>
      <c r="K200">
        <v>0.52083333333333337</v>
      </c>
      <c r="L200">
        <v>2700</v>
      </c>
      <c r="M200">
        <v>45</v>
      </c>
      <c r="N200">
        <v>5.7400000000002365</v>
      </c>
      <c r="O200">
        <v>5740.0000000002365</v>
      </c>
      <c r="P200" s="2">
        <v>0.47555923777963205</v>
      </c>
      <c r="Q200">
        <v>710.05</v>
      </c>
      <c r="R200">
        <v>7.1004999999999999E-2</v>
      </c>
      <c r="S200">
        <v>29.940510188381289</v>
      </c>
      <c r="T200">
        <v>32</v>
      </c>
      <c r="U200" s="8">
        <v>79</v>
      </c>
      <c r="V200">
        <v>4.7547753962618131</v>
      </c>
      <c r="W200">
        <f t="shared" ref="W200:W212" si="59">V200*(U200/100)</f>
        <v>3.7562725630468323</v>
      </c>
      <c r="X200" s="12">
        <f t="shared" ref="X200:X212" si="60">V200-W200</f>
        <v>0.99850283321498079</v>
      </c>
    </row>
    <row r="201" spans="1:24" x14ac:dyDescent="0.25">
      <c r="A201">
        <v>3</v>
      </c>
      <c r="B201">
        <v>1</v>
      </c>
      <c r="C201">
        <v>1</v>
      </c>
      <c r="D201">
        <v>2</v>
      </c>
      <c r="E201" t="s">
        <v>36</v>
      </c>
      <c r="F201" s="13" t="s">
        <v>41</v>
      </c>
      <c r="G201">
        <v>2</v>
      </c>
      <c r="H201">
        <v>2185.5</v>
      </c>
      <c r="I201">
        <v>2177.52</v>
      </c>
      <c r="J201">
        <v>0.53055555555555556</v>
      </c>
      <c r="K201">
        <v>0.56180555555555556</v>
      </c>
      <c r="L201">
        <v>2700</v>
      </c>
      <c r="M201" s="8">
        <v>45</v>
      </c>
      <c r="N201">
        <v>7.9800000000000182</v>
      </c>
      <c r="O201">
        <v>7980.0000000000182</v>
      </c>
      <c r="P201" s="2">
        <v>0.66114333057165786</v>
      </c>
      <c r="Q201">
        <v>710.05</v>
      </c>
      <c r="R201">
        <v>7.1004999999999999E-2</v>
      </c>
      <c r="S201">
        <v>41.624611725308952</v>
      </c>
      <c r="T201">
        <v>32</v>
      </c>
      <c r="U201" s="8">
        <v>68</v>
      </c>
      <c r="V201">
        <v>4.7547753962618131</v>
      </c>
      <c r="W201">
        <f t="shared" si="59"/>
        <v>3.2332472694580332</v>
      </c>
      <c r="X201" s="12">
        <f t="shared" si="60"/>
        <v>1.5215281268037799</v>
      </c>
    </row>
    <row r="202" spans="1:24" x14ac:dyDescent="0.25">
      <c r="A202">
        <v>3</v>
      </c>
      <c r="B202">
        <v>1</v>
      </c>
      <c r="C202">
        <v>1</v>
      </c>
      <c r="D202">
        <v>2</v>
      </c>
      <c r="E202" t="s">
        <v>36</v>
      </c>
      <c r="F202" s="13" t="s">
        <v>41</v>
      </c>
      <c r="G202">
        <v>3</v>
      </c>
      <c r="H202">
        <v>2173.48</v>
      </c>
      <c r="I202">
        <v>2164.41</v>
      </c>
      <c r="J202">
        <v>0.57556712962962964</v>
      </c>
      <c r="K202">
        <v>0.60728009259259264</v>
      </c>
      <c r="L202">
        <v>2700</v>
      </c>
      <c r="M202" s="8">
        <v>45</v>
      </c>
      <c r="N202">
        <v>9.0700000000001637</v>
      </c>
      <c r="O202">
        <v>9070.0000000001637</v>
      </c>
      <c r="P202" s="2">
        <v>0.75144987572494126</v>
      </c>
      <c r="Q202">
        <v>710.05</v>
      </c>
      <c r="R202">
        <v>7.1004999999999999E-2</v>
      </c>
      <c r="S202">
        <v>47.310178991047387</v>
      </c>
      <c r="T202">
        <v>32</v>
      </c>
      <c r="U202" s="8">
        <v>57</v>
      </c>
      <c r="V202">
        <v>4.7547753962618131</v>
      </c>
      <c r="W202">
        <f t="shared" si="59"/>
        <v>2.7102219758692332</v>
      </c>
      <c r="X202" s="12">
        <f t="shared" si="60"/>
        <v>2.0445534203925799</v>
      </c>
    </row>
    <row r="203" spans="1:24" x14ac:dyDescent="0.25">
      <c r="A203">
        <v>3</v>
      </c>
      <c r="B203">
        <v>1</v>
      </c>
      <c r="C203">
        <v>1</v>
      </c>
      <c r="D203">
        <v>2</v>
      </c>
      <c r="E203" t="s">
        <v>36</v>
      </c>
      <c r="F203" s="13" t="s">
        <v>41</v>
      </c>
      <c r="G203">
        <v>4</v>
      </c>
      <c r="H203">
        <v>2158.0300000000002</v>
      </c>
      <c r="I203">
        <v>2147.9899999999998</v>
      </c>
      <c r="J203">
        <v>0.62638888888888888</v>
      </c>
      <c r="K203">
        <v>0.65733796296296299</v>
      </c>
      <c r="L203">
        <v>2640</v>
      </c>
      <c r="M203" s="8">
        <v>44</v>
      </c>
      <c r="N203">
        <v>10.040000000000418</v>
      </c>
      <c r="O203">
        <v>10040.000000000418</v>
      </c>
      <c r="P203" s="2">
        <v>0.83181441590723137</v>
      </c>
      <c r="Q203">
        <v>710.05</v>
      </c>
      <c r="R203">
        <v>7.1004999999999999E-2</v>
      </c>
      <c r="S203">
        <v>53.56003525146766</v>
      </c>
      <c r="T203">
        <v>32</v>
      </c>
      <c r="U203" s="8">
        <v>47</v>
      </c>
      <c r="V203">
        <v>4.7547753962618131</v>
      </c>
      <c r="W203">
        <f t="shared" si="59"/>
        <v>2.234744436243052</v>
      </c>
      <c r="X203" s="12">
        <f t="shared" si="60"/>
        <v>2.5200309600187611</v>
      </c>
    </row>
    <row r="204" spans="1:24" x14ac:dyDescent="0.25">
      <c r="A204">
        <v>3</v>
      </c>
      <c r="B204">
        <v>1</v>
      </c>
      <c r="C204">
        <v>1</v>
      </c>
      <c r="D204">
        <v>2</v>
      </c>
      <c r="E204" t="s">
        <v>36</v>
      </c>
      <c r="F204" s="13" t="s">
        <v>41</v>
      </c>
      <c r="G204">
        <v>5</v>
      </c>
      <c r="H204">
        <v>2140.87</v>
      </c>
      <c r="I204">
        <v>2130.58</v>
      </c>
      <c r="J204">
        <v>0.67721064814814813</v>
      </c>
      <c r="K204">
        <v>0.70833333333333337</v>
      </c>
      <c r="L204">
        <v>2640</v>
      </c>
      <c r="M204" s="8">
        <v>44</v>
      </c>
      <c r="N204">
        <v>10.289999999999964</v>
      </c>
      <c r="O204">
        <v>10289.999999999964</v>
      </c>
      <c r="P204" s="2">
        <v>0.8525269262634485</v>
      </c>
      <c r="Q204">
        <v>710.05</v>
      </c>
      <c r="R204">
        <v>7.1004999999999999E-2</v>
      </c>
      <c r="S204">
        <v>54.893701467886189</v>
      </c>
      <c r="T204">
        <v>32</v>
      </c>
      <c r="U204" s="8">
        <v>37</v>
      </c>
      <c r="V204">
        <v>4.7547753962618131</v>
      </c>
      <c r="W204">
        <f t="shared" si="59"/>
        <v>1.7592668966168707</v>
      </c>
      <c r="X204" s="12">
        <f t="shared" si="60"/>
        <v>2.9955084996449424</v>
      </c>
    </row>
    <row r="205" spans="1:24" x14ac:dyDescent="0.25">
      <c r="A205">
        <v>3</v>
      </c>
      <c r="B205">
        <v>1</v>
      </c>
      <c r="C205">
        <v>1</v>
      </c>
      <c r="D205">
        <v>2</v>
      </c>
      <c r="E205" t="s">
        <v>36</v>
      </c>
      <c r="F205" s="13" t="s">
        <v>41</v>
      </c>
      <c r="G205">
        <v>6</v>
      </c>
      <c r="H205">
        <v>2125.21</v>
      </c>
      <c r="I205">
        <v>2113.14</v>
      </c>
      <c r="J205">
        <v>0.72222222222222221</v>
      </c>
      <c r="K205">
        <v>0.7540162037037037</v>
      </c>
      <c r="L205">
        <v>2700</v>
      </c>
      <c r="M205" s="8">
        <v>45</v>
      </c>
      <c r="N205">
        <v>12.070000000000164</v>
      </c>
      <c r="O205">
        <v>12070.000000000164</v>
      </c>
      <c r="P205" s="2">
        <v>1</v>
      </c>
      <c r="Q205">
        <v>710.05</v>
      </c>
      <c r="R205">
        <v>7.1004999999999999E-2</v>
      </c>
      <c r="S205">
        <v>62.958529263719889</v>
      </c>
      <c r="T205">
        <v>32</v>
      </c>
      <c r="U205" s="8">
        <v>24</v>
      </c>
      <c r="V205">
        <v>4.7547753962618131</v>
      </c>
      <c r="W205">
        <f t="shared" si="59"/>
        <v>1.1411460951028352</v>
      </c>
      <c r="X205" s="12">
        <f t="shared" si="60"/>
        <v>3.6136293011589782</v>
      </c>
    </row>
    <row r="206" spans="1:24" x14ac:dyDescent="0.25">
      <c r="A206">
        <v>3</v>
      </c>
      <c r="B206">
        <v>2</v>
      </c>
      <c r="C206">
        <v>1</v>
      </c>
      <c r="D206">
        <v>2</v>
      </c>
      <c r="E206" t="s">
        <v>36</v>
      </c>
      <c r="F206" s="13" t="s">
        <v>41</v>
      </c>
      <c r="G206">
        <v>2</v>
      </c>
      <c r="H206">
        <v>2247.1799999999998</v>
      </c>
      <c r="I206">
        <v>2239.92</v>
      </c>
      <c r="J206">
        <v>0.375</v>
      </c>
      <c r="K206">
        <v>0.40574074074074074</v>
      </c>
      <c r="L206">
        <v>2642.5000000000018</v>
      </c>
      <c r="M206" s="8">
        <v>44.0416666666667</v>
      </c>
      <c r="N206">
        <v>7.2599999999997635</v>
      </c>
      <c r="O206">
        <v>7259.9999999997635</v>
      </c>
      <c r="P206" s="2">
        <v>0.56941176470586385</v>
      </c>
      <c r="Q206">
        <v>710.05</v>
      </c>
      <c r="R206">
        <v>7.1004999999999999E-2</v>
      </c>
      <c r="S206">
        <v>38.69302580194465</v>
      </c>
      <c r="T206">
        <v>32</v>
      </c>
      <c r="U206" s="8">
        <v>68</v>
      </c>
      <c r="V206">
        <v>4.7547753962618131</v>
      </c>
      <c r="W206">
        <f t="shared" si="59"/>
        <v>3.2332472694580332</v>
      </c>
      <c r="X206" s="12">
        <f t="shared" si="60"/>
        <v>1.5215281268037799</v>
      </c>
    </row>
    <row r="207" spans="1:24" x14ac:dyDescent="0.25">
      <c r="A207">
        <v>3</v>
      </c>
      <c r="B207">
        <v>2</v>
      </c>
      <c r="C207">
        <v>1</v>
      </c>
      <c r="D207">
        <v>2</v>
      </c>
      <c r="E207" t="s">
        <v>36</v>
      </c>
      <c r="F207" s="13" t="s">
        <v>41</v>
      </c>
      <c r="G207">
        <v>3</v>
      </c>
      <c r="H207">
        <v>2234.4</v>
      </c>
      <c r="I207">
        <v>2226.14</v>
      </c>
      <c r="J207">
        <v>0.42790509259259257</v>
      </c>
      <c r="K207">
        <v>0.45833333333333331</v>
      </c>
      <c r="L207">
        <v>2582.5000000000018</v>
      </c>
      <c r="M207" s="8">
        <v>43.0416666666667</v>
      </c>
      <c r="N207">
        <v>8.2600000000002183</v>
      </c>
      <c r="O207">
        <v>8260.0000000002183</v>
      </c>
      <c r="P207" s="2">
        <v>0.64784313725491904</v>
      </c>
      <c r="Q207">
        <v>710.05</v>
      </c>
      <c r="R207">
        <v>7.1004999999999999E-2</v>
      </c>
      <c r="S207">
        <v>45.045435015314766</v>
      </c>
      <c r="T207">
        <v>32</v>
      </c>
      <c r="U207" s="8">
        <v>57</v>
      </c>
      <c r="V207">
        <v>4.7547753962618131</v>
      </c>
      <c r="W207">
        <f t="shared" si="59"/>
        <v>2.7102219758692332</v>
      </c>
      <c r="X207" s="12">
        <f t="shared" si="60"/>
        <v>2.0445534203925799</v>
      </c>
    </row>
    <row r="208" spans="1:24" x14ac:dyDescent="0.25">
      <c r="A208">
        <v>3</v>
      </c>
      <c r="B208">
        <v>2</v>
      </c>
      <c r="C208">
        <v>1</v>
      </c>
      <c r="D208">
        <v>2</v>
      </c>
      <c r="E208" t="s">
        <v>36</v>
      </c>
      <c r="F208" s="13" t="s">
        <v>41</v>
      </c>
      <c r="G208">
        <v>4</v>
      </c>
      <c r="H208">
        <v>2220.39</v>
      </c>
      <c r="I208">
        <v>2211.0300000000002</v>
      </c>
      <c r="J208">
        <v>0.47795138888888888</v>
      </c>
      <c r="K208">
        <v>0.50929398148148153</v>
      </c>
      <c r="L208">
        <v>2702.5000000000018</v>
      </c>
      <c r="M208" s="8">
        <v>45.0416666666667</v>
      </c>
      <c r="N208">
        <v>9.3599999999996726</v>
      </c>
      <c r="O208">
        <v>9359.9999999996726</v>
      </c>
      <c r="P208" s="2">
        <v>0.7341176470587979</v>
      </c>
      <c r="Q208">
        <v>710.05</v>
      </c>
      <c r="R208">
        <v>7.1004999999999999E-2</v>
      </c>
      <c r="S208">
        <v>48.777688324510073</v>
      </c>
      <c r="T208">
        <v>32</v>
      </c>
      <c r="U208" s="8">
        <v>47</v>
      </c>
      <c r="V208">
        <v>4.7547753962618131</v>
      </c>
      <c r="W208">
        <f t="shared" si="59"/>
        <v>2.234744436243052</v>
      </c>
      <c r="X208" s="12">
        <f t="shared" si="60"/>
        <v>2.5200309600187611</v>
      </c>
    </row>
    <row r="209" spans="1:30" x14ac:dyDescent="0.25">
      <c r="A209">
        <v>3</v>
      </c>
      <c r="B209">
        <v>2</v>
      </c>
      <c r="C209">
        <v>5</v>
      </c>
      <c r="D209">
        <v>3</v>
      </c>
      <c r="E209" t="s">
        <v>30</v>
      </c>
      <c r="F209" s="13" t="s">
        <v>39</v>
      </c>
      <c r="G209">
        <v>5</v>
      </c>
      <c r="H209">
        <v>2238.15</v>
      </c>
      <c r="I209">
        <v>2224.36</v>
      </c>
      <c r="J209">
        <v>0.52800925925925923</v>
      </c>
      <c r="K209">
        <v>0.55902777777777779</v>
      </c>
      <c r="L209">
        <v>2640</v>
      </c>
      <c r="M209" s="8">
        <v>44</v>
      </c>
      <c r="N209">
        <v>13.789999999999964</v>
      </c>
      <c r="O209">
        <v>13789.999999999964</v>
      </c>
      <c r="P209" s="2">
        <v>0.94001363326515985</v>
      </c>
      <c r="Q209">
        <v>742.8</v>
      </c>
      <c r="R209">
        <v>7.4279999999999999E-2</v>
      </c>
      <c r="S209">
        <v>70.321551541260561</v>
      </c>
      <c r="T209">
        <v>32</v>
      </c>
      <c r="U209" s="8">
        <v>37</v>
      </c>
      <c r="V209">
        <v>4.7547753962618131</v>
      </c>
      <c r="W209">
        <f t="shared" si="59"/>
        <v>1.7592668966168707</v>
      </c>
      <c r="X209" s="12">
        <f t="shared" si="60"/>
        <v>2.9955084996449424</v>
      </c>
      <c r="Y209" s="23">
        <v>0.142262</v>
      </c>
      <c r="Z209" s="23">
        <v>0.109002</v>
      </c>
      <c r="AA209" s="23">
        <v>0.10628899999999999</v>
      </c>
      <c r="AB209">
        <v>27.48</v>
      </c>
      <c r="AC209">
        <v>27.73</v>
      </c>
      <c r="AD209">
        <v>27.28</v>
      </c>
    </row>
    <row r="210" spans="1:30" x14ac:dyDescent="0.25">
      <c r="A210">
        <v>3</v>
      </c>
      <c r="B210">
        <v>2</v>
      </c>
      <c r="C210">
        <v>5</v>
      </c>
      <c r="D210">
        <v>2</v>
      </c>
      <c r="E210" t="s">
        <v>24</v>
      </c>
      <c r="F210" s="13" t="s">
        <v>41</v>
      </c>
      <c r="G210">
        <v>5</v>
      </c>
      <c r="H210">
        <v>2786.59</v>
      </c>
      <c r="I210">
        <v>2773.51</v>
      </c>
      <c r="J210">
        <v>0.52800925925925923</v>
      </c>
      <c r="K210">
        <v>0.55902777777777779</v>
      </c>
      <c r="L210">
        <v>2640</v>
      </c>
      <c r="M210" s="8">
        <v>44</v>
      </c>
      <c r="N210">
        <v>13.079999999999927</v>
      </c>
      <c r="O210">
        <v>13079.999999999927</v>
      </c>
      <c r="P210" s="2">
        <v>0.84115755627008193</v>
      </c>
      <c r="Q210">
        <v>818.18</v>
      </c>
      <c r="R210">
        <v>8.1818000000000002E-2</v>
      </c>
      <c r="S210">
        <v>60.55569012375549</v>
      </c>
      <c r="T210">
        <v>32</v>
      </c>
      <c r="U210" s="8">
        <v>37</v>
      </c>
      <c r="V210">
        <v>4.7547753962618131</v>
      </c>
      <c r="W210">
        <f t="shared" si="59"/>
        <v>1.7592668966168707</v>
      </c>
      <c r="X210" s="12">
        <f t="shared" si="60"/>
        <v>2.9955084996449424</v>
      </c>
      <c r="Y210" s="23">
        <v>0.106654</v>
      </c>
      <c r="Z210" s="23">
        <v>9.9018999999999996E-2</v>
      </c>
      <c r="AA210" s="23">
        <v>0.11633499999999999</v>
      </c>
      <c r="AB210">
        <v>27.85</v>
      </c>
      <c r="AC210">
        <v>27.63</v>
      </c>
      <c r="AD210">
        <v>27.82</v>
      </c>
    </row>
    <row r="211" spans="1:30" x14ac:dyDescent="0.25">
      <c r="A211">
        <v>4</v>
      </c>
      <c r="B211">
        <v>1</v>
      </c>
      <c r="C211">
        <v>5</v>
      </c>
      <c r="D211">
        <v>5</v>
      </c>
      <c r="E211" t="s">
        <v>30</v>
      </c>
      <c r="F211" s="13" t="s">
        <v>39</v>
      </c>
      <c r="G211">
        <v>3</v>
      </c>
      <c r="H211">
        <v>2602.5300000000002</v>
      </c>
      <c r="I211">
        <v>2571.88</v>
      </c>
      <c r="J211" s="7">
        <v>0.44297453703703704</v>
      </c>
      <c r="K211" s="7">
        <v>0.47096064814814814</v>
      </c>
      <c r="L211" s="8">
        <f>M211*60</f>
        <v>2410.8000000000002</v>
      </c>
      <c r="M211" s="8">
        <v>40.18</v>
      </c>
      <c r="N211" s="8">
        <f>H211-I211</f>
        <v>30.650000000000091</v>
      </c>
      <c r="O211">
        <f>N211*1000</f>
        <v>30650.000000000091</v>
      </c>
      <c r="P211" s="2">
        <v>0.69281193490054094</v>
      </c>
      <c r="Q211">
        <v>2899.36</v>
      </c>
      <c r="R211">
        <f>+Q211/10000</f>
        <v>0.28993600000000003</v>
      </c>
      <c r="S211">
        <f>O211/(R211*L211)</f>
        <v>43.849753166835306</v>
      </c>
      <c r="T211">
        <v>32</v>
      </c>
      <c r="U211" s="8">
        <v>57</v>
      </c>
      <c r="V211">
        <f>0.6108*EXP((17.27*T211)/(T211+237.3))</f>
        <v>4.7547753962618131</v>
      </c>
      <c r="W211">
        <f t="shared" si="59"/>
        <v>2.7102219758692332</v>
      </c>
      <c r="X211" s="12">
        <f t="shared" si="60"/>
        <v>2.0445534203925799</v>
      </c>
      <c r="Y211" s="23">
        <v>0.61065599999999998</v>
      </c>
      <c r="Z211" s="23">
        <v>0.54127499999999995</v>
      </c>
      <c r="AA211" s="23">
        <v>0.28421200000000002</v>
      </c>
      <c r="AB211">
        <v>27.15</v>
      </c>
      <c r="AC211">
        <v>27.29</v>
      </c>
      <c r="AD211">
        <v>27.93</v>
      </c>
    </row>
    <row r="212" spans="1:30" x14ac:dyDescent="0.25">
      <c r="A212">
        <v>4</v>
      </c>
      <c r="B212">
        <v>1</v>
      </c>
      <c r="C212">
        <v>5</v>
      </c>
      <c r="D212">
        <v>2</v>
      </c>
      <c r="E212" t="s">
        <v>24</v>
      </c>
      <c r="F212" s="13" t="s">
        <v>41</v>
      </c>
      <c r="G212">
        <v>3</v>
      </c>
      <c r="H212">
        <v>2588.2800000000002</v>
      </c>
      <c r="I212">
        <v>2568.33</v>
      </c>
      <c r="J212" s="7">
        <v>0.44297453703703704</v>
      </c>
      <c r="K212" s="7">
        <v>0.47096064814814814</v>
      </c>
      <c r="L212" s="8">
        <f>M212*60</f>
        <v>2410.8000000000002</v>
      </c>
      <c r="M212" s="8">
        <v>40.18</v>
      </c>
      <c r="N212" s="8">
        <f>H212-I212</f>
        <v>19.950000000000273</v>
      </c>
      <c r="O212">
        <f>N212*1000</f>
        <v>19950.000000000273</v>
      </c>
      <c r="P212" s="2">
        <v>0.74357062989192424</v>
      </c>
      <c r="Q212">
        <v>1459.08</v>
      </c>
      <c r="R212">
        <f>+Q212/10000</f>
        <v>0.14590799999999998</v>
      </c>
      <c r="S212">
        <f>O212/(R212*L212)</f>
        <v>56.715610686473163</v>
      </c>
      <c r="T212">
        <v>32</v>
      </c>
      <c r="U212" s="8">
        <v>57</v>
      </c>
      <c r="V212">
        <f>0.6108*EXP((17.27*T212)/(T212+237.3))</f>
        <v>4.7547753962618131</v>
      </c>
      <c r="W212">
        <f t="shared" si="59"/>
        <v>2.7102219758692332</v>
      </c>
      <c r="X212" s="12">
        <f t="shared" si="60"/>
        <v>2.0445534203925799</v>
      </c>
      <c r="Y212" s="23">
        <v>0.293043</v>
      </c>
      <c r="Z212" s="23">
        <v>0.54157200000000005</v>
      </c>
      <c r="AA212" s="23">
        <v>0.32480799999999999</v>
      </c>
      <c r="AB212">
        <v>28.07</v>
      </c>
      <c r="AC212">
        <v>27.89</v>
      </c>
      <c r="AD212">
        <v>28.27</v>
      </c>
    </row>
    <row r="213" spans="1:30" x14ac:dyDescent="0.25">
      <c r="A213">
        <v>2</v>
      </c>
      <c r="B213">
        <v>2</v>
      </c>
      <c r="C213">
        <v>4</v>
      </c>
      <c r="D213">
        <v>2</v>
      </c>
      <c r="E213" t="s">
        <v>35</v>
      </c>
      <c r="F213" t="s">
        <v>38</v>
      </c>
      <c r="G213">
        <v>2</v>
      </c>
      <c r="H213">
        <v>3203.21</v>
      </c>
      <c r="I213">
        <v>3189.94</v>
      </c>
      <c r="J213" s="7">
        <v>0.42677083333333332</v>
      </c>
      <c r="K213" s="7">
        <v>0.45771990740740742</v>
      </c>
      <c r="L213">
        <f>+M213*60</f>
        <v>2640</v>
      </c>
      <c r="M213">
        <v>44</v>
      </c>
      <c r="N213">
        <f>+H213-I213</f>
        <v>13.269999999999982</v>
      </c>
      <c r="O213">
        <f>+N213*1000</f>
        <v>13269.999999999982</v>
      </c>
      <c r="P213" s="2">
        <v>0.68121149897330435</v>
      </c>
      <c r="Q213">
        <v>705.5</v>
      </c>
      <c r="R213">
        <v>7.0550000000000002E-2</v>
      </c>
      <c r="S213">
        <v>71.247557073212533</v>
      </c>
      <c r="T213">
        <v>32</v>
      </c>
      <c r="U213" s="8">
        <v>64.888888888888886</v>
      </c>
      <c r="V213">
        <v>4.7547753962618131</v>
      </c>
      <c r="W213">
        <v>3.0853209237965542</v>
      </c>
      <c r="X213" s="12">
        <v>1.6694544724652589</v>
      </c>
      <c r="Y213" s="23"/>
      <c r="Z213" s="23"/>
      <c r="AA213" s="23"/>
    </row>
    <row r="214" spans="1:30" x14ac:dyDescent="0.25">
      <c r="A214">
        <v>4</v>
      </c>
      <c r="B214">
        <v>1</v>
      </c>
      <c r="C214">
        <v>4</v>
      </c>
      <c r="D214">
        <v>2</v>
      </c>
      <c r="E214" t="s">
        <v>33</v>
      </c>
      <c r="F214" t="s">
        <v>38</v>
      </c>
      <c r="G214">
        <v>4</v>
      </c>
      <c r="H214">
        <v>2663.5</v>
      </c>
      <c r="I214">
        <v>2630.01</v>
      </c>
      <c r="J214" s="11">
        <v>0.48981481481481481</v>
      </c>
      <c r="K214" s="7">
        <v>0.51927083333333335</v>
      </c>
      <c r="L214">
        <f t="shared" ref="L214:L230" si="61">M214*60</f>
        <v>2535</v>
      </c>
      <c r="M214" s="8">
        <v>42.25</v>
      </c>
      <c r="N214" s="8">
        <f t="shared" ref="N214:N230" si="62">H214-I214</f>
        <v>33.489999999999782</v>
      </c>
      <c r="O214">
        <f t="shared" ref="O214:O230" si="63">N214*1000</f>
        <v>33489.999999999782</v>
      </c>
      <c r="P214" s="2">
        <v>0.84378936759888468</v>
      </c>
      <c r="Q214">
        <v>2691.97</v>
      </c>
      <c r="R214">
        <f>+Q214/10000</f>
        <v>0.26919699999999996</v>
      </c>
      <c r="S214">
        <f>O214/(R214*L214)</f>
        <v>49.075752571133535</v>
      </c>
      <c r="T214">
        <v>32</v>
      </c>
      <c r="U214" s="8">
        <v>47</v>
      </c>
      <c r="V214">
        <f>0.6108*EXP((17.27*T214)/(T214+237.3))</f>
        <v>4.7547753962618131</v>
      </c>
      <c r="W214">
        <f>V214*(U214/100)</f>
        <v>2.234744436243052</v>
      </c>
      <c r="X214" s="12">
        <f>V214-W214</f>
        <v>2.5200309600187611</v>
      </c>
      <c r="Y214" s="23"/>
      <c r="Z214" s="23"/>
      <c r="AA214" s="23"/>
    </row>
    <row r="215" spans="1:30" x14ac:dyDescent="0.25">
      <c r="A215">
        <v>4</v>
      </c>
      <c r="B215">
        <v>1</v>
      </c>
      <c r="C215">
        <v>4</v>
      </c>
      <c r="D215">
        <v>4</v>
      </c>
      <c r="E215" t="s">
        <v>23</v>
      </c>
      <c r="F215" s="13" t="s">
        <v>39</v>
      </c>
      <c r="G215">
        <v>4</v>
      </c>
      <c r="H215">
        <v>2379.6799999999998</v>
      </c>
      <c r="I215">
        <v>2335.67</v>
      </c>
      <c r="J215" s="11">
        <v>0.48981481481481481</v>
      </c>
      <c r="K215" s="7">
        <v>0.51927083333333335</v>
      </c>
      <c r="L215">
        <f t="shared" si="61"/>
        <v>2535</v>
      </c>
      <c r="M215" s="8">
        <v>42.25</v>
      </c>
      <c r="N215" s="8">
        <f t="shared" si="62"/>
        <v>44.009999999999764</v>
      </c>
      <c r="O215">
        <f t="shared" si="63"/>
        <v>44009.999999999767</v>
      </c>
      <c r="U215" s="8"/>
      <c r="X215" s="12"/>
      <c r="Y215" s="23"/>
      <c r="Z215" s="23"/>
      <c r="AA215" s="23"/>
    </row>
    <row r="216" spans="1:30" x14ac:dyDescent="0.25">
      <c r="A216">
        <v>4</v>
      </c>
      <c r="B216">
        <v>2</v>
      </c>
      <c r="C216">
        <v>5</v>
      </c>
      <c r="D216">
        <v>5</v>
      </c>
      <c r="E216" t="s">
        <v>30</v>
      </c>
      <c r="F216" s="13" t="s">
        <v>39</v>
      </c>
      <c r="G216">
        <v>2</v>
      </c>
      <c r="H216">
        <v>2530.6</v>
      </c>
      <c r="I216">
        <v>2491.96</v>
      </c>
      <c r="J216" s="11">
        <v>0.43112268518518521</v>
      </c>
      <c r="K216" s="11">
        <v>0.45833333333333331</v>
      </c>
      <c r="L216">
        <f t="shared" si="61"/>
        <v>2340</v>
      </c>
      <c r="M216" s="8">
        <v>39</v>
      </c>
      <c r="N216" s="8">
        <f t="shared" si="62"/>
        <v>38.639999999999873</v>
      </c>
      <c r="O216">
        <f t="shared" si="63"/>
        <v>38639.999999999869</v>
      </c>
      <c r="P216" s="2">
        <v>0.6925972396486807</v>
      </c>
      <c r="Q216">
        <v>2899.36</v>
      </c>
      <c r="R216">
        <f>+Q216/10000</f>
        <v>0.28993600000000003</v>
      </c>
      <c r="S216">
        <f>O216/(R216*L216)</f>
        <v>56.953329399662188</v>
      </c>
      <c r="T216">
        <v>32</v>
      </c>
      <c r="U216" s="8">
        <v>64</v>
      </c>
      <c r="V216">
        <f>0.6108*EXP((17.27*T216)/(T216+237.3))</f>
        <v>4.7547753962618131</v>
      </c>
      <c r="W216">
        <f>V216*(U216/100)</f>
        <v>3.0430562536075603</v>
      </c>
      <c r="X216" s="12">
        <f>V216-W216</f>
        <v>1.7117191426542528</v>
      </c>
      <c r="Y216" s="22">
        <v>0.37109399999999998</v>
      </c>
      <c r="Z216" s="22">
        <v>0.48426200000000003</v>
      </c>
      <c r="AA216" s="22">
        <v>0.99695800000000001</v>
      </c>
      <c r="AB216">
        <v>29.16</v>
      </c>
      <c r="AC216">
        <v>28.84</v>
      </c>
      <c r="AD216">
        <v>28.46</v>
      </c>
    </row>
    <row r="217" spans="1:30" x14ac:dyDescent="0.25">
      <c r="A217">
        <v>4</v>
      </c>
      <c r="B217">
        <v>2</v>
      </c>
      <c r="C217">
        <v>5</v>
      </c>
      <c r="D217">
        <v>2</v>
      </c>
      <c r="E217" t="s">
        <v>24</v>
      </c>
      <c r="F217" s="13" t="s">
        <v>41</v>
      </c>
      <c r="G217">
        <v>2</v>
      </c>
      <c r="H217">
        <v>2560.94</v>
      </c>
      <c r="I217">
        <v>2540.5500000000002</v>
      </c>
      <c r="J217" s="11">
        <v>0.43112268518518521</v>
      </c>
      <c r="K217" s="11">
        <v>0.45833333333333331</v>
      </c>
      <c r="L217">
        <f t="shared" si="61"/>
        <v>2340</v>
      </c>
      <c r="M217" s="8">
        <v>39</v>
      </c>
      <c r="N217" s="8">
        <f t="shared" si="62"/>
        <v>20.389999999999873</v>
      </c>
      <c r="O217">
        <f t="shared" si="63"/>
        <v>20389.999999999873</v>
      </c>
      <c r="P217" s="2">
        <v>0.67050312397237655</v>
      </c>
      <c r="Q217">
        <v>1459.08</v>
      </c>
      <c r="R217">
        <f>+Q217/10000</f>
        <v>0.14590799999999998</v>
      </c>
      <c r="S217">
        <f>O217/(R217*L217)</f>
        <v>59.720338937379445</v>
      </c>
      <c r="T217">
        <v>32</v>
      </c>
      <c r="U217" s="8">
        <v>64</v>
      </c>
      <c r="V217">
        <f>0.6108*EXP((17.27*T217)/(T217+237.3))</f>
        <v>4.7547753962618131</v>
      </c>
      <c r="W217">
        <f>V217*(U217/100)</f>
        <v>3.0430562536075603</v>
      </c>
      <c r="X217" s="12">
        <f>V217-W217</f>
        <v>1.7117191426542528</v>
      </c>
      <c r="Y217" s="22">
        <v>0.65063700000000002</v>
      </c>
      <c r="Z217" s="22">
        <v>0.70848900000000004</v>
      </c>
      <c r="AA217" s="22">
        <v>0.63575400000000004</v>
      </c>
      <c r="AB217">
        <v>28.55</v>
      </c>
      <c r="AC217">
        <v>28.68</v>
      </c>
      <c r="AD217">
        <v>28.84</v>
      </c>
    </row>
    <row r="218" spans="1:30" x14ac:dyDescent="0.25">
      <c r="A218">
        <v>1</v>
      </c>
      <c r="B218" s="1">
        <v>2</v>
      </c>
      <c r="C218">
        <v>5</v>
      </c>
      <c r="D218">
        <v>4</v>
      </c>
      <c r="E218" t="s">
        <v>35</v>
      </c>
      <c r="F218" t="s">
        <v>38</v>
      </c>
      <c r="G218" s="1">
        <v>3</v>
      </c>
      <c r="H218">
        <v>2555.15</v>
      </c>
      <c r="I218">
        <v>2542.86</v>
      </c>
      <c r="J218" s="7">
        <v>0.47769675925925925</v>
      </c>
      <c r="K218" s="7">
        <v>0.5084143518518518</v>
      </c>
      <c r="L218" s="1">
        <f t="shared" si="61"/>
        <v>2648.4</v>
      </c>
      <c r="M218" s="4">
        <v>44.14</v>
      </c>
      <c r="N218" s="4">
        <f t="shared" si="62"/>
        <v>12.289999999999964</v>
      </c>
      <c r="O218" s="4">
        <f t="shared" si="63"/>
        <v>12289.999999999964</v>
      </c>
      <c r="P218" s="4">
        <v>0.83152909336940439</v>
      </c>
      <c r="Q218">
        <v>759</v>
      </c>
      <c r="R218" s="1">
        <f>+Q218/10000</f>
        <v>7.5899999999999995E-2</v>
      </c>
      <c r="S218" s="5">
        <f>O218/(R218*L218)</f>
        <v>61.14015392792389</v>
      </c>
      <c r="T218" s="4">
        <v>32</v>
      </c>
      <c r="U218" s="8">
        <f>+AVERAGE([1]humidity!$B$23480:$B$23571)</f>
        <v>55.608695652173914</v>
      </c>
      <c r="V218">
        <f>0.6108*EXP((17.27*T218)/(T218+237.3))</f>
        <v>4.7547753962618131</v>
      </c>
      <c r="W218">
        <f>V218*(U218/100)</f>
        <v>2.6440685790516776</v>
      </c>
      <c r="X218" s="6">
        <f>V218-W218</f>
        <v>2.1107068172101355</v>
      </c>
      <c r="Y218" s="22">
        <v>2.6526000000000001E-2</v>
      </c>
      <c r="Z218" s="22">
        <v>2.1912000000000001E-2</v>
      </c>
      <c r="AA218" s="22">
        <v>1.8019E-2</v>
      </c>
      <c r="AB218">
        <v>28.37</v>
      </c>
      <c r="AC218">
        <v>28.65</v>
      </c>
      <c r="AD218">
        <v>28.84</v>
      </c>
    </row>
    <row r="219" spans="1:30" x14ac:dyDescent="0.25">
      <c r="A219">
        <v>4</v>
      </c>
      <c r="B219">
        <v>2</v>
      </c>
      <c r="C219">
        <v>4</v>
      </c>
      <c r="D219">
        <v>2</v>
      </c>
      <c r="E219" t="s">
        <v>33</v>
      </c>
      <c r="F219" t="s">
        <v>38</v>
      </c>
      <c r="G219">
        <v>3</v>
      </c>
      <c r="H219">
        <v>2552.59</v>
      </c>
      <c r="I219">
        <v>2516.02</v>
      </c>
      <c r="J219" s="7">
        <v>0.47835648148148147</v>
      </c>
      <c r="K219" s="7">
        <v>0.50635416666666666</v>
      </c>
      <c r="L219">
        <f t="shared" si="61"/>
        <v>2400</v>
      </c>
      <c r="M219" s="8">
        <v>40</v>
      </c>
      <c r="N219" s="8">
        <f t="shared" si="62"/>
        <v>36.570000000000164</v>
      </c>
      <c r="O219">
        <f t="shared" si="63"/>
        <v>36570.00000000016</v>
      </c>
      <c r="P219" s="2">
        <v>0.81593038821954555</v>
      </c>
      <c r="Q219">
        <v>2691.97</v>
      </c>
      <c r="R219">
        <f>+Q219/10000</f>
        <v>0.26919699999999996</v>
      </c>
      <c r="S219">
        <f>O219/(R219*L219)</f>
        <v>56.603528271117689</v>
      </c>
      <c r="T219">
        <v>32</v>
      </c>
      <c r="U219" s="8">
        <v>57</v>
      </c>
      <c r="V219">
        <f>0.6108*EXP((17.27*T219)/(T219+237.3))</f>
        <v>4.7547753962618131</v>
      </c>
      <c r="W219">
        <f>V219*(U219/100)</f>
        <v>2.7102219758692332</v>
      </c>
      <c r="X219" s="12">
        <f>V219-W219</f>
        <v>2.0445534203925799</v>
      </c>
      <c r="Y219" s="22">
        <v>6.8851999999999997E-2</v>
      </c>
      <c r="Z219" s="22">
        <v>6.4027000000000001E-2</v>
      </c>
      <c r="AA219" s="22">
        <v>6.2184000000000003E-2</v>
      </c>
      <c r="AB219">
        <v>28.92</v>
      </c>
      <c r="AC219">
        <v>28.98</v>
      </c>
      <c r="AD219">
        <v>29.33</v>
      </c>
    </row>
    <row r="220" spans="1:30" x14ac:dyDescent="0.25">
      <c r="A220">
        <v>4</v>
      </c>
      <c r="B220">
        <v>2</v>
      </c>
      <c r="C220">
        <v>4</v>
      </c>
      <c r="D220">
        <v>4</v>
      </c>
      <c r="E220" t="s">
        <v>23</v>
      </c>
      <c r="F220" s="13" t="s">
        <v>39</v>
      </c>
      <c r="G220">
        <v>3</v>
      </c>
      <c r="H220">
        <v>2359.4699999999998</v>
      </c>
      <c r="I220">
        <v>2311.1799999999998</v>
      </c>
      <c r="J220" s="7">
        <v>0.47835648148148147</v>
      </c>
      <c r="K220" s="7">
        <v>0.50635416666666666</v>
      </c>
      <c r="L220">
        <f t="shared" si="61"/>
        <v>2400</v>
      </c>
      <c r="M220" s="8">
        <v>40</v>
      </c>
      <c r="N220" s="8">
        <f t="shared" si="62"/>
        <v>48.289999999999964</v>
      </c>
      <c r="O220">
        <f t="shared" si="63"/>
        <v>48289.999999999964</v>
      </c>
      <c r="U220" s="8"/>
      <c r="X220" s="12"/>
      <c r="Y220" s="22">
        <v>1.2225E-2</v>
      </c>
      <c r="Z220" s="22">
        <v>4.8989999999999997E-3</v>
      </c>
      <c r="AA220" s="24">
        <v>-6.4099999999999999E-3</v>
      </c>
      <c r="AB220">
        <v>30.04</v>
      </c>
      <c r="AC220">
        <v>30.17</v>
      </c>
      <c r="AD220">
        <v>30.12</v>
      </c>
    </row>
    <row r="221" spans="1:30" x14ac:dyDescent="0.25">
      <c r="A221">
        <v>1</v>
      </c>
      <c r="B221" s="1">
        <v>1</v>
      </c>
      <c r="C221" s="1">
        <v>1</v>
      </c>
      <c r="D221" s="1">
        <v>4</v>
      </c>
      <c r="E221" s="1" t="s">
        <v>25</v>
      </c>
      <c r="F221" s="13" t="s">
        <v>41</v>
      </c>
      <c r="G221" s="1">
        <v>2</v>
      </c>
      <c r="H221" s="2">
        <v>2296.7228571428573</v>
      </c>
      <c r="I221" s="2">
        <v>2285.12</v>
      </c>
      <c r="J221" s="3">
        <v>0.35893518518518519</v>
      </c>
      <c r="K221" s="3">
        <v>0.38979166666666665</v>
      </c>
      <c r="L221" s="1">
        <f t="shared" si="61"/>
        <v>2655.6</v>
      </c>
      <c r="M221" s="1">
        <v>44.26</v>
      </c>
      <c r="N221" s="4">
        <f t="shared" si="62"/>
        <v>11.602857142857374</v>
      </c>
      <c r="O221" s="4">
        <f t="shared" si="63"/>
        <v>11602.857142857374</v>
      </c>
      <c r="P221" s="4">
        <v>0.64639872662157094</v>
      </c>
      <c r="Q221">
        <v>944</v>
      </c>
      <c r="R221" s="1">
        <f t="shared" ref="R221:R230" si="64">Q221/10000</f>
        <v>9.4399999999999998E-2</v>
      </c>
      <c r="S221" s="5">
        <f t="shared" ref="S221:S230" si="65">O221/(R221*L221)</f>
        <v>46.283936690778546</v>
      </c>
      <c r="T221" s="4">
        <v>32</v>
      </c>
      <c r="U221">
        <v>71</v>
      </c>
      <c r="V221">
        <f t="shared" ref="V221:V230" si="66">0.6108*EXP((17.27*T221)/(T221+237.3))</f>
        <v>4.7547753962618131</v>
      </c>
      <c r="W221">
        <f t="shared" ref="W221:W230" si="67">V221*(U221/100)</f>
        <v>3.3758905313458873</v>
      </c>
      <c r="X221" s="6">
        <f t="shared" ref="X221:X230" si="68">V221-W221</f>
        <v>1.3788848649159258</v>
      </c>
    </row>
    <row r="222" spans="1:30" x14ac:dyDescent="0.25">
      <c r="A222">
        <v>1</v>
      </c>
      <c r="B222" s="1">
        <v>1</v>
      </c>
      <c r="C222" s="1">
        <v>1</v>
      </c>
      <c r="D222" s="1">
        <v>4</v>
      </c>
      <c r="E222" s="1" t="s">
        <v>25</v>
      </c>
      <c r="F222" s="13" t="s">
        <v>41</v>
      </c>
      <c r="G222" s="1">
        <v>3</v>
      </c>
      <c r="H222">
        <v>2273.31</v>
      </c>
      <c r="I222">
        <v>2258.85</v>
      </c>
      <c r="J222" s="7">
        <v>0.41251157407407407</v>
      </c>
      <c r="K222" s="7">
        <v>0.44452546296296297</v>
      </c>
      <c r="L222" s="1">
        <f t="shared" si="61"/>
        <v>2643.6000000000004</v>
      </c>
      <c r="M222" s="4">
        <v>44.06</v>
      </c>
      <c r="N222" s="4">
        <f t="shared" si="62"/>
        <v>14.460000000000036</v>
      </c>
      <c r="O222" s="4">
        <f t="shared" si="63"/>
        <v>14460.000000000036</v>
      </c>
      <c r="P222" s="4">
        <v>0.80557103064065827</v>
      </c>
      <c r="Q222">
        <v>944</v>
      </c>
      <c r="R222" s="1">
        <f t="shared" si="64"/>
        <v>9.4399999999999998E-2</v>
      </c>
      <c r="S222" s="5">
        <f t="shared" si="65"/>
        <v>57.942943751586959</v>
      </c>
      <c r="T222" s="4">
        <v>32</v>
      </c>
      <c r="U222" s="8">
        <f>+AVERAGE([1]humidity!$B$20430:$B$20523)</f>
        <v>58.276595744680854</v>
      </c>
      <c r="V222">
        <f t="shared" si="66"/>
        <v>4.7547753962618131</v>
      </c>
      <c r="W222">
        <f t="shared" si="67"/>
        <v>2.7709212362470441</v>
      </c>
      <c r="X222" s="6">
        <f t="shared" si="68"/>
        <v>1.983854160014769</v>
      </c>
    </row>
    <row r="223" spans="1:30" x14ac:dyDescent="0.25">
      <c r="A223">
        <v>1</v>
      </c>
      <c r="B223" s="1">
        <v>1</v>
      </c>
      <c r="C223" s="1">
        <v>1</v>
      </c>
      <c r="D223" s="1">
        <v>4</v>
      </c>
      <c r="E223" s="1" t="s">
        <v>25</v>
      </c>
      <c r="F223" s="13" t="s">
        <v>41</v>
      </c>
      <c r="G223" s="1">
        <v>4</v>
      </c>
      <c r="H223">
        <v>2248.2199999999998</v>
      </c>
      <c r="I223">
        <v>2232.83</v>
      </c>
      <c r="J223" s="7">
        <v>0.46377314814814813</v>
      </c>
      <c r="K223" s="7">
        <v>0.49486111111111108</v>
      </c>
      <c r="L223" s="1">
        <f t="shared" si="61"/>
        <v>2667.6</v>
      </c>
      <c r="M223" s="4">
        <v>44.46</v>
      </c>
      <c r="N223" s="4">
        <f t="shared" si="62"/>
        <v>15.389999999999873</v>
      </c>
      <c r="O223" s="4">
        <f t="shared" si="63"/>
        <v>15389.999999999873</v>
      </c>
      <c r="P223" s="4">
        <v>0.85738161559886572</v>
      </c>
      <c r="Q223">
        <v>944</v>
      </c>
      <c r="R223" s="1">
        <f t="shared" si="64"/>
        <v>9.4399999999999998E-2</v>
      </c>
      <c r="S223" s="5">
        <f t="shared" si="65"/>
        <v>61.114732724901714</v>
      </c>
      <c r="T223" s="4">
        <v>32</v>
      </c>
      <c r="U223" s="8">
        <f>+AVERAGE([1]humidity!$B$20576:$B$20667)</f>
        <v>47.380434782608695</v>
      </c>
      <c r="V223">
        <f t="shared" si="66"/>
        <v>4.7547753962618131</v>
      </c>
      <c r="W223">
        <f t="shared" si="67"/>
        <v>2.2528332556853523</v>
      </c>
      <c r="X223" s="6">
        <f t="shared" si="68"/>
        <v>2.5019421405764608</v>
      </c>
    </row>
    <row r="224" spans="1:30" x14ac:dyDescent="0.25">
      <c r="A224">
        <v>1</v>
      </c>
      <c r="B224" s="1">
        <v>1</v>
      </c>
      <c r="C224" s="1">
        <v>1</v>
      </c>
      <c r="D224" s="1">
        <v>4</v>
      </c>
      <c r="E224" s="1" t="s">
        <v>25</v>
      </c>
      <c r="F224" s="13" t="s">
        <v>41</v>
      </c>
      <c r="G224" s="1">
        <v>5</v>
      </c>
      <c r="H224">
        <v>2220.27</v>
      </c>
      <c r="I224">
        <v>2203.29</v>
      </c>
      <c r="J224" s="7">
        <v>0.51785879629629628</v>
      </c>
      <c r="K224" s="7">
        <v>0.54924768518518519</v>
      </c>
      <c r="L224" s="1">
        <f t="shared" si="61"/>
        <v>2707.2</v>
      </c>
      <c r="M224" s="4">
        <v>45.12</v>
      </c>
      <c r="N224" s="4">
        <f t="shared" si="62"/>
        <v>16.980000000000018</v>
      </c>
      <c r="O224" s="4">
        <f t="shared" si="63"/>
        <v>16980.000000000018</v>
      </c>
      <c r="P224" s="4">
        <v>0.94596100278550199</v>
      </c>
      <c r="Q224">
        <v>944</v>
      </c>
      <c r="R224" s="1">
        <f t="shared" si="64"/>
        <v>9.4399999999999998E-2</v>
      </c>
      <c r="S224" s="5">
        <f t="shared" si="65"/>
        <v>66.442405938213795</v>
      </c>
      <c r="T224" s="4">
        <v>32</v>
      </c>
      <c r="U224" s="8">
        <f>+AVERAGE([1]humidity!$B$20731:$B$20822)</f>
        <v>37.228260869565219</v>
      </c>
      <c r="V224">
        <f t="shared" si="66"/>
        <v>4.7547753962618131</v>
      </c>
      <c r="W224">
        <f t="shared" si="67"/>
        <v>1.770120188282251</v>
      </c>
      <c r="X224" s="6">
        <f t="shared" si="68"/>
        <v>2.9846552079795621</v>
      </c>
    </row>
    <row r="225" spans="1:24" x14ac:dyDescent="0.25">
      <c r="A225">
        <v>1</v>
      </c>
      <c r="B225" s="1">
        <v>1</v>
      </c>
      <c r="C225" s="1">
        <v>1</v>
      </c>
      <c r="D225" s="1">
        <v>4</v>
      </c>
      <c r="E225" s="1" t="s">
        <v>25</v>
      </c>
      <c r="F225" s="13" t="s">
        <v>41</v>
      </c>
      <c r="G225" s="1">
        <v>6</v>
      </c>
      <c r="H225">
        <v>2187.7800000000002</v>
      </c>
      <c r="I225">
        <v>2169.83</v>
      </c>
      <c r="J225" s="7">
        <v>0.57593749999999999</v>
      </c>
      <c r="K225" s="7">
        <v>0.60682870370370368</v>
      </c>
      <c r="L225" s="1">
        <f t="shared" si="61"/>
        <v>2657.4</v>
      </c>
      <c r="M225" s="1">
        <v>44.29</v>
      </c>
      <c r="N225" s="4">
        <f t="shared" si="62"/>
        <v>17.950000000000273</v>
      </c>
      <c r="O225" s="4">
        <f t="shared" si="63"/>
        <v>17950.000000000273</v>
      </c>
      <c r="P225" s="4">
        <v>1</v>
      </c>
      <c r="Q225">
        <v>944</v>
      </c>
      <c r="R225" s="1">
        <f t="shared" si="64"/>
        <v>9.4399999999999998E-2</v>
      </c>
      <c r="S225" s="5">
        <f t="shared" si="65"/>
        <v>71.554265479321387</v>
      </c>
      <c r="T225" s="4">
        <v>32</v>
      </c>
      <c r="U225" s="8">
        <f>+AVERAGE([1]humidity!$B$20898:$B$20986)</f>
        <v>19.865168539325843</v>
      </c>
      <c r="V225">
        <f t="shared" si="66"/>
        <v>4.7547753962618131</v>
      </c>
      <c r="W225">
        <f t="shared" si="67"/>
        <v>0.94454414613380733</v>
      </c>
      <c r="X225" s="6">
        <f t="shared" si="68"/>
        <v>3.8102312501280058</v>
      </c>
    </row>
    <row r="226" spans="1:24" x14ac:dyDescent="0.25">
      <c r="A226">
        <v>1</v>
      </c>
      <c r="B226" s="1">
        <v>2</v>
      </c>
      <c r="C226">
        <v>1</v>
      </c>
      <c r="D226">
        <v>4</v>
      </c>
      <c r="E226" t="s">
        <v>25</v>
      </c>
      <c r="F226" s="13" t="s">
        <v>41</v>
      </c>
      <c r="G226" s="1">
        <v>2</v>
      </c>
      <c r="H226">
        <v>2398.13</v>
      </c>
      <c r="I226">
        <v>2385.37</v>
      </c>
      <c r="J226" s="7">
        <v>0.41741898148148149</v>
      </c>
      <c r="K226" s="7">
        <v>0.44797453703703705</v>
      </c>
      <c r="L226" s="1">
        <f t="shared" si="61"/>
        <v>2640</v>
      </c>
      <c r="M226" s="4">
        <v>44</v>
      </c>
      <c r="N226" s="4">
        <f t="shared" si="62"/>
        <v>12.760000000000218</v>
      </c>
      <c r="O226" s="4">
        <f t="shared" si="63"/>
        <v>12760.000000000218</v>
      </c>
      <c r="P226" s="4">
        <v>0.56410256410257642</v>
      </c>
      <c r="Q226">
        <v>944</v>
      </c>
      <c r="R226" s="1">
        <f t="shared" si="64"/>
        <v>9.4399999999999998E-2</v>
      </c>
      <c r="S226" s="5">
        <f t="shared" si="65"/>
        <v>51.200564971752286</v>
      </c>
      <c r="T226" s="4">
        <v>32</v>
      </c>
      <c r="U226" s="8">
        <f>+AVERAGE([1]humidity!$B$23313:$B$23401)</f>
        <v>71.887640449438209</v>
      </c>
      <c r="V226">
        <f t="shared" si="66"/>
        <v>4.7547753962618131</v>
      </c>
      <c r="W226">
        <f t="shared" si="67"/>
        <v>3.4180958410430429</v>
      </c>
      <c r="X226" s="6">
        <f t="shared" si="68"/>
        <v>1.3366795552187702</v>
      </c>
    </row>
    <row r="227" spans="1:24" x14ac:dyDescent="0.25">
      <c r="A227">
        <v>1</v>
      </c>
      <c r="B227" s="1">
        <v>2</v>
      </c>
      <c r="C227">
        <v>1</v>
      </c>
      <c r="D227">
        <v>4</v>
      </c>
      <c r="E227" t="s">
        <v>25</v>
      </c>
      <c r="F227" s="13" t="s">
        <v>41</v>
      </c>
      <c r="G227" s="1">
        <v>3</v>
      </c>
      <c r="H227">
        <v>2371.44</v>
      </c>
      <c r="I227">
        <v>2356.3000000000002</v>
      </c>
      <c r="J227" s="7">
        <v>0.47769675925925925</v>
      </c>
      <c r="K227" s="7">
        <v>0.5084143518518518</v>
      </c>
      <c r="L227" s="1">
        <f t="shared" si="61"/>
        <v>2648.4</v>
      </c>
      <c r="M227" s="4">
        <v>44.14</v>
      </c>
      <c r="N227" s="4">
        <f t="shared" si="62"/>
        <v>15.139999999999873</v>
      </c>
      <c r="O227" s="4">
        <f t="shared" si="63"/>
        <v>15139.999999999873</v>
      </c>
      <c r="P227" s="4">
        <v>0.66931918656056344</v>
      </c>
      <c r="Q227">
        <v>944</v>
      </c>
      <c r="R227" s="1">
        <f t="shared" si="64"/>
        <v>9.4399999999999998E-2</v>
      </c>
      <c r="S227" s="5">
        <f t="shared" si="65"/>
        <v>60.55782960738636</v>
      </c>
      <c r="T227" s="4">
        <v>32</v>
      </c>
      <c r="U227" s="8">
        <f>+AVERAGE([1]humidity!$B$23480:$B$23571)</f>
        <v>55.608695652173914</v>
      </c>
      <c r="V227">
        <f t="shared" si="66"/>
        <v>4.7547753962618131</v>
      </c>
      <c r="W227">
        <f t="shared" si="67"/>
        <v>2.6440685790516776</v>
      </c>
      <c r="X227" s="6">
        <f t="shared" si="68"/>
        <v>2.1107068172101355</v>
      </c>
    </row>
    <row r="228" spans="1:24" x14ac:dyDescent="0.25">
      <c r="A228">
        <v>1</v>
      </c>
      <c r="B228" s="1">
        <v>2</v>
      </c>
      <c r="C228">
        <v>1</v>
      </c>
      <c r="D228">
        <v>4</v>
      </c>
      <c r="E228" t="s">
        <v>25</v>
      </c>
      <c r="F228" s="13" t="s">
        <v>41</v>
      </c>
      <c r="G228" s="1">
        <v>4</v>
      </c>
      <c r="H228">
        <v>2343.9499999999998</v>
      </c>
      <c r="I228">
        <v>2326.94</v>
      </c>
      <c r="J228" s="7">
        <v>0.53045138888888888</v>
      </c>
      <c r="K228" s="7">
        <v>0.56327546296296294</v>
      </c>
      <c r="L228" s="1">
        <f t="shared" si="61"/>
        <v>2829.6</v>
      </c>
      <c r="M228" s="4">
        <v>47.16</v>
      </c>
      <c r="N228" s="4">
        <f t="shared" si="62"/>
        <v>17.009999999999764</v>
      </c>
      <c r="O228" s="4">
        <f t="shared" si="63"/>
        <v>17009.999999999764</v>
      </c>
      <c r="P228" s="4">
        <v>0.75198938992041753</v>
      </c>
      <c r="Q228">
        <v>944</v>
      </c>
      <c r="R228" s="1">
        <f t="shared" si="64"/>
        <v>9.4399999999999998E-2</v>
      </c>
      <c r="S228" s="5">
        <f t="shared" si="65"/>
        <v>63.68061844999265</v>
      </c>
      <c r="T228" s="4">
        <v>32</v>
      </c>
      <c r="U228" s="8">
        <f>+AVERAGE([1]humidity!$B$23635:$B$23728)</f>
        <v>48.244680851063826</v>
      </c>
      <c r="V228">
        <f t="shared" si="66"/>
        <v>4.7547753962618131</v>
      </c>
      <c r="W228">
        <f t="shared" si="67"/>
        <v>2.293926215111417</v>
      </c>
      <c r="X228" s="6">
        <f t="shared" si="68"/>
        <v>2.4608491811503961</v>
      </c>
    </row>
    <row r="229" spans="1:24" x14ac:dyDescent="0.25">
      <c r="A229">
        <v>1</v>
      </c>
      <c r="B229" s="1">
        <v>2</v>
      </c>
      <c r="C229">
        <v>1</v>
      </c>
      <c r="D229">
        <v>4</v>
      </c>
      <c r="E229" t="s">
        <v>25</v>
      </c>
      <c r="F229" s="13" t="s">
        <v>41</v>
      </c>
      <c r="G229" s="1">
        <v>5</v>
      </c>
      <c r="H229">
        <v>2311.33</v>
      </c>
      <c r="I229">
        <v>2292.5500000000002</v>
      </c>
      <c r="J229" s="7">
        <v>0.58910879629629631</v>
      </c>
      <c r="K229" s="7">
        <v>0.61982638888888886</v>
      </c>
      <c r="L229" s="1">
        <f t="shared" si="61"/>
        <v>2648.4</v>
      </c>
      <c r="M229" s="4">
        <f>52.33-8.19</f>
        <v>44.14</v>
      </c>
      <c r="N229" s="4">
        <f t="shared" si="62"/>
        <v>18.779999999999745</v>
      </c>
      <c r="O229" s="4">
        <f t="shared" si="63"/>
        <v>18779.999999999745</v>
      </c>
      <c r="P229" s="4">
        <v>0.83023872679044364</v>
      </c>
      <c r="Q229">
        <v>944</v>
      </c>
      <c r="R229" s="1">
        <f t="shared" si="64"/>
        <v>9.4399999999999998E-2</v>
      </c>
      <c r="S229" s="5">
        <f t="shared" si="65"/>
        <v>75.11730779568758</v>
      </c>
      <c r="T229" s="4">
        <v>32</v>
      </c>
      <c r="U229" s="8">
        <f>+AVERAGE([1]humidity!$B$23800:$B$23885)</f>
        <v>34.860465116279073</v>
      </c>
      <c r="V229">
        <f t="shared" si="66"/>
        <v>4.7547753962618131</v>
      </c>
      <c r="W229">
        <f t="shared" si="67"/>
        <v>1.6575368183712693</v>
      </c>
      <c r="X229" s="6">
        <f t="shared" si="68"/>
        <v>3.0972385778905438</v>
      </c>
    </row>
    <row r="230" spans="1:24" x14ac:dyDescent="0.25">
      <c r="A230">
        <v>1</v>
      </c>
      <c r="B230" s="1">
        <v>2</v>
      </c>
      <c r="C230">
        <v>1</v>
      </c>
      <c r="D230">
        <v>4</v>
      </c>
      <c r="E230" t="s">
        <v>25</v>
      </c>
      <c r="F230" s="13" t="s">
        <v>41</v>
      </c>
      <c r="G230" s="1">
        <v>6</v>
      </c>
      <c r="H230">
        <v>2271.9499999999998</v>
      </c>
      <c r="I230">
        <v>2249.33</v>
      </c>
      <c r="J230" s="7">
        <v>0.64884259259259258</v>
      </c>
      <c r="K230" s="7">
        <v>0.68104166666666666</v>
      </c>
      <c r="L230" s="1">
        <f t="shared" si="61"/>
        <v>2748</v>
      </c>
      <c r="M230" s="4">
        <f>+(60-34.2)+20</f>
        <v>45.8</v>
      </c>
      <c r="N230" s="4">
        <f t="shared" si="62"/>
        <v>22.619999999999891</v>
      </c>
      <c r="O230" s="4">
        <f t="shared" si="63"/>
        <v>22619.999999999891</v>
      </c>
      <c r="P230" s="4">
        <v>1</v>
      </c>
      <c r="Q230">
        <v>944</v>
      </c>
      <c r="R230" s="1">
        <f t="shared" si="64"/>
        <v>9.4399999999999998E-2</v>
      </c>
      <c r="S230" s="5">
        <f t="shared" si="65"/>
        <v>87.1974687291832</v>
      </c>
      <c r="T230" s="4">
        <v>32</v>
      </c>
      <c r="U230" s="8">
        <f>+AVERAGE([1]humidity!$B$23968:$B$24060)</f>
        <v>19.892473118279568</v>
      </c>
      <c r="V230">
        <f t="shared" si="66"/>
        <v>4.7547753962618131</v>
      </c>
      <c r="W230">
        <f t="shared" si="67"/>
        <v>0.945842417535952</v>
      </c>
      <c r="X230" s="6">
        <f t="shared" si="68"/>
        <v>3.8089329787258612</v>
      </c>
    </row>
    <row r="231" spans="1:24" x14ac:dyDescent="0.25">
      <c r="A231">
        <v>2</v>
      </c>
      <c r="B231">
        <v>1</v>
      </c>
      <c r="C231">
        <v>1</v>
      </c>
      <c r="D231">
        <v>2</v>
      </c>
      <c r="E231" t="s">
        <v>25</v>
      </c>
      <c r="F231" s="13" t="s">
        <v>41</v>
      </c>
      <c r="G231">
        <v>1</v>
      </c>
      <c r="H231">
        <v>2945.96</v>
      </c>
      <c r="I231">
        <v>2937.23</v>
      </c>
      <c r="J231" s="11">
        <v>0.49791666666666667</v>
      </c>
      <c r="K231" s="7">
        <v>0.53189814814814818</v>
      </c>
      <c r="L231">
        <f t="shared" ref="L231:L240" si="69">+M231*60</f>
        <v>2880</v>
      </c>
      <c r="M231">
        <v>48</v>
      </c>
      <c r="N231">
        <f t="shared" ref="N231:N240" si="70">+H231-I231</f>
        <v>8.7300000000000182</v>
      </c>
      <c r="O231">
        <f t="shared" ref="O231:O240" si="71">+N231*1000</f>
        <v>8730.0000000000182</v>
      </c>
      <c r="P231" s="2">
        <v>0.65393258426966872</v>
      </c>
      <c r="Q231">
        <v>915.55</v>
      </c>
      <c r="R231" s="1">
        <v>9.1554999999999997E-2</v>
      </c>
      <c r="S231" s="5">
        <v>33.108514007973419</v>
      </c>
      <c r="T231" s="4">
        <v>32</v>
      </c>
      <c r="U231" s="8">
        <v>77.865979381443296</v>
      </c>
      <c r="V231">
        <v>4.7547753962618131</v>
      </c>
      <c r="W231">
        <v>3.7023524296871622</v>
      </c>
      <c r="X231" s="6">
        <v>1.052422966574651</v>
      </c>
    </row>
    <row r="232" spans="1:24" x14ac:dyDescent="0.25">
      <c r="A232">
        <v>2</v>
      </c>
      <c r="B232">
        <v>1</v>
      </c>
      <c r="C232">
        <v>1</v>
      </c>
      <c r="D232">
        <v>2</v>
      </c>
      <c r="E232" t="s">
        <v>25</v>
      </c>
      <c r="F232" s="13" t="s">
        <v>41</v>
      </c>
      <c r="G232">
        <v>2</v>
      </c>
      <c r="H232">
        <v>2930.01</v>
      </c>
      <c r="I232">
        <v>2918.5</v>
      </c>
      <c r="J232" s="7">
        <v>0.55482638888888891</v>
      </c>
      <c r="K232" s="7">
        <v>0.58539351851851851</v>
      </c>
      <c r="L232">
        <f t="shared" si="69"/>
        <v>2640</v>
      </c>
      <c r="M232">
        <v>44</v>
      </c>
      <c r="N232">
        <f t="shared" si="70"/>
        <v>11.510000000000218</v>
      </c>
      <c r="O232">
        <f t="shared" si="71"/>
        <v>11510.000000000218</v>
      </c>
      <c r="P232" s="2">
        <v>0.86217228464421702</v>
      </c>
      <c r="Q232">
        <v>915.55</v>
      </c>
      <c r="R232" s="1">
        <v>9.1554999999999997E-2</v>
      </c>
      <c r="S232" s="5">
        <v>47.619993281072226</v>
      </c>
      <c r="T232" s="4">
        <v>32</v>
      </c>
      <c r="U232" s="8">
        <v>66.811764705882354</v>
      </c>
      <c r="V232">
        <v>4.7547753962618131</v>
      </c>
      <c r="W232">
        <v>3.1767493500436275</v>
      </c>
      <c r="X232" s="6">
        <v>1.5780260462181857</v>
      </c>
    </row>
    <row r="233" spans="1:24" x14ac:dyDescent="0.25">
      <c r="A233">
        <v>2</v>
      </c>
      <c r="B233">
        <v>1</v>
      </c>
      <c r="C233">
        <v>1</v>
      </c>
      <c r="D233">
        <v>2</v>
      </c>
      <c r="E233" t="s">
        <v>25</v>
      </c>
      <c r="F233" s="13" t="s">
        <v>41</v>
      </c>
      <c r="G233">
        <v>3</v>
      </c>
      <c r="H233">
        <v>2911.16</v>
      </c>
      <c r="I233">
        <v>2899.13</v>
      </c>
      <c r="J233" s="7">
        <v>0.60451388888888891</v>
      </c>
      <c r="K233" s="7">
        <v>0.63587962962962963</v>
      </c>
      <c r="L233">
        <f t="shared" si="69"/>
        <v>2700</v>
      </c>
      <c r="M233">
        <v>45</v>
      </c>
      <c r="N233">
        <f t="shared" si="70"/>
        <v>12.029999999999745</v>
      </c>
      <c r="O233">
        <f t="shared" si="71"/>
        <v>12029.999999999745</v>
      </c>
      <c r="P233" s="2">
        <v>0.90112359550560506</v>
      </c>
      <c r="Q233">
        <v>915.55</v>
      </c>
      <c r="R233">
        <v>9.1554999999999997E-2</v>
      </c>
      <c r="S233">
        <v>48.665343843104814</v>
      </c>
      <c r="T233">
        <v>32</v>
      </c>
      <c r="U233" s="8">
        <v>56</v>
      </c>
      <c r="V233">
        <v>4.7547753962618131</v>
      </c>
      <c r="W233">
        <v>2.6626742219066157</v>
      </c>
      <c r="X233" s="12">
        <v>2.0921011743551974</v>
      </c>
    </row>
    <row r="234" spans="1:24" x14ac:dyDescent="0.25">
      <c r="A234">
        <v>2</v>
      </c>
      <c r="B234">
        <v>1</v>
      </c>
      <c r="C234">
        <v>1</v>
      </c>
      <c r="D234">
        <v>2</v>
      </c>
      <c r="E234" t="s">
        <v>25</v>
      </c>
      <c r="F234" s="13" t="s">
        <v>41</v>
      </c>
      <c r="G234">
        <v>4</v>
      </c>
      <c r="H234">
        <v>2892.3</v>
      </c>
      <c r="I234">
        <v>2880.51</v>
      </c>
      <c r="J234" s="7">
        <v>0.65208333333333335</v>
      </c>
      <c r="K234" s="7">
        <v>0.68402777777777779</v>
      </c>
      <c r="L234">
        <f t="shared" si="69"/>
        <v>2760</v>
      </c>
      <c r="M234">
        <v>46</v>
      </c>
      <c r="N234">
        <f t="shared" si="70"/>
        <v>11.789999999999964</v>
      </c>
      <c r="O234">
        <f t="shared" si="71"/>
        <v>11789.999999999964</v>
      </c>
      <c r="P234" s="2">
        <v>0.88314606741573365</v>
      </c>
      <c r="Q234">
        <v>915.55</v>
      </c>
      <c r="R234">
        <v>9.1554999999999997E-2</v>
      </c>
      <c r="S234">
        <v>46.657627987928237</v>
      </c>
      <c r="T234">
        <v>32</v>
      </c>
      <c r="U234" s="8">
        <v>47.103448275862071</v>
      </c>
      <c r="V234">
        <v>4.7547753962618131</v>
      </c>
      <c r="W234">
        <v>2.2396631694115987</v>
      </c>
      <c r="X234" s="12">
        <v>2.5151122268502144</v>
      </c>
    </row>
    <row r="235" spans="1:24" x14ac:dyDescent="0.25">
      <c r="A235">
        <v>2</v>
      </c>
      <c r="B235">
        <v>1</v>
      </c>
      <c r="C235">
        <v>1</v>
      </c>
      <c r="D235">
        <v>2</v>
      </c>
      <c r="E235" t="s">
        <v>25</v>
      </c>
      <c r="F235" s="13" t="s">
        <v>41</v>
      </c>
      <c r="G235">
        <v>5</v>
      </c>
      <c r="H235">
        <v>2873.54</v>
      </c>
      <c r="I235">
        <v>2860.19</v>
      </c>
      <c r="J235" s="7">
        <v>0.70046296296296295</v>
      </c>
      <c r="K235" s="7">
        <v>0.73293981481481485</v>
      </c>
      <c r="L235">
        <f t="shared" si="69"/>
        <v>2760</v>
      </c>
      <c r="M235">
        <v>46</v>
      </c>
      <c r="N235">
        <f t="shared" si="70"/>
        <v>13.349999999999909</v>
      </c>
      <c r="O235">
        <f t="shared" si="71"/>
        <v>13349.999999999909</v>
      </c>
      <c r="P235" s="2">
        <v>1</v>
      </c>
      <c r="Q235">
        <v>915.55</v>
      </c>
      <c r="R235">
        <v>9.1554999999999997E-2</v>
      </c>
      <c r="S235">
        <v>52.831156373099205</v>
      </c>
      <c r="T235">
        <v>32</v>
      </c>
      <c r="U235" s="8">
        <v>38.567010309278352</v>
      </c>
      <c r="V235">
        <v>4.7547753962618131</v>
      </c>
      <c r="W235">
        <v>1.8337747172593242</v>
      </c>
      <c r="X235" s="12">
        <v>2.9210006790024892</v>
      </c>
    </row>
    <row r="236" spans="1:24" x14ac:dyDescent="0.25">
      <c r="A236">
        <v>2</v>
      </c>
      <c r="B236">
        <v>1</v>
      </c>
      <c r="C236">
        <v>1</v>
      </c>
      <c r="D236">
        <v>2</v>
      </c>
      <c r="E236" t="s">
        <v>25</v>
      </c>
      <c r="F236" s="13" t="s">
        <v>41</v>
      </c>
      <c r="G236">
        <v>6</v>
      </c>
      <c r="H236">
        <v>2856.14</v>
      </c>
      <c r="I236">
        <v>2843.01</v>
      </c>
      <c r="J236" s="7">
        <v>0.7436342592592593</v>
      </c>
      <c r="K236" s="7">
        <v>0.77496527777777779</v>
      </c>
      <c r="L236">
        <f t="shared" si="69"/>
        <v>2700</v>
      </c>
      <c r="M236">
        <v>45</v>
      </c>
      <c r="N236">
        <f t="shared" si="70"/>
        <v>13.129999999999654</v>
      </c>
      <c r="O236">
        <f t="shared" si="71"/>
        <v>13129.999999999654</v>
      </c>
      <c r="P236" s="2">
        <v>0.98352059925091717</v>
      </c>
      <c r="Q236">
        <v>915.55</v>
      </c>
      <c r="R236">
        <v>9.1554999999999997E-2</v>
      </c>
      <c r="S236">
        <v>53.115209032415869</v>
      </c>
      <c r="T236">
        <v>32</v>
      </c>
      <c r="U236" s="8">
        <v>23.483146067415731</v>
      </c>
      <c r="V236">
        <v>4.7547753962618131</v>
      </c>
      <c r="W236">
        <v>1.1165708514817068</v>
      </c>
      <c r="X236" s="12">
        <v>3.6382045447801064</v>
      </c>
    </row>
    <row r="237" spans="1:24" x14ac:dyDescent="0.25">
      <c r="A237">
        <v>2</v>
      </c>
      <c r="B237">
        <v>2</v>
      </c>
      <c r="C237">
        <v>1</v>
      </c>
      <c r="D237">
        <v>5</v>
      </c>
      <c r="E237" t="s">
        <v>33</v>
      </c>
      <c r="F237" t="s">
        <v>38</v>
      </c>
      <c r="G237">
        <v>3</v>
      </c>
      <c r="H237">
        <v>1948.27</v>
      </c>
      <c r="I237">
        <v>1917.69</v>
      </c>
      <c r="J237" s="7">
        <v>0.47721064814814818</v>
      </c>
      <c r="K237" s="7">
        <v>0.50815972222222228</v>
      </c>
      <c r="L237">
        <f t="shared" si="69"/>
        <v>2640</v>
      </c>
      <c r="M237">
        <v>44</v>
      </c>
      <c r="N237">
        <f t="shared" si="70"/>
        <v>30.579999999999927</v>
      </c>
      <c r="O237">
        <f t="shared" si="71"/>
        <v>30579.999999999927</v>
      </c>
      <c r="P237" s="2">
        <v>0.81786573950255159</v>
      </c>
      <c r="Q237">
        <v>1635</v>
      </c>
      <c r="R237">
        <v>0.16350000000000001</v>
      </c>
      <c r="S237">
        <v>70.846075433231221</v>
      </c>
      <c r="T237">
        <v>32</v>
      </c>
      <c r="U237" s="8">
        <v>56.378048780487802</v>
      </c>
      <c r="V237">
        <v>4.7547753962618131</v>
      </c>
      <c r="W237">
        <v>2.680649592307117</v>
      </c>
      <c r="X237" s="12">
        <v>2.0741258039546961</v>
      </c>
    </row>
    <row r="238" spans="1:24" x14ac:dyDescent="0.25">
      <c r="A238">
        <v>2</v>
      </c>
      <c r="B238">
        <v>2</v>
      </c>
      <c r="C238">
        <v>4</v>
      </c>
      <c r="D238">
        <v>4</v>
      </c>
      <c r="E238" t="s">
        <v>28</v>
      </c>
      <c r="F238" s="20" t="s">
        <v>40</v>
      </c>
      <c r="G238">
        <v>3</v>
      </c>
      <c r="H238">
        <v>3048.59</v>
      </c>
      <c r="I238">
        <v>3033.81</v>
      </c>
      <c r="J238" s="7">
        <v>0.47721064814814818</v>
      </c>
      <c r="K238" s="7">
        <v>0.50815972222222228</v>
      </c>
      <c r="L238">
        <f t="shared" si="69"/>
        <v>2640</v>
      </c>
      <c r="M238">
        <v>44</v>
      </c>
      <c r="N238">
        <f t="shared" si="70"/>
        <v>14.7800000000002</v>
      </c>
      <c r="O238">
        <f t="shared" si="71"/>
        <v>14780.0000000002</v>
      </c>
      <c r="P238" s="2">
        <v>0.81974486966167703</v>
      </c>
      <c r="Q238">
        <v>914</v>
      </c>
      <c r="R238">
        <v>9.1399999999999995E-2</v>
      </c>
      <c r="S238">
        <v>61.252569458259565</v>
      </c>
      <c r="T238">
        <v>32</v>
      </c>
      <c r="U238" s="8">
        <v>56.378048780487802</v>
      </c>
      <c r="V238">
        <v>4.7547753962618131</v>
      </c>
      <c r="W238">
        <v>2.680649592307117</v>
      </c>
      <c r="X238" s="12">
        <v>2.0741258039546961</v>
      </c>
    </row>
    <row r="239" spans="1:24" x14ac:dyDescent="0.25">
      <c r="A239">
        <v>2</v>
      </c>
      <c r="B239">
        <v>2</v>
      </c>
      <c r="C239">
        <v>1</v>
      </c>
      <c r="D239">
        <v>2</v>
      </c>
      <c r="E239" t="s">
        <v>25</v>
      </c>
      <c r="F239" s="13" t="s">
        <v>41</v>
      </c>
      <c r="G239">
        <v>3</v>
      </c>
      <c r="H239">
        <v>3108.71</v>
      </c>
      <c r="I239">
        <v>3094.04</v>
      </c>
      <c r="J239" s="7">
        <v>0.47721064814814818</v>
      </c>
      <c r="K239" s="7">
        <v>0.50815972222222228</v>
      </c>
      <c r="L239">
        <f t="shared" si="69"/>
        <v>2640</v>
      </c>
      <c r="M239">
        <v>44</v>
      </c>
      <c r="N239">
        <f t="shared" si="70"/>
        <v>14.670000000000073</v>
      </c>
      <c r="O239">
        <f t="shared" si="71"/>
        <v>14670.000000000073</v>
      </c>
      <c r="P239" s="2">
        <v>0.7416582406471145</v>
      </c>
      <c r="Q239">
        <v>915.55</v>
      </c>
      <c r="R239">
        <v>9.1554999999999997E-2</v>
      </c>
      <c r="S239">
        <v>60.693770758759321</v>
      </c>
      <c r="T239">
        <v>32</v>
      </c>
      <c r="U239" s="8">
        <v>56.378048780487802</v>
      </c>
      <c r="V239">
        <v>4.7547753962618131</v>
      </c>
      <c r="W239">
        <v>2.680649592307117</v>
      </c>
      <c r="X239" s="12">
        <v>2.0741258039546961</v>
      </c>
    </row>
    <row r="240" spans="1:24" x14ac:dyDescent="0.25">
      <c r="A240">
        <v>2</v>
      </c>
      <c r="B240">
        <v>2</v>
      </c>
      <c r="C240">
        <v>4</v>
      </c>
      <c r="D240">
        <v>3</v>
      </c>
      <c r="E240" t="s">
        <v>27</v>
      </c>
      <c r="F240" s="13" t="s">
        <v>39</v>
      </c>
      <c r="G240">
        <v>3</v>
      </c>
      <c r="H240">
        <v>3105.64</v>
      </c>
      <c r="I240">
        <v>3090.54</v>
      </c>
      <c r="J240" s="7">
        <v>0.47721064814814818</v>
      </c>
      <c r="K240" s="7">
        <v>0.50815972222222228</v>
      </c>
      <c r="L240">
        <f t="shared" si="69"/>
        <v>2640</v>
      </c>
      <c r="M240">
        <v>44</v>
      </c>
      <c r="N240">
        <f t="shared" si="70"/>
        <v>15.099999999999909</v>
      </c>
      <c r="O240">
        <f t="shared" si="71"/>
        <v>15099.999999999909</v>
      </c>
      <c r="P240" s="2">
        <v>0.7897489539748952</v>
      </c>
      <c r="Q240">
        <v>793.6</v>
      </c>
      <c r="R240">
        <v>7.936E-2</v>
      </c>
      <c r="S240">
        <v>72.072794477027912</v>
      </c>
      <c r="T240">
        <v>32</v>
      </c>
      <c r="U240" s="8">
        <v>56.378048780487802</v>
      </c>
      <c r="V240">
        <v>4.7547753962618131</v>
      </c>
      <c r="W240">
        <v>2.680649592307117</v>
      </c>
      <c r="X240" s="12">
        <v>2.0741258039546961</v>
      </c>
    </row>
    <row r="241" spans="1:30" x14ac:dyDescent="0.25">
      <c r="A241">
        <v>4</v>
      </c>
      <c r="B241">
        <v>2</v>
      </c>
      <c r="C241">
        <v>1</v>
      </c>
      <c r="D241">
        <v>1</v>
      </c>
      <c r="E241" t="s">
        <v>35</v>
      </c>
      <c r="F241" t="s">
        <v>38</v>
      </c>
      <c r="G241">
        <v>2</v>
      </c>
      <c r="H241">
        <v>2607.6799999999998</v>
      </c>
      <c r="I241">
        <v>2568.41</v>
      </c>
      <c r="J241" s="11">
        <v>0.43112268518518521</v>
      </c>
      <c r="K241" s="11">
        <v>0.45833333333333331</v>
      </c>
      <c r="L241">
        <f>M241*60</f>
        <v>2340</v>
      </c>
      <c r="M241" s="8">
        <v>39</v>
      </c>
      <c r="N241" s="8">
        <f>H241-I241</f>
        <v>39.269999999999982</v>
      </c>
      <c r="O241">
        <f>N241*1000</f>
        <v>39269.999999999985</v>
      </c>
      <c r="P241" s="2">
        <v>0.82604122843920946</v>
      </c>
      <c r="Q241">
        <v>2878.45</v>
      </c>
      <c r="R241">
        <f>+Q241/10000</f>
        <v>0.28784499999999996</v>
      </c>
      <c r="S241">
        <f>O241/(R241*L241)</f>
        <v>58.302389418094037</v>
      </c>
      <c r="T241">
        <v>32</v>
      </c>
      <c r="U241" s="8">
        <v>64</v>
      </c>
      <c r="V241">
        <f>0.6108*EXP((17.27*T241)/(T241+237.3))</f>
        <v>4.7547753962618131</v>
      </c>
      <c r="W241">
        <f>V241*(U241/100)</f>
        <v>3.0430562536075603</v>
      </c>
      <c r="X241" s="12">
        <f>V241-W241</f>
        <v>1.7117191426542528</v>
      </c>
    </row>
    <row r="242" spans="1:30" x14ac:dyDescent="0.25">
      <c r="A242">
        <v>2</v>
      </c>
      <c r="B242">
        <v>2</v>
      </c>
      <c r="C242">
        <v>1</v>
      </c>
      <c r="D242">
        <v>1</v>
      </c>
      <c r="E242" t="s">
        <v>32</v>
      </c>
      <c r="F242" s="13" t="s">
        <v>42</v>
      </c>
      <c r="G242">
        <v>3</v>
      </c>
      <c r="H242">
        <v>3212.31</v>
      </c>
      <c r="I242">
        <v>3200.63</v>
      </c>
      <c r="J242" s="7">
        <v>0.47721064814814818</v>
      </c>
      <c r="K242" s="7">
        <v>0.50815972222222228</v>
      </c>
      <c r="L242">
        <f>+M242*60</f>
        <v>2640</v>
      </c>
      <c r="M242">
        <v>44</v>
      </c>
      <c r="N242">
        <f>+H242-I242</f>
        <v>11.679999999999836</v>
      </c>
      <c r="O242">
        <f>+N242*1000</f>
        <v>11679.999999999836</v>
      </c>
      <c r="P242" s="2">
        <v>0.79079214624237315</v>
      </c>
      <c r="Q242">
        <v>655.83</v>
      </c>
      <c r="R242">
        <v>6.5583000000000002E-2</v>
      </c>
      <c r="S242">
        <v>67.460201946272079</v>
      </c>
      <c r="T242">
        <v>32</v>
      </c>
      <c r="U242" s="8">
        <v>56.378048780487802</v>
      </c>
      <c r="V242">
        <v>4.7547753962618131</v>
      </c>
      <c r="W242">
        <v>2.680649592307117</v>
      </c>
      <c r="X242" s="12">
        <v>2.0741258039546961</v>
      </c>
    </row>
    <row r="243" spans="1:30" x14ac:dyDescent="0.25">
      <c r="A243">
        <v>3</v>
      </c>
      <c r="B243">
        <v>1</v>
      </c>
      <c r="C243">
        <v>4</v>
      </c>
      <c r="D243">
        <v>1</v>
      </c>
      <c r="E243" t="s">
        <v>25</v>
      </c>
      <c r="F243" s="13" t="s">
        <v>41</v>
      </c>
      <c r="G243">
        <v>1</v>
      </c>
      <c r="H243">
        <v>2632.07</v>
      </c>
      <c r="I243">
        <v>2624.19</v>
      </c>
      <c r="J243">
        <v>0.48958333333333331</v>
      </c>
      <c r="K243">
        <v>0.52083333333333337</v>
      </c>
      <c r="L243">
        <v>2700</v>
      </c>
      <c r="M243">
        <v>45</v>
      </c>
      <c r="N243">
        <v>7.8800000000001091</v>
      </c>
      <c r="O243">
        <v>7880.0000000001091</v>
      </c>
      <c r="P243" s="2">
        <v>0.43225452550741095</v>
      </c>
      <c r="Q243">
        <v>1049.8</v>
      </c>
      <c r="R243">
        <v>0.10497999999999999</v>
      </c>
      <c r="S243">
        <v>27.800709835383493</v>
      </c>
      <c r="T243">
        <v>32</v>
      </c>
      <c r="U243" s="8">
        <v>79</v>
      </c>
      <c r="V243">
        <v>4.7547753962618131</v>
      </c>
      <c r="W243">
        <f t="shared" ref="W243:W268" si="72">V243*(U243/100)</f>
        <v>3.7562725630468323</v>
      </c>
      <c r="X243" s="12">
        <f t="shared" ref="X243:X268" si="73">V243-W243</f>
        <v>0.99850283321498079</v>
      </c>
    </row>
    <row r="244" spans="1:30" x14ac:dyDescent="0.25">
      <c r="A244">
        <v>3</v>
      </c>
      <c r="B244">
        <v>1</v>
      </c>
      <c r="C244">
        <v>4</v>
      </c>
      <c r="D244">
        <v>1</v>
      </c>
      <c r="E244" t="s">
        <v>25</v>
      </c>
      <c r="F244" s="13" t="s">
        <v>41</v>
      </c>
      <c r="G244">
        <v>2</v>
      </c>
      <c r="H244">
        <v>2621.14</v>
      </c>
      <c r="I244">
        <v>2608.9699999999998</v>
      </c>
      <c r="J244">
        <v>0.53055555555555556</v>
      </c>
      <c r="K244">
        <v>0.56180555555555556</v>
      </c>
      <c r="L244">
        <v>2700</v>
      </c>
      <c r="M244" s="8">
        <v>45</v>
      </c>
      <c r="N244">
        <v>12.170000000000073</v>
      </c>
      <c r="O244">
        <v>12170.000000000073</v>
      </c>
      <c r="P244" s="2">
        <v>0.66758091058694791</v>
      </c>
      <c r="Q244">
        <v>1049.8</v>
      </c>
      <c r="R244">
        <v>0.10497999999999999</v>
      </c>
      <c r="S244">
        <v>42.935867854900316</v>
      </c>
      <c r="T244">
        <v>32</v>
      </c>
      <c r="U244" s="8">
        <v>68</v>
      </c>
      <c r="V244">
        <v>4.7547753962618131</v>
      </c>
      <c r="W244">
        <f t="shared" si="72"/>
        <v>3.2332472694580332</v>
      </c>
      <c r="X244" s="12">
        <f t="shared" si="73"/>
        <v>1.5215281268037799</v>
      </c>
    </row>
    <row r="245" spans="1:30" x14ac:dyDescent="0.25">
      <c r="A245">
        <v>3</v>
      </c>
      <c r="B245">
        <v>1</v>
      </c>
      <c r="C245">
        <v>4</v>
      </c>
      <c r="D245">
        <v>1</v>
      </c>
      <c r="E245" t="s">
        <v>25</v>
      </c>
      <c r="F245" s="13" t="s">
        <v>41</v>
      </c>
      <c r="G245">
        <v>3</v>
      </c>
      <c r="H245">
        <v>2602.42</v>
      </c>
      <c r="I245">
        <v>2588.0300000000002</v>
      </c>
      <c r="J245">
        <v>0.57556712962962964</v>
      </c>
      <c r="K245">
        <v>0.60728009259259264</v>
      </c>
      <c r="L245">
        <v>2700</v>
      </c>
      <c r="M245" s="8">
        <v>45</v>
      </c>
      <c r="N245">
        <v>14.389999999999873</v>
      </c>
      <c r="O245">
        <v>14389.999999999873</v>
      </c>
      <c r="P245" s="2">
        <v>0.78935820076795715</v>
      </c>
      <c r="Q245">
        <v>1049.8</v>
      </c>
      <c r="R245">
        <v>0.10497999999999999</v>
      </c>
      <c r="S245">
        <v>50.76804752933495</v>
      </c>
      <c r="T245">
        <v>32</v>
      </c>
      <c r="U245" s="8">
        <v>57</v>
      </c>
      <c r="V245">
        <v>4.7547753962618131</v>
      </c>
      <c r="W245">
        <f t="shared" si="72"/>
        <v>2.7102219758692332</v>
      </c>
      <c r="X245" s="12">
        <f t="shared" si="73"/>
        <v>2.0445534203925799</v>
      </c>
    </row>
    <row r="246" spans="1:30" x14ac:dyDescent="0.25">
      <c r="A246">
        <v>3</v>
      </c>
      <c r="B246">
        <v>1</v>
      </c>
      <c r="C246">
        <v>4</v>
      </c>
      <c r="D246">
        <v>1</v>
      </c>
      <c r="E246" t="s">
        <v>25</v>
      </c>
      <c r="F246" s="13" t="s">
        <v>41</v>
      </c>
      <c r="G246">
        <v>4</v>
      </c>
      <c r="H246">
        <v>2578.91</v>
      </c>
      <c r="I246">
        <v>2564.83</v>
      </c>
      <c r="J246">
        <v>0.62638888888888888</v>
      </c>
      <c r="K246">
        <v>0.65733796296296299</v>
      </c>
      <c r="L246">
        <v>2640</v>
      </c>
      <c r="M246" s="8">
        <v>44</v>
      </c>
      <c r="N246">
        <v>14.079999999999927</v>
      </c>
      <c r="O246">
        <v>14079.999999999927</v>
      </c>
      <c r="P246" s="2">
        <v>0.77235326385079062</v>
      </c>
      <c r="Q246">
        <v>1049.8</v>
      </c>
      <c r="R246">
        <v>0.10497999999999999</v>
      </c>
      <c r="S246">
        <v>50.803327617958715</v>
      </c>
      <c r="T246">
        <v>32</v>
      </c>
      <c r="U246" s="8">
        <v>47</v>
      </c>
      <c r="V246">
        <v>4.7547753962618131</v>
      </c>
      <c r="W246">
        <f t="shared" si="72"/>
        <v>2.234744436243052</v>
      </c>
      <c r="X246" s="12">
        <f t="shared" si="73"/>
        <v>2.5200309600187611</v>
      </c>
    </row>
    <row r="247" spans="1:30" x14ac:dyDescent="0.25">
      <c r="A247">
        <v>3</v>
      </c>
      <c r="B247">
        <v>1</v>
      </c>
      <c r="C247">
        <v>4</v>
      </c>
      <c r="D247">
        <v>1</v>
      </c>
      <c r="E247" t="s">
        <v>25</v>
      </c>
      <c r="F247" s="13" t="s">
        <v>41</v>
      </c>
      <c r="G247">
        <v>5</v>
      </c>
      <c r="H247">
        <v>2554.31</v>
      </c>
      <c r="I247">
        <v>2539.54</v>
      </c>
      <c r="J247">
        <v>0.67721064814814813</v>
      </c>
      <c r="K247">
        <v>0.70833333333333337</v>
      </c>
      <c r="L247">
        <v>2640</v>
      </c>
      <c r="M247" s="8">
        <v>44</v>
      </c>
      <c r="N247">
        <v>14.769999999999982</v>
      </c>
      <c r="O247">
        <v>14769.999999999982</v>
      </c>
      <c r="P247" s="2">
        <v>0.81020296215029985</v>
      </c>
      <c r="Q247">
        <v>1049.8</v>
      </c>
      <c r="R247">
        <v>0.10497999999999999</v>
      </c>
      <c r="S247">
        <v>53.29297932650946</v>
      </c>
      <c r="T247">
        <v>32</v>
      </c>
      <c r="U247" s="8">
        <v>37</v>
      </c>
      <c r="V247">
        <v>4.7547753962618131</v>
      </c>
      <c r="W247">
        <f t="shared" si="72"/>
        <v>1.7592668966168707</v>
      </c>
      <c r="X247" s="12">
        <f t="shared" si="73"/>
        <v>2.9955084996449424</v>
      </c>
    </row>
    <row r="248" spans="1:30" x14ac:dyDescent="0.25">
      <c r="A248">
        <v>3</v>
      </c>
      <c r="B248">
        <v>1</v>
      </c>
      <c r="C248">
        <v>4</v>
      </c>
      <c r="D248">
        <v>1</v>
      </c>
      <c r="E248" t="s">
        <v>25</v>
      </c>
      <c r="F248" s="13" t="s">
        <v>41</v>
      </c>
      <c r="G248">
        <v>6</v>
      </c>
      <c r="H248">
        <v>2530.92</v>
      </c>
      <c r="I248">
        <v>2512.69</v>
      </c>
      <c r="J248">
        <v>0.72222222222222221</v>
      </c>
      <c r="K248">
        <v>0.7540162037037037</v>
      </c>
      <c r="L248">
        <v>2700</v>
      </c>
      <c r="M248" s="8">
        <v>45</v>
      </c>
      <c r="N248">
        <v>18.230000000000018</v>
      </c>
      <c r="O248">
        <v>18230.000000000018</v>
      </c>
      <c r="P248" s="2">
        <v>1</v>
      </c>
      <c r="Q248">
        <v>1049.8</v>
      </c>
      <c r="R248">
        <v>0.10497999999999999</v>
      </c>
      <c r="S248">
        <v>64.315601560791194</v>
      </c>
      <c r="T248">
        <v>32</v>
      </c>
      <c r="U248" s="8">
        <v>24</v>
      </c>
      <c r="V248">
        <v>4.7547753962618131</v>
      </c>
      <c r="W248">
        <f t="shared" si="72"/>
        <v>1.1411460951028352</v>
      </c>
      <c r="X248" s="12">
        <f t="shared" si="73"/>
        <v>3.6136293011589782</v>
      </c>
    </row>
    <row r="249" spans="1:30" x14ac:dyDescent="0.25">
      <c r="A249">
        <v>3</v>
      </c>
      <c r="B249">
        <v>2</v>
      </c>
      <c r="C249">
        <v>4</v>
      </c>
      <c r="D249">
        <v>1</v>
      </c>
      <c r="E249" t="s">
        <v>25</v>
      </c>
      <c r="F249" s="13" t="s">
        <v>41</v>
      </c>
      <c r="G249">
        <v>2</v>
      </c>
      <c r="H249">
        <v>2611.0300000000002</v>
      </c>
      <c r="I249">
        <v>2599.69</v>
      </c>
      <c r="J249">
        <v>0.375</v>
      </c>
      <c r="K249">
        <v>0.40574074074074074</v>
      </c>
      <c r="L249">
        <v>2640</v>
      </c>
      <c r="M249" s="8">
        <v>44</v>
      </c>
      <c r="N249">
        <v>11.340000000000146</v>
      </c>
      <c r="O249">
        <v>11340.000000000146</v>
      </c>
      <c r="P249" s="2">
        <v>0.65435660703982645</v>
      </c>
      <c r="Q249">
        <v>1049.8</v>
      </c>
      <c r="R249">
        <v>0.10497999999999999</v>
      </c>
      <c r="S249">
        <v>40.916884601396461</v>
      </c>
      <c r="T249">
        <v>32</v>
      </c>
      <c r="U249" s="8">
        <v>68</v>
      </c>
      <c r="V249">
        <v>4.7547753962618131</v>
      </c>
      <c r="W249">
        <f t="shared" si="72"/>
        <v>3.2332472694580332</v>
      </c>
      <c r="X249" s="12">
        <f t="shared" si="73"/>
        <v>1.5215281268037799</v>
      </c>
    </row>
    <row r="250" spans="1:30" x14ac:dyDescent="0.25">
      <c r="A250">
        <v>3</v>
      </c>
      <c r="B250">
        <v>2</v>
      </c>
      <c r="C250">
        <v>4</v>
      </c>
      <c r="D250">
        <v>1</v>
      </c>
      <c r="E250" t="s">
        <v>25</v>
      </c>
      <c r="F250" s="13" t="s">
        <v>41</v>
      </c>
      <c r="G250">
        <v>3</v>
      </c>
      <c r="H250">
        <v>2590.89</v>
      </c>
      <c r="I250">
        <v>2578.56</v>
      </c>
      <c r="J250">
        <v>0.42790509259259257</v>
      </c>
      <c r="K250">
        <v>0.45833333333333331</v>
      </c>
      <c r="L250">
        <v>2580</v>
      </c>
      <c r="M250" s="8">
        <v>43</v>
      </c>
      <c r="N250">
        <v>12.329999999999927</v>
      </c>
      <c r="O250">
        <v>12329.999999999927</v>
      </c>
      <c r="P250" s="2">
        <v>0.71148297749567102</v>
      </c>
      <c r="Q250">
        <v>1049.8</v>
      </c>
      <c r="R250">
        <v>0.10497999999999999</v>
      </c>
      <c r="S250">
        <v>45.523621332080708</v>
      </c>
      <c r="T250">
        <v>32</v>
      </c>
      <c r="U250" s="8">
        <v>57</v>
      </c>
      <c r="V250">
        <v>4.7547753962618131</v>
      </c>
      <c r="W250">
        <f t="shared" si="72"/>
        <v>2.7102219758692332</v>
      </c>
      <c r="X250" s="12">
        <f t="shared" si="73"/>
        <v>2.0445534203925799</v>
      </c>
    </row>
    <row r="251" spans="1:30" x14ac:dyDescent="0.25">
      <c r="A251">
        <v>3</v>
      </c>
      <c r="B251">
        <v>2</v>
      </c>
      <c r="C251">
        <v>4</v>
      </c>
      <c r="D251">
        <v>1</v>
      </c>
      <c r="E251" t="s">
        <v>25</v>
      </c>
      <c r="F251" s="13" t="s">
        <v>41</v>
      </c>
      <c r="G251">
        <v>4</v>
      </c>
      <c r="H251">
        <v>2570.44</v>
      </c>
      <c r="I251">
        <v>2556.5</v>
      </c>
      <c r="J251">
        <v>0.47795138888888888</v>
      </c>
      <c r="K251">
        <v>0.50929398148148153</v>
      </c>
      <c r="L251">
        <v>2700</v>
      </c>
      <c r="M251" s="8">
        <v>45</v>
      </c>
      <c r="N251">
        <v>13.940000000000055</v>
      </c>
      <c r="O251">
        <v>13940.000000000055</v>
      </c>
      <c r="P251" s="2">
        <v>0.80438545874207235</v>
      </c>
      <c r="Q251">
        <v>1049.8</v>
      </c>
      <c r="R251">
        <v>0.10497999999999999</v>
      </c>
      <c r="S251">
        <v>49.180443541274371</v>
      </c>
      <c r="T251">
        <v>32</v>
      </c>
      <c r="U251" s="8">
        <v>47</v>
      </c>
      <c r="V251">
        <v>4.7547753962618131</v>
      </c>
      <c r="W251">
        <f t="shared" si="72"/>
        <v>2.234744436243052</v>
      </c>
      <c r="X251" s="12">
        <f t="shared" si="73"/>
        <v>2.5200309600187611</v>
      </c>
    </row>
    <row r="252" spans="1:30" x14ac:dyDescent="0.25">
      <c r="A252">
        <v>4</v>
      </c>
      <c r="B252">
        <v>2</v>
      </c>
      <c r="C252">
        <v>1</v>
      </c>
      <c r="D252">
        <v>1</v>
      </c>
      <c r="E252" t="s">
        <v>35</v>
      </c>
      <c r="F252" t="s">
        <v>38</v>
      </c>
      <c r="G252">
        <v>3</v>
      </c>
      <c r="H252">
        <v>2543.84</v>
      </c>
      <c r="I252">
        <v>2504.61</v>
      </c>
      <c r="J252" s="7">
        <v>0.47835648148148147</v>
      </c>
      <c r="K252" s="7">
        <v>0.50635416666666666</v>
      </c>
      <c r="L252">
        <f>M252*60</f>
        <v>2400</v>
      </c>
      <c r="M252" s="8">
        <v>40</v>
      </c>
      <c r="N252" s="8">
        <f>H252-I252</f>
        <v>39.230000000000018</v>
      </c>
      <c r="O252">
        <f>N252*1000</f>
        <v>39230.000000000015</v>
      </c>
      <c r="P252" s="2">
        <v>0.82519983172065725</v>
      </c>
      <c r="Q252">
        <v>2878.45</v>
      </c>
      <c r="R252">
        <f>+Q252/10000</f>
        <v>0.28784499999999996</v>
      </c>
      <c r="S252">
        <f>O252/(R252*L252)</f>
        <v>56.786928149988164</v>
      </c>
      <c r="T252">
        <v>32</v>
      </c>
      <c r="U252" s="8">
        <v>57</v>
      </c>
      <c r="V252">
        <f>0.6108*EXP((17.27*T252)/(T252+237.3))</f>
        <v>4.7547753962618131</v>
      </c>
      <c r="W252">
        <f t="shared" si="72"/>
        <v>2.7102219758692332</v>
      </c>
      <c r="X252" s="12">
        <f t="shared" si="73"/>
        <v>2.0445534203925799</v>
      </c>
      <c r="Y252" s="22">
        <v>8.0818000000000001E-2</v>
      </c>
      <c r="Z252" s="22">
        <v>8.0364000000000005E-2</v>
      </c>
      <c r="AA252" s="22">
        <v>7.0522000000000001E-2</v>
      </c>
      <c r="AB252">
        <v>27.66</v>
      </c>
      <c r="AC252">
        <v>27.9</v>
      </c>
      <c r="AD252">
        <v>27.69</v>
      </c>
    </row>
    <row r="253" spans="1:30" x14ac:dyDescent="0.25">
      <c r="A253">
        <v>3</v>
      </c>
      <c r="B253">
        <v>2</v>
      </c>
      <c r="C253">
        <v>5</v>
      </c>
      <c r="D253">
        <v>4</v>
      </c>
      <c r="E253" t="s">
        <v>33</v>
      </c>
      <c r="F253" t="s">
        <v>38</v>
      </c>
      <c r="G253">
        <v>6</v>
      </c>
      <c r="H253">
        <v>2368.8200000000002</v>
      </c>
      <c r="I253">
        <v>2354.9</v>
      </c>
      <c r="J253">
        <v>0.59027777777777779</v>
      </c>
      <c r="K253">
        <v>0.62239583333333337</v>
      </c>
      <c r="L253">
        <v>2760</v>
      </c>
      <c r="M253" s="8">
        <v>46</v>
      </c>
      <c r="N253">
        <v>13.920000000000073</v>
      </c>
      <c r="O253">
        <v>13920.000000000073</v>
      </c>
      <c r="P253" s="2">
        <v>1</v>
      </c>
      <c r="Q253">
        <v>767.57</v>
      </c>
      <c r="R253">
        <v>7.6757000000000006E-2</v>
      </c>
      <c r="S253">
        <v>65.70707897481131</v>
      </c>
      <c r="T253">
        <v>32</v>
      </c>
      <c r="U253" s="8">
        <v>24</v>
      </c>
      <c r="V253">
        <v>4.7547753962618131</v>
      </c>
      <c r="W253">
        <f t="shared" si="72"/>
        <v>1.1411460951028352</v>
      </c>
      <c r="X253" s="12">
        <f t="shared" si="73"/>
        <v>3.6136293011589782</v>
      </c>
      <c r="Y253" s="22">
        <v>0.192244</v>
      </c>
      <c r="Z253" s="22">
        <v>0.25179699999999999</v>
      </c>
      <c r="AA253" s="22">
        <v>0.23050000000000001</v>
      </c>
      <c r="AB253">
        <v>28.85</v>
      </c>
      <c r="AC253">
        <v>28.53</v>
      </c>
      <c r="AD253">
        <v>28.58</v>
      </c>
    </row>
    <row r="254" spans="1:30" x14ac:dyDescent="0.25">
      <c r="A254">
        <v>4</v>
      </c>
      <c r="B254">
        <v>1</v>
      </c>
      <c r="C254">
        <v>5</v>
      </c>
      <c r="D254">
        <v>3</v>
      </c>
      <c r="E254" t="s">
        <v>28</v>
      </c>
      <c r="F254" s="20" t="s">
        <v>40</v>
      </c>
      <c r="G254">
        <v>4</v>
      </c>
      <c r="H254">
        <v>2703.99</v>
      </c>
      <c r="I254">
        <v>2669</v>
      </c>
      <c r="J254" s="11">
        <v>0.48981481481481481</v>
      </c>
      <c r="K254" s="7">
        <v>0.51927083333333335</v>
      </c>
      <c r="L254">
        <f t="shared" ref="L254:L268" si="74">M254*60</f>
        <v>2535</v>
      </c>
      <c r="M254" s="8">
        <v>42.25</v>
      </c>
      <c r="N254" s="8">
        <f t="shared" ref="N254:N268" si="75">H254-I254</f>
        <v>34.989999999999782</v>
      </c>
      <c r="O254">
        <f t="shared" ref="O254:O268" si="76">N254*1000</f>
        <v>34989.999999999782</v>
      </c>
      <c r="P254" s="2">
        <v>0.88515051859346328</v>
      </c>
      <c r="Q254">
        <v>4057.6</v>
      </c>
      <c r="R254">
        <f t="shared" ref="R254:R263" si="77">+Q254/10000</f>
        <v>0.40576000000000001</v>
      </c>
      <c r="S254">
        <f t="shared" ref="S254:S268" si="78">O254/(R254*L254)</f>
        <v>34.017057721862173</v>
      </c>
      <c r="T254">
        <v>32</v>
      </c>
      <c r="U254" s="8">
        <v>47</v>
      </c>
      <c r="V254">
        <f t="shared" ref="V254:V268" si="79">0.6108*EXP((17.27*T254)/(T254+237.3))</f>
        <v>4.7547753962618131</v>
      </c>
      <c r="W254">
        <f t="shared" si="72"/>
        <v>2.234744436243052</v>
      </c>
      <c r="X254" s="12">
        <f t="shared" si="73"/>
        <v>2.5200309600187611</v>
      </c>
      <c r="Y254" s="23"/>
      <c r="Z254" s="23"/>
      <c r="AA254" s="23"/>
    </row>
    <row r="255" spans="1:30" x14ac:dyDescent="0.25">
      <c r="A255">
        <v>4</v>
      </c>
      <c r="B255">
        <v>1</v>
      </c>
      <c r="C255">
        <v>1</v>
      </c>
      <c r="D255">
        <v>5</v>
      </c>
      <c r="E255" t="s">
        <v>36</v>
      </c>
      <c r="F255" s="13" t="s">
        <v>41</v>
      </c>
      <c r="G255">
        <v>4</v>
      </c>
      <c r="H255">
        <v>2754.57</v>
      </c>
      <c r="I255">
        <v>2722.46</v>
      </c>
      <c r="J255" s="11">
        <v>0.48981481481481481</v>
      </c>
      <c r="K255" s="7">
        <v>0.51927083333333335</v>
      </c>
      <c r="L255">
        <f t="shared" si="74"/>
        <v>2535</v>
      </c>
      <c r="M255" s="8">
        <v>42.25</v>
      </c>
      <c r="N255" s="8">
        <f t="shared" si="75"/>
        <v>32.110000000000127</v>
      </c>
      <c r="O255">
        <f t="shared" si="76"/>
        <v>32110.000000000127</v>
      </c>
      <c r="P255" s="2">
        <v>0.76252671574447939</v>
      </c>
      <c r="Q255">
        <v>3860.73</v>
      </c>
      <c r="R255">
        <f t="shared" si="77"/>
        <v>0.386073</v>
      </c>
      <c r="S255">
        <f t="shared" si="78"/>
        <v>32.808993808597641</v>
      </c>
      <c r="T255">
        <v>32</v>
      </c>
      <c r="U255" s="8">
        <v>47</v>
      </c>
      <c r="V255">
        <f t="shared" si="79"/>
        <v>4.7547753962618131</v>
      </c>
      <c r="W255">
        <f t="shared" si="72"/>
        <v>2.234744436243052</v>
      </c>
      <c r="X255" s="12">
        <f t="shared" si="73"/>
        <v>2.5200309600187611</v>
      </c>
      <c r="Y255" s="23"/>
      <c r="Z255" s="23"/>
      <c r="AA255" s="23"/>
    </row>
    <row r="256" spans="1:30" x14ac:dyDescent="0.25">
      <c r="A256">
        <v>4</v>
      </c>
      <c r="B256">
        <v>1</v>
      </c>
      <c r="C256">
        <v>6</v>
      </c>
      <c r="D256">
        <v>1</v>
      </c>
      <c r="E256" t="s">
        <v>25</v>
      </c>
      <c r="F256" s="13" t="s">
        <v>41</v>
      </c>
      <c r="G256">
        <v>4</v>
      </c>
      <c r="H256">
        <v>2605.4499999999998</v>
      </c>
      <c r="I256">
        <v>2560.5</v>
      </c>
      <c r="J256" s="11">
        <v>0.48981481481481481</v>
      </c>
      <c r="K256" s="7">
        <v>0.51927083333333335</v>
      </c>
      <c r="L256">
        <f t="shared" si="74"/>
        <v>2535</v>
      </c>
      <c r="M256" s="8">
        <v>42.25</v>
      </c>
      <c r="N256" s="8">
        <f t="shared" si="75"/>
        <v>44.949999999999818</v>
      </c>
      <c r="O256">
        <f t="shared" si="76"/>
        <v>44949.999999999818</v>
      </c>
      <c r="P256" s="2">
        <v>0.96604341285191531</v>
      </c>
      <c r="Q256">
        <v>3248.02</v>
      </c>
      <c r="R256">
        <f t="shared" si="77"/>
        <v>0.32480199999999998</v>
      </c>
      <c r="S256">
        <f t="shared" si="78"/>
        <v>54.592506893624559</v>
      </c>
      <c r="T256">
        <v>32</v>
      </c>
      <c r="U256" s="8">
        <v>47</v>
      </c>
      <c r="V256">
        <f t="shared" si="79"/>
        <v>4.7547753962618131</v>
      </c>
      <c r="W256">
        <f t="shared" si="72"/>
        <v>2.234744436243052</v>
      </c>
      <c r="X256" s="12">
        <f t="shared" si="73"/>
        <v>2.5200309600187611</v>
      </c>
      <c r="Y256" s="23"/>
      <c r="Z256" s="23"/>
      <c r="AA256" s="23"/>
    </row>
    <row r="257" spans="1:30" x14ac:dyDescent="0.25">
      <c r="A257">
        <v>4</v>
      </c>
      <c r="B257">
        <v>1</v>
      </c>
      <c r="C257">
        <v>6</v>
      </c>
      <c r="D257">
        <v>4</v>
      </c>
      <c r="E257" t="s">
        <v>32</v>
      </c>
      <c r="F257" s="13" t="s">
        <v>42</v>
      </c>
      <c r="G257">
        <v>4</v>
      </c>
      <c r="H257">
        <v>2555.6799999999998</v>
      </c>
      <c r="I257">
        <v>2513.21</v>
      </c>
      <c r="J257" s="11">
        <v>0.48981481481481481</v>
      </c>
      <c r="K257" s="7">
        <v>0.51927083333333335</v>
      </c>
      <c r="L257">
        <f t="shared" si="74"/>
        <v>2535</v>
      </c>
      <c r="M257" s="8">
        <v>42.25</v>
      </c>
      <c r="N257" s="8">
        <f t="shared" si="75"/>
        <v>42.4699999999998</v>
      </c>
      <c r="O257">
        <f t="shared" si="76"/>
        <v>42469.999999999796</v>
      </c>
      <c r="P257" s="2">
        <v>0.87639290136194314</v>
      </c>
      <c r="Q257">
        <v>4004.66</v>
      </c>
      <c r="R257">
        <f t="shared" si="77"/>
        <v>0.40046599999999999</v>
      </c>
      <c r="S257">
        <f t="shared" si="78"/>
        <v>41.834891542674086</v>
      </c>
      <c r="T257">
        <v>32</v>
      </c>
      <c r="U257" s="8">
        <v>47</v>
      </c>
      <c r="V257">
        <f t="shared" si="79"/>
        <v>4.7547753962618131</v>
      </c>
      <c r="W257">
        <f t="shared" si="72"/>
        <v>2.234744436243052</v>
      </c>
      <c r="X257" s="12">
        <f t="shared" si="73"/>
        <v>2.5200309600187611</v>
      </c>
      <c r="Y257" s="23"/>
      <c r="Z257" s="23"/>
      <c r="AA257" s="23"/>
    </row>
    <row r="258" spans="1:30" x14ac:dyDescent="0.25">
      <c r="A258">
        <v>4</v>
      </c>
      <c r="B258">
        <v>1</v>
      </c>
      <c r="C258">
        <v>4</v>
      </c>
      <c r="D258">
        <v>1</v>
      </c>
      <c r="E258" t="s">
        <v>26</v>
      </c>
      <c r="F258" s="13" t="s">
        <v>41</v>
      </c>
      <c r="G258">
        <v>4</v>
      </c>
      <c r="H258">
        <v>2444.2600000000002</v>
      </c>
      <c r="I258">
        <v>2410.1999999999998</v>
      </c>
      <c r="J258" s="11">
        <v>0.48981481481481481</v>
      </c>
      <c r="K258" s="7">
        <v>0.51927083333333335</v>
      </c>
      <c r="L258">
        <f t="shared" si="74"/>
        <v>2535</v>
      </c>
      <c r="M258" s="8">
        <v>42.25</v>
      </c>
      <c r="N258" s="8">
        <f t="shared" si="75"/>
        <v>34.0600000000004</v>
      </c>
      <c r="O258">
        <f t="shared" si="76"/>
        <v>34060.0000000004</v>
      </c>
      <c r="P258" s="2">
        <v>0.89749670619237321</v>
      </c>
      <c r="Q258">
        <v>3146.27</v>
      </c>
      <c r="R258">
        <f t="shared" si="77"/>
        <v>0.31462699999999999</v>
      </c>
      <c r="S258">
        <f t="shared" si="78"/>
        <v>42.704209860875238</v>
      </c>
      <c r="T258">
        <v>32</v>
      </c>
      <c r="U258" s="8">
        <v>47</v>
      </c>
      <c r="V258">
        <f t="shared" si="79"/>
        <v>4.7547753962618131</v>
      </c>
      <c r="W258">
        <f t="shared" si="72"/>
        <v>2.234744436243052</v>
      </c>
      <c r="X258" s="12">
        <f t="shared" si="73"/>
        <v>2.5200309600187611</v>
      </c>
      <c r="Y258" s="23"/>
      <c r="Z258" s="23"/>
      <c r="AA258" s="23"/>
    </row>
    <row r="259" spans="1:30" x14ac:dyDescent="0.25">
      <c r="A259">
        <v>4</v>
      </c>
      <c r="B259">
        <v>2</v>
      </c>
      <c r="C259">
        <v>5</v>
      </c>
      <c r="D259">
        <v>3</v>
      </c>
      <c r="E259" t="s">
        <v>28</v>
      </c>
      <c r="F259" s="20" t="s">
        <v>40</v>
      </c>
      <c r="G259">
        <v>3</v>
      </c>
      <c r="H259">
        <v>2607.44</v>
      </c>
      <c r="I259">
        <v>2569.35</v>
      </c>
      <c r="J259" s="7">
        <v>0.47835648148148147</v>
      </c>
      <c r="K259" s="7">
        <v>0.50635416666666666</v>
      </c>
      <c r="L259">
        <f t="shared" si="74"/>
        <v>2400</v>
      </c>
      <c r="M259" s="8">
        <v>40</v>
      </c>
      <c r="N259" s="8">
        <f t="shared" si="75"/>
        <v>38.090000000000146</v>
      </c>
      <c r="O259">
        <f t="shared" si="76"/>
        <v>38090.000000000146</v>
      </c>
      <c r="P259">
        <v>0.78943005181347448</v>
      </c>
      <c r="Q259">
        <v>4057.6</v>
      </c>
      <c r="R259">
        <f t="shared" si="77"/>
        <v>0.40576000000000001</v>
      </c>
      <c r="S259">
        <f t="shared" si="78"/>
        <v>39.11384398002118</v>
      </c>
      <c r="T259">
        <v>32</v>
      </c>
      <c r="U259" s="8">
        <v>57</v>
      </c>
      <c r="V259">
        <f t="shared" si="79"/>
        <v>4.7547753962618131</v>
      </c>
      <c r="W259">
        <f t="shared" si="72"/>
        <v>2.7102219758692332</v>
      </c>
      <c r="X259" s="12">
        <f t="shared" si="73"/>
        <v>2.0445534203925799</v>
      </c>
      <c r="Y259" s="22">
        <v>2.6873000000000001E-2</v>
      </c>
      <c r="Z259" s="22">
        <v>0.12220499999999999</v>
      </c>
      <c r="AA259" s="22">
        <v>4.5956999999999998E-2</v>
      </c>
      <c r="AB259">
        <v>30.31</v>
      </c>
      <c r="AC259">
        <v>29.92</v>
      </c>
      <c r="AD259">
        <v>30.36</v>
      </c>
    </row>
    <row r="260" spans="1:30" x14ac:dyDescent="0.25">
      <c r="A260">
        <v>4</v>
      </c>
      <c r="B260">
        <v>2</v>
      </c>
      <c r="C260">
        <v>1</v>
      </c>
      <c r="D260">
        <v>4</v>
      </c>
      <c r="E260" t="s">
        <v>36</v>
      </c>
      <c r="F260" s="13" t="s">
        <v>41</v>
      </c>
      <c r="G260">
        <v>3</v>
      </c>
      <c r="H260">
        <v>2691.36</v>
      </c>
      <c r="I260">
        <v>2652.8</v>
      </c>
      <c r="J260" s="7">
        <v>0.47835648148148147</v>
      </c>
      <c r="K260" s="7">
        <v>0.50635416666666666</v>
      </c>
      <c r="L260">
        <f t="shared" si="74"/>
        <v>2400</v>
      </c>
      <c r="M260" s="8">
        <v>40</v>
      </c>
      <c r="N260" s="8">
        <f t="shared" si="75"/>
        <v>38.559999999999945</v>
      </c>
      <c r="O260">
        <f t="shared" si="76"/>
        <v>38559.999999999942</v>
      </c>
      <c r="P260" s="2">
        <v>0.78040882412467227</v>
      </c>
      <c r="Q260">
        <v>3860.73</v>
      </c>
      <c r="R260">
        <f t="shared" si="77"/>
        <v>0.386073</v>
      </c>
      <c r="S260">
        <f t="shared" si="78"/>
        <v>41.61561846248415</v>
      </c>
      <c r="T260">
        <v>32</v>
      </c>
      <c r="U260" s="8">
        <v>57</v>
      </c>
      <c r="V260">
        <f t="shared" si="79"/>
        <v>4.7547753962618131</v>
      </c>
      <c r="W260">
        <f t="shared" si="72"/>
        <v>2.7102219758692332</v>
      </c>
      <c r="X260" s="12">
        <f t="shared" si="73"/>
        <v>2.0445534203925799</v>
      </c>
      <c r="Y260" s="22">
        <v>0.101077</v>
      </c>
      <c r="Z260" s="22">
        <v>0.38102000000000003</v>
      </c>
      <c r="AA260" s="22">
        <v>0.19716700000000001</v>
      </c>
      <c r="AB260">
        <v>27.77</v>
      </c>
      <c r="AC260">
        <v>26.1</v>
      </c>
      <c r="AD260">
        <v>27.16</v>
      </c>
    </row>
    <row r="261" spans="1:30" x14ac:dyDescent="0.25">
      <c r="A261">
        <v>4</v>
      </c>
      <c r="B261">
        <v>2</v>
      </c>
      <c r="C261">
        <v>6</v>
      </c>
      <c r="D261">
        <v>1</v>
      </c>
      <c r="E261" t="s">
        <v>25</v>
      </c>
      <c r="F261" s="13" t="s">
        <v>41</v>
      </c>
      <c r="G261">
        <v>3</v>
      </c>
      <c r="H261">
        <v>2486.2399999999998</v>
      </c>
      <c r="I261">
        <v>2443.09</v>
      </c>
      <c r="J261" s="7">
        <v>0.47835648148148147</v>
      </c>
      <c r="K261" s="7">
        <v>0.50635416666666666</v>
      </c>
      <c r="L261">
        <f t="shared" si="74"/>
        <v>2400</v>
      </c>
      <c r="M261" s="8">
        <v>40</v>
      </c>
      <c r="N261" s="8">
        <f t="shared" si="75"/>
        <v>43.149999999999636</v>
      </c>
      <c r="O261">
        <f t="shared" si="76"/>
        <v>43149.999999999636</v>
      </c>
      <c r="P261" s="2">
        <v>0.94544259421558563</v>
      </c>
      <c r="Q261">
        <v>3248.02</v>
      </c>
      <c r="R261">
        <f t="shared" si="77"/>
        <v>0.32480199999999998</v>
      </c>
      <c r="S261">
        <f t="shared" si="78"/>
        <v>55.354236324488511</v>
      </c>
      <c r="T261">
        <v>32</v>
      </c>
      <c r="U261" s="8">
        <v>57</v>
      </c>
      <c r="V261">
        <f t="shared" si="79"/>
        <v>4.7547753962618131</v>
      </c>
      <c r="W261">
        <f t="shared" si="72"/>
        <v>2.7102219758692332</v>
      </c>
      <c r="X261" s="12">
        <f t="shared" si="73"/>
        <v>2.0445534203925799</v>
      </c>
      <c r="Y261" s="22">
        <v>4.7841000000000002E-2</v>
      </c>
      <c r="Z261" s="22">
        <v>1.8713E-2</v>
      </c>
      <c r="AA261" s="22">
        <v>5.6327000000000002E-2</v>
      </c>
      <c r="AB261">
        <v>30.12</v>
      </c>
      <c r="AC261">
        <v>30.27</v>
      </c>
      <c r="AD261">
        <v>30.12</v>
      </c>
    </row>
    <row r="262" spans="1:30" x14ac:dyDescent="0.25">
      <c r="A262">
        <v>4</v>
      </c>
      <c r="B262">
        <v>2</v>
      </c>
      <c r="C262">
        <v>6</v>
      </c>
      <c r="D262">
        <v>4</v>
      </c>
      <c r="E262" t="s">
        <v>32</v>
      </c>
      <c r="F262" s="13" t="s">
        <v>42</v>
      </c>
      <c r="G262">
        <v>3</v>
      </c>
      <c r="H262">
        <v>2474.0300000000002</v>
      </c>
      <c r="I262">
        <v>2422.23</v>
      </c>
      <c r="J262" s="7">
        <v>0.47835648148148147</v>
      </c>
      <c r="K262" s="7">
        <v>0.50635416666666666</v>
      </c>
      <c r="L262">
        <f t="shared" si="74"/>
        <v>2400</v>
      </c>
      <c r="M262" s="8">
        <v>40</v>
      </c>
      <c r="N262" s="8">
        <f t="shared" si="75"/>
        <v>51.800000000000182</v>
      </c>
      <c r="O262">
        <f t="shared" si="76"/>
        <v>51800.000000000182</v>
      </c>
      <c r="P262" s="2">
        <v>0.84959816303100466</v>
      </c>
      <c r="Q262">
        <v>4004.66</v>
      </c>
      <c r="R262">
        <f t="shared" si="77"/>
        <v>0.40046599999999999</v>
      </c>
      <c r="S262">
        <f t="shared" si="78"/>
        <v>53.895545023381288</v>
      </c>
      <c r="T262">
        <v>32</v>
      </c>
      <c r="U262" s="8">
        <v>57</v>
      </c>
      <c r="V262">
        <f t="shared" si="79"/>
        <v>4.7547753962618131</v>
      </c>
      <c r="W262">
        <f t="shared" si="72"/>
        <v>2.7102219758692332</v>
      </c>
      <c r="X262" s="12">
        <f t="shared" si="73"/>
        <v>2.0445534203925799</v>
      </c>
      <c r="Y262" s="22">
        <v>2.0442999999999999E-2</v>
      </c>
      <c r="Z262" s="22">
        <v>2.1078E-2</v>
      </c>
      <c r="AA262" s="22">
        <v>2.8704E-2</v>
      </c>
      <c r="AB262">
        <v>30.66</v>
      </c>
      <c r="AC262">
        <v>30.37</v>
      </c>
      <c r="AD262">
        <v>30.39</v>
      </c>
    </row>
    <row r="263" spans="1:30" x14ac:dyDescent="0.25">
      <c r="A263">
        <v>4</v>
      </c>
      <c r="B263">
        <v>2</v>
      </c>
      <c r="C263">
        <v>4</v>
      </c>
      <c r="D263">
        <v>1</v>
      </c>
      <c r="E263" t="s">
        <v>26</v>
      </c>
      <c r="F263" s="13" t="s">
        <v>41</v>
      </c>
      <c r="G263">
        <v>3</v>
      </c>
      <c r="H263">
        <v>2394.1999999999998</v>
      </c>
      <c r="I263">
        <v>2354.87</v>
      </c>
      <c r="J263" s="7">
        <v>0.47835648148148147</v>
      </c>
      <c r="K263" s="7">
        <v>0.50635416666666666</v>
      </c>
      <c r="L263">
        <f t="shared" si="74"/>
        <v>2400</v>
      </c>
      <c r="M263" s="8">
        <v>40</v>
      </c>
      <c r="N263" s="8">
        <f t="shared" si="75"/>
        <v>39.329999999999927</v>
      </c>
      <c r="O263">
        <f t="shared" si="76"/>
        <v>39329.999999999927</v>
      </c>
      <c r="P263" s="2">
        <v>0.824701195219121</v>
      </c>
      <c r="Q263">
        <v>3146.27</v>
      </c>
      <c r="R263">
        <f t="shared" si="77"/>
        <v>0.31462699999999999</v>
      </c>
      <c r="S263">
        <f t="shared" si="78"/>
        <v>52.085485352496676</v>
      </c>
      <c r="T263">
        <v>32</v>
      </c>
      <c r="U263" s="8">
        <v>57</v>
      </c>
      <c r="V263">
        <f t="shared" si="79"/>
        <v>4.7547753962618131</v>
      </c>
      <c r="W263">
        <f t="shared" si="72"/>
        <v>2.7102219758692332</v>
      </c>
      <c r="X263" s="12">
        <f t="shared" si="73"/>
        <v>2.0445534203925799</v>
      </c>
      <c r="Y263" s="22">
        <v>6.9514999999999993E-2</v>
      </c>
      <c r="Z263" s="22">
        <v>3.3993000000000002E-2</v>
      </c>
      <c r="AA263" s="22">
        <v>9.4627000000000003E-2</v>
      </c>
      <c r="AB263">
        <v>29.43</v>
      </c>
      <c r="AC263">
        <v>29.91</v>
      </c>
      <c r="AD263">
        <v>29.48</v>
      </c>
    </row>
    <row r="264" spans="1:30" x14ac:dyDescent="0.25">
      <c r="A264">
        <v>1</v>
      </c>
      <c r="B264" s="1">
        <v>2</v>
      </c>
      <c r="C264">
        <v>1</v>
      </c>
      <c r="D264">
        <v>3</v>
      </c>
      <c r="E264" t="s">
        <v>27</v>
      </c>
      <c r="F264" s="13" t="s">
        <v>39</v>
      </c>
      <c r="G264" s="1">
        <v>2</v>
      </c>
      <c r="H264">
        <v>2402.36</v>
      </c>
      <c r="I264">
        <v>2386.17</v>
      </c>
      <c r="J264" s="7">
        <v>0.41741898148148149</v>
      </c>
      <c r="K264" s="7">
        <v>0.44797453703703705</v>
      </c>
      <c r="L264" s="1">
        <f t="shared" si="74"/>
        <v>2640</v>
      </c>
      <c r="M264" s="4">
        <v>44</v>
      </c>
      <c r="N264" s="4">
        <f t="shared" si="75"/>
        <v>16.190000000000055</v>
      </c>
      <c r="O264" s="4">
        <f t="shared" si="76"/>
        <v>16190.000000000055</v>
      </c>
      <c r="P264" s="4">
        <v>0.72600896860987685</v>
      </c>
      <c r="Q264">
        <v>1157</v>
      </c>
      <c r="R264" s="1">
        <f>Q264/10000</f>
        <v>0.1157</v>
      </c>
      <c r="S264" s="5">
        <f t="shared" si="78"/>
        <v>53.004111992876219</v>
      </c>
      <c r="T264" s="4">
        <v>32</v>
      </c>
      <c r="U264" s="8">
        <f>+AVERAGE([1]humidity!$B$23313:$B$23401)</f>
        <v>71.887640449438209</v>
      </c>
      <c r="V264">
        <f t="shared" si="79"/>
        <v>4.7547753962618131</v>
      </c>
      <c r="W264">
        <f t="shared" si="72"/>
        <v>3.4180958410430429</v>
      </c>
      <c r="X264" s="6">
        <f t="shared" si="73"/>
        <v>1.3366795552187702</v>
      </c>
    </row>
    <row r="265" spans="1:30" x14ac:dyDescent="0.25">
      <c r="A265">
        <v>1</v>
      </c>
      <c r="B265" s="1">
        <v>2</v>
      </c>
      <c r="C265">
        <v>1</v>
      </c>
      <c r="D265">
        <v>3</v>
      </c>
      <c r="E265" t="s">
        <v>27</v>
      </c>
      <c r="F265" s="13" t="s">
        <v>39</v>
      </c>
      <c r="G265" s="1">
        <v>3</v>
      </c>
      <c r="H265">
        <v>2369.41</v>
      </c>
      <c r="I265">
        <v>2349.48</v>
      </c>
      <c r="J265" s="7">
        <v>0.47769675925925925</v>
      </c>
      <c r="K265" s="7">
        <v>0.5084143518518518</v>
      </c>
      <c r="L265" s="1">
        <f t="shared" si="74"/>
        <v>2648.4</v>
      </c>
      <c r="M265" s="4">
        <v>44.14</v>
      </c>
      <c r="N265" s="4">
        <f t="shared" si="75"/>
        <v>19.929999999999836</v>
      </c>
      <c r="O265" s="4">
        <f t="shared" si="76"/>
        <v>19929.999999999836</v>
      </c>
      <c r="P265" s="4">
        <v>0.893721973094174</v>
      </c>
      <c r="Q265">
        <v>1157</v>
      </c>
      <c r="R265" s="1">
        <f>Q265/10000</f>
        <v>0.1157</v>
      </c>
      <c r="S265" s="5">
        <f t="shared" si="78"/>
        <v>65.041471852282683</v>
      </c>
      <c r="T265" s="4">
        <v>32</v>
      </c>
      <c r="U265" s="8">
        <f>+AVERAGE([1]humidity!$B$23480:$B$23571)</f>
        <v>55.608695652173914</v>
      </c>
      <c r="V265">
        <f t="shared" si="79"/>
        <v>4.7547753962618131</v>
      </c>
      <c r="W265">
        <f t="shared" si="72"/>
        <v>2.6440685790516776</v>
      </c>
      <c r="X265" s="6">
        <f t="shared" si="73"/>
        <v>2.1107068172101355</v>
      </c>
    </row>
    <row r="266" spans="1:30" x14ac:dyDescent="0.25">
      <c r="A266">
        <v>1</v>
      </c>
      <c r="B266" s="1">
        <v>2</v>
      </c>
      <c r="C266">
        <v>1</v>
      </c>
      <c r="D266">
        <v>3</v>
      </c>
      <c r="E266" t="s">
        <v>27</v>
      </c>
      <c r="F266" s="13" t="s">
        <v>39</v>
      </c>
      <c r="G266" s="1">
        <v>4</v>
      </c>
      <c r="H266">
        <v>2333.21</v>
      </c>
      <c r="I266">
        <v>2312.63</v>
      </c>
      <c r="J266" s="7">
        <v>0.53045138888888888</v>
      </c>
      <c r="K266" s="7">
        <v>0.56327546296296294</v>
      </c>
      <c r="L266" s="1">
        <f t="shared" si="74"/>
        <v>2829.6</v>
      </c>
      <c r="M266" s="4">
        <v>47.16</v>
      </c>
      <c r="N266" s="4">
        <f t="shared" si="75"/>
        <v>20.579999999999927</v>
      </c>
      <c r="O266" s="4">
        <f t="shared" si="76"/>
        <v>20579.999999999927</v>
      </c>
      <c r="P266" s="4">
        <v>0.92286995515695869</v>
      </c>
      <c r="Q266">
        <v>1157</v>
      </c>
      <c r="R266" s="1">
        <f>Q266/10000</f>
        <v>0.1157</v>
      </c>
      <c r="S266" s="5">
        <f t="shared" si="78"/>
        <v>62.861822017838612</v>
      </c>
      <c r="T266" s="4">
        <v>32</v>
      </c>
      <c r="U266" s="8">
        <f>+AVERAGE([1]humidity!$B$23635:$B$23728)</f>
        <v>48.244680851063826</v>
      </c>
      <c r="V266">
        <f t="shared" si="79"/>
        <v>4.7547753962618131</v>
      </c>
      <c r="W266">
        <f t="shared" si="72"/>
        <v>2.293926215111417</v>
      </c>
      <c r="X266" s="6">
        <f t="shared" si="73"/>
        <v>2.4608491811503961</v>
      </c>
    </row>
    <row r="267" spans="1:30" x14ac:dyDescent="0.25">
      <c r="A267">
        <v>1</v>
      </c>
      <c r="B267" s="1">
        <v>2</v>
      </c>
      <c r="C267">
        <v>1</v>
      </c>
      <c r="D267">
        <v>3</v>
      </c>
      <c r="E267" t="s">
        <v>27</v>
      </c>
      <c r="F267" s="13" t="s">
        <v>39</v>
      </c>
      <c r="G267" s="1">
        <v>5</v>
      </c>
      <c r="H267">
        <v>2294.48</v>
      </c>
      <c r="I267">
        <v>2272.77</v>
      </c>
      <c r="J267" s="7">
        <v>0.58910879629629631</v>
      </c>
      <c r="K267" s="7">
        <v>0.61982638888888886</v>
      </c>
      <c r="L267" s="1">
        <f t="shared" si="74"/>
        <v>2648.4</v>
      </c>
      <c r="M267" s="4">
        <f>52.33-8.19</f>
        <v>44.14</v>
      </c>
      <c r="N267" s="4">
        <f t="shared" si="75"/>
        <v>21.710000000000036</v>
      </c>
      <c r="O267" s="4">
        <f t="shared" si="76"/>
        <v>21710.000000000036</v>
      </c>
      <c r="P267" s="4">
        <v>0.9735426008968745</v>
      </c>
      <c r="Q267">
        <v>1157</v>
      </c>
      <c r="R267" s="1">
        <f>Q267/10000</f>
        <v>0.1157</v>
      </c>
      <c r="S267" s="5">
        <f t="shared" si="78"/>
        <v>70.850494426145062</v>
      </c>
      <c r="T267" s="4">
        <v>32</v>
      </c>
      <c r="U267" s="8">
        <f>+AVERAGE([1]humidity!$B$23800:$B$23885)</f>
        <v>34.860465116279073</v>
      </c>
      <c r="V267">
        <f t="shared" si="79"/>
        <v>4.7547753962618131</v>
      </c>
      <c r="W267">
        <f t="shared" si="72"/>
        <v>1.6575368183712693</v>
      </c>
      <c r="X267" s="6">
        <f t="shared" si="73"/>
        <v>3.0972385778905438</v>
      </c>
    </row>
    <row r="268" spans="1:30" x14ac:dyDescent="0.25">
      <c r="A268">
        <v>1</v>
      </c>
      <c r="B268" s="1">
        <v>2</v>
      </c>
      <c r="C268">
        <v>1</v>
      </c>
      <c r="D268">
        <v>3</v>
      </c>
      <c r="E268" t="s">
        <v>27</v>
      </c>
      <c r="F268" s="13" t="s">
        <v>39</v>
      </c>
      <c r="G268" s="1">
        <v>6</v>
      </c>
      <c r="H268">
        <v>2251.4499999999998</v>
      </c>
      <c r="I268">
        <v>2229.15</v>
      </c>
      <c r="J268" s="7">
        <v>0.64884259259259258</v>
      </c>
      <c r="K268" s="7">
        <v>0.68104166666666666</v>
      </c>
      <c r="L268" s="1">
        <f t="shared" si="74"/>
        <v>2748</v>
      </c>
      <c r="M268" s="4">
        <f>+(60-34.2)+20</f>
        <v>45.8</v>
      </c>
      <c r="N268" s="4">
        <f t="shared" si="75"/>
        <v>22.299999999999727</v>
      </c>
      <c r="O268" s="4">
        <f t="shared" si="76"/>
        <v>22299.999999999727</v>
      </c>
      <c r="P268" s="4">
        <v>1</v>
      </c>
      <c r="Q268">
        <v>1157</v>
      </c>
      <c r="R268" s="1">
        <f>Q268/10000</f>
        <v>0.1157</v>
      </c>
      <c r="S268" s="5">
        <f t="shared" si="78"/>
        <v>70.138225773375297</v>
      </c>
      <c r="T268" s="4">
        <v>32</v>
      </c>
      <c r="U268" s="8">
        <f>+AVERAGE([1]humidity!$B$23968:$B$24060)</f>
        <v>19.892473118279568</v>
      </c>
      <c r="V268">
        <f t="shared" si="79"/>
        <v>4.7547753962618131</v>
      </c>
      <c r="W268">
        <f t="shared" si="72"/>
        <v>0.945842417535952</v>
      </c>
      <c r="X268" s="6">
        <f t="shared" si="73"/>
        <v>3.8089329787258612</v>
      </c>
    </row>
    <row r="269" spans="1:30" x14ac:dyDescent="0.25">
      <c r="A269">
        <v>2</v>
      </c>
      <c r="B269">
        <v>1</v>
      </c>
      <c r="C269">
        <v>4</v>
      </c>
      <c r="D269">
        <v>3</v>
      </c>
      <c r="E269" t="s">
        <v>27</v>
      </c>
      <c r="F269" s="13" t="s">
        <v>39</v>
      </c>
      <c r="G269">
        <v>1</v>
      </c>
      <c r="H269">
        <v>2832.69</v>
      </c>
      <c r="I269">
        <v>2822.58</v>
      </c>
      <c r="J269" s="11">
        <v>0.49791666666666667</v>
      </c>
      <c r="K269" s="7">
        <v>0.53189814814814818</v>
      </c>
      <c r="L269">
        <f t="shared" ref="L269:L280" si="80">+M269*60</f>
        <v>2880</v>
      </c>
      <c r="M269">
        <v>48</v>
      </c>
      <c r="N269">
        <f t="shared" ref="N269:N280" si="81">+H269-I269</f>
        <v>10.110000000000127</v>
      </c>
      <c r="O269">
        <f t="shared" ref="O269:O280" si="82">+N269*1000</f>
        <v>10110.000000000127</v>
      </c>
      <c r="P269" s="2">
        <v>0.72111269614836948</v>
      </c>
      <c r="Q269">
        <v>793.6</v>
      </c>
      <c r="R269" s="1">
        <v>7.936E-2</v>
      </c>
      <c r="S269" s="5">
        <v>44.234080981183354</v>
      </c>
      <c r="T269" s="4">
        <v>32</v>
      </c>
      <c r="U269" s="8">
        <v>77.865979381443296</v>
      </c>
      <c r="V269">
        <v>4.7547753962618131</v>
      </c>
      <c r="W269">
        <v>3.7023524296871622</v>
      </c>
      <c r="X269" s="6">
        <v>1.052422966574651</v>
      </c>
    </row>
    <row r="270" spans="1:30" x14ac:dyDescent="0.25">
      <c r="A270">
        <v>2</v>
      </c>
      <c r="B270">
        <v>1</v>
      </c>
      <c r="C270">
        <v>4</v>
      </c>
      <c r="D270">
        <v>3</v>
      </c>
      <c r="E270" t="s">
        <v>27</v>
      </c>
      <c r="F270" s="13" t="s">
        <v>39</v>
      </c>
      <c r="G270">
        <v>2</v>
      </c>
      <c r="H270">
        <v>2814.81</v>
      </c>
      <c r="I270">
        <v>2802.97</v>
      </c>
      <c r="J270" s="7">
        <v>0.55482638888888891</v>
      </c>
      <c r="K270" s="7">
        <v>0.58539351851851851</v>
      </c>
      <c r="L270">
        <f t="shared" si="80"/>
        <v>2640</v>
      </c>
      <c r="M270">
        <v>44</v>
      </c>
      <c r="N270">
        <f t="shared" si="81"/>
        <v>11.840000000000146</v>
      </c>
      <c r="O270">
        <f t="shared" si="82"/>
        <v>11840.000000000146</v>
      </c>
      <c r="P270" s="2">
        <v>0.84450784593439099</v>
      </c>
      <c r="Q270">
        <v>793.6</v>
      </c>
      <c r="R270" s="1">
        <v>7.936E-2</v>
      </c>
      <c r="S270" s="5">
        <v>56.512707722385834</v>
      </c>
      <c r="T270" s="4">
        <v>32</v>
      </c>
      <c r="U270" s="8">
        <v>66.811764705882354</v>
      </c>
      <c r="V270">
        <v>4.7547753962618131</v>
      </c>
      <c r="W270">
        <v>3.1767493500436275</v>
      </c>
      <c r="X270" s="6">
        <v>1.5780260462181857</v>
      </c>
    </row>
    <row r="271" spans="1:30" x14ac:dyDescent="0.25">
      <c r="A271">
        <v>2</v>
      </c>
      <c r="B271">
        <v>1</v>
      </c>
      <c r="C271">
        <v>4</v>
      </c>
      <c r="D271">
        <v>3</v>
      </c>
      <c r="E271" t="s">
        <v>27</v>
      </c>
      <c r="F271" s="13" t="s">
        <v>39</v>
      </c>
      <c r="G271">
        <v>3</v>
      </c>
      <c r="H271">
        <v>2794.53</v>
      </c>
      <c r="I271">
        <v>2781.88</v>
      </c>
      <c r="J271" s="7">
        <v>0.60451388888888891</v>
      </c>
      <c r="K271" s="7">
        <v>0.63587962962962963</v>
      </c>
      <c r="L271">
        <f t="shared" si="80"/>
        <v>2700</v>
      </c>
      <c r="M271">
        <v>45</v>
      </c>
      <c r="N271">
        <f t="shared" si="81"/>
        <v>12.650000000000091</v>
      </c>
      <c r="O271">
        <f t="shared" si="82"/>
        <v>12650.000000000091</v>
      </c>
      <c r="P271" s="2">
        <v>0.90228245363766812</v>
      </c>
      <c r="Q271">
        <v>793.6</v>
      </c>
      <c r="R271">
        <v>7.936E-2</v>
      </c>
      <c r="S271">
        <v>59.037111708483103</v>
      </c>
      <c r="T271">
        <v>32</v>
      </c>
      <c r="U271" s="8">
        <v>56</v>
      </c>
      <c r="V271">
        <v>4.7547753962618131</v>
      </c>
      <c r="W271">
        <v>2.6626742219066157</v>
      </c>
      <c r="X271" s="12">
        <v>2.0921011743551974</v>
      </c>
    </row>
    <row r="272" spans="1:30" x14ac:dyDescent="0.25">
      <c r="A272">
        <v>2</v>
      </c>
      <c r="B272">
        <v>1</v>
      </c>
      <c r="C272">
        <v>4</v>
      </c>
      <c r="D272">
        <v>3</v>
      </c>
      <c r="E272" t="s">
        <v>27</v>
      </c>
      <c r="F272" s="13" t="s">
        <v>39</v>
      </c>
      <c r="G272">
        <v>4</v>
      </c>
      <c r="H272">
        <v>2774.64</v>
      </c>
      <c r="I272">
        <v>2762.12</v>
      </c>
      <c r="J272" s="7">
        <v>0.65231481481481479</v>
      </c>
      <c r="K272" s="7">
        <v>0.68402777777777779</v>
      </c>
      <c r="L272">
        <f t="shared" si="80"/>
        <v>2700</v>
      </c>
      <c r="M272">
        <v>45</v>
      </c>
      <c r="N272">
        <f t="shared" si="81"/>
        <v>12.519999999999982</v>
      </c>
      <c r="O272">
        <f t="shared" si="82"/>
        <v>12519.999999999982</v>
      </c>
      <c r="P272" s="2">
        <v>0.89300998573466461</v>
      </c>
      <c r="Q272">
        <v>793.6</v>
      </c>
      <c r="R272">
        <v>7.936E-2</v>
      </c>
      <c r="S272">
        <v>58.430406212664195</v>
      </c>
      <c r="T272">
        <v>32</v>
      </c>
      <c r="U272" s="8">
        <v>47.103448275862071</v>
      </c>
      <c r="V272">
        <v>4.7547753962618131</v>
      </c>
      <c r="W272">
        <v>2.2396631694115987</v>
      </c>
      <c r="X272" s="12">
        <v>2.5151122268502144</v>
      </c>
    </row>
    <row r="273" spans="1:30" x14ac:dyDescent="0.25">
      <c r="A273">
        <v>2</v>
      </c>
      <c r="B273">
        <v>1</v>
      </c>
      <c r="C273">
        <v>4</v>
      </c>
      <c r="D273">
        <v>3</v>
      </c>
      <c r="E273" t="s">
        <v>27</v>
      </c>
      <c r="F273" s="13" t="s">
        <v>39</v>
      </c>
      <c r="G273">
        <v>5</v>
      </c>
      <c r="H273">
        <v>2754.64</v>
      </c>
      <c r="I273">
        <v>2741.77</v>
      </c>
      <c r="J273" s="7">
        <v>0.70046296296296295</v>
      </c>
      <c r="K273" s="7">
        <v>0.73293981481481485</v>
      </c>
      <c r="L273">
        <f t="shared" si="80"/>
        <v>2760</v>
      </c>
      <c r="M273">
        <v>46</v>
      </c>
      <c r="N273">
        <f t="shared" si="81"/>
        <v>12.869999999999891</v>
      </c>
      <c r="O273">
        <f t="shared" si="82"/>
        <v>12869.999999999891</v>
      </c>
      <c r="P273" s="2">
        <v>0.91797432239656973</v>
      </c>
      <c r="Q273">
        <v>793.6</v>
      </c>
      <c r="R273">
        <v>7.936E-2</v>
      </c>
      <c r="S273">
        <v>58.758108345020538</v>
      </c>
      <c r="T273">
        <v>32</v>
      </c>
      <c r="U273" s="8">
        <v>38.567010309278352</v>
      </c>
      <c r="V273">
        <v>4.7547753962618131</v>
      </c>
      <c r="W273">
        <v>1.8337747172593242</v>
      </c>
      <c r="X273" s="12">
        <v>2.9210006790024892</v>
      </c>
    </row>
    <row r="274" spans="1:30" x14ac:dyDescent="0.25">
      <c r="A274">
        <v>2</v>
      </c>
      <c r="B274">
        <v>1</v>
      </c>
      <c r="C274">
        <v>4</v>
      </c>
      <c r="D274">
        <v>3</v>
      </c>
      <c r="E274" t="s">
        <v>27</v>
      </c>
      <c r="F274" s="13" t="s">
        <v>39</v>
      </c>
      <c r="G274">
        <v>6</v>
      </c>
      <c r="H274">
        <v>2737.14</v>
      </c>
      <c r="I274">
        <v>2723.12</v>
      </c>
      <c r="J274" s="7">
        <v>0.74305555555555558</v>
      </c>
      <c r="K274" s="7">
        <v>0.77496527777777779</v>
      </c>
      <c r="L274">
        <f t="shared" si="80"/>
        <v>2700</v>
      </c>
      <c r="M274">
        <v>45</v>
      </c>
      <c r="N274">
        <f t="shared" si="81"/>
        <v>14.019999999999982</v>
      </c>
      <c r="O274">
        <f t="shared" si="82"/>
        <v>14019.999999999982</v>
      </c>
      <c r="P274" s="2">
        <v>1</v>
      </c>
      <c r="Q274">
        <v>793.6</v>
      </c>
      <c r="R274">
        <v>7.936E-2</v>
      </c>
      <c r="S274">
        <v>65.430854241338025</v>
      </c>
      <c r="T274">
        <v>32</v>
      </c>
      <c r="U274" s="8">
        <v>23.483146067415731</v>
      </c>
      <c r="V274">
        <v>4.7547753962618131</v>
      </c>
      <c r="W274">
        <v>1.1165708514817068</v>
      </c>
      <c r="X274" s="12">
        <v>3.6382045447801064</v>
      </c>
    </row>
    <row r="275" spans="1:30" x14ac:dyDescent="0.25">
      <c r="A275">
        <v>2</v>
      </c>
      <c r="B275">
        <v>2</v>
      </c>
      <c r="C275">
        <v>1</v>
      </c>
      <c r="D275">
        <v>4</v>
      </c>
      <c r="E275" t="s">
        <v>26</v>
      </c>
      <c r="F275" s="13" t="s">
        <v>41</v>
      </c>
      <c r="G275">
        <v>3</v>
      </c>
      <c r="H275">
        <v>3150.82</v>
      </c>
      <c r="I275">
        <v>3137.28</v>
      </c>
      <c r="J275" s="7">
        <v>0.47721064814814818</v>
      </c>
      <c r="K275" s="7">
        <v>0.50815972222222228</v>
      </c>
      <c r="L275">
        <f t="shared" si="80"/>
        <v>2640</v>
      </c>
      <c r="M275">
        <v>44</v>
      </c>
      <c r="N275">
        <f t="shared" si="81"/>
        <v>13.539999999999964</v>
      </c>
      <c r="O275">
        <f t="shared" si="82"/>
        <v>13539.999999999964</v>
      </c>
      <c r="P275" s="2">
        <v>0.8347718865597874</v>
      </c>
      <c r="Q275">
        <v>767.27</v>
      </c>
      <c r="R275">
        <v>7.6727000000000004E-2</v>
      </c>
      <c r="S275">
        <v>66.844629384543452</v>
      </c>
      <c r="T275">
        <v>32</v>
      </c>
      <c r="U275" s="8">
        <v>56.378048780487802</v>
      </c>
      <c r="V275">
        <v>4.7547753962618131</v>
      </c>
      <c r="W275">
        <v>2.680649592307117</v>
      </c>
      <c r="X275" s="12">
        <v>2.0741258039546961</v>
      </c>
    </row>
    <row r="276" spans="1:30" x14ac:dyDescent="0.25">
      <c r="A276">
        <v>2</v>
      </c>
      <c r="B276">
        <v>2</v>
      </c>
      <c r="C276">
        <v>1</v>
      </c>
      <c r="D276">
        <v>3</v>
      </c>
      <c r="E276" t="s">
        <v>29</v>
      </c>
      <c r="F276" s="13" t="s">
        <v>42</v>
      </c>
      <c r="G276">
        <v>3</v>
      </c>
      <c r="H276">
        <v>3208.55</v>
      </c>
      <c r="I276">
        <v>3193.25</v>
      </c>
      <c r="J276" s="7">
        <v>0.47721064814814818</v>
      </c>
      <c r="K276" s="7">
        <v>0.50815972222222228</v>
      </c>
      <c r="L276">
        <f t="shared" si="80"/>
        <v>2640</v>
      </c>
      <c r="M276">
        <v>44</v>
      </c>
      <c r="N276">
        <f t="shared" si="81"/>
        <v>15.300000000000182</v>
      </c>
      <c r="O276">
        <f t="shared" si="82"/>
        <v>15300.000000000182</v>
      </c>
      <c r="P276" s="2">
        <v>0.7943925233644864</v>
      </c>
      <c r="Q276">
        <v>874.77</v>
      </c>
      <c r="R276">
        <v>8.7476999999999999E-2</v>
      </c>
      <c r="S276">
        <v>66.251180829870876</v>
      </c>
      <c r="T276">
        <v>32</v>
      </c>
      <c r="U276" s="8">
        <v>56.378048780487802</v>
      </c>
      <c r="V276">
        <v>4.7547753962618131</v>
      </c>
      <c r="W276">
        <v>2.680649592307117</v>
      </c>
      <c r="X276" s="12">
        <v>2.0741258039546961</v>
      </c>
    </row>
    <row r="277" spans="1:30" x14ac:dyDescent="0.25">
      <c r="A277">
        <v>2</v>
      </c>
      <c r="B277">
        <v>2</v>
      </c>
      <c r="C277">
        <v>4</v>
      </c>
      <c r="D277">
        <v>1</v>
      </c>
      <c r="E277" t="s">
        <v>30</v>
      </c>
      <c r="F277" s="13" t="s">
        <v>39</v>
      </c>
      <c r="G277">
        <v>3</v>
      </c>
      <c r="H277">
        <v>3036.6</v>
      </c>
      <c r="I277">
        <v>3015.66</v>
      </c>
      <c r="J277" s="7">
        <v>0.47721064814814818</v>
      </c>
      <c r="K277" s="7">
        <v>0.50815972222222228</v>
      </c>
      <c r="L277">
        <f t="shared" si="80"/>
        <v>2640</v>
      </c>
      <c r="M277">
        <v>44</v>
      </c>
      <c r="N277">
        <f t="shared" si="81"/>
        <v>20.940000000000055</v>
      </c>
      <c r="O277">
        <f t="shared" si="82"/>
        <v>20940.000000000055</v>
      </c>
      <c r="P277" s="2">
        <v>0.82668772206869778</v>
      </c>
      <c r="Q277">
        <v>849</v>
      </c>
      <c r="R277">
        <v>8.4900000000000003E-2</v>
      </c>
      <c r="S277">
        <v>93.425420280544202</v>
      </c>
      <c r="T277">
        <v>32</v>
      </c>
      <c r="U277" s="8">
        <v>56.378048780487802</v>
      </c>
      <c r="V277">
        <v>4.7547753962618131</v>
      </c>
      <c r="W277">
        <v>2.680649592307117</v>
      </c>
      <c r="X277" s="12">
        <v>2.0741258039546961</v>
      </c>
    </row>
    <row r="278" spans="1:30" x14ac:dyDescent="0.25">
      <c r="A278">
        <v>2</v>
      </c>
      <c r="B278">
        <v>2</v>
      </c>
      <c r="C278">
        <v>1</v>
      </c>
      <c r="D278">
        <v>5</v>
      </c>
      <c r="E278" t="s">
        <v>33</v>
      </c>
      <c r="F278" t="s">
        <v>38</v>
      </c>
      <c r="G278">
        <v>4</v>
      </c>
      <c r="H278">
        <v>1884.01</v>
      </c>
      <c r="I278">
        <v>1848.85</v>
      </c>
      <c r="J278" s="7">
        <v>0.54025462962962967</v>
      </c>
      <c r="K278" s="7">
        <v>0.5715972222222222</v>
      </c>
      <c r="L278">
        <f t="shared" si="80"/>
        <v>2700</v>
      </c>
      <c r="M278">
        <v>45</v>
      </c>
      <c r="N278">
        <f t="shared" si="81"/>
        <v>35.160000000000082</v>
      </c>
      <c r="O278">
        <f t="shared" si="82"/>
        <v>35160.00000000008</v>
      </c>
      <c r="P278" s="2">
        <v>0.94035838459482823</v>
      </c>
      <c r="Q278">
        <v>1635</v>
      </c>
      <c r="R278">
        <v>0.16350000000000001</v>
      </c>
      <c r="S278">
        <v>79.646619096160549</v>
      </c>
      <c r="T278">
        <v>32</v>
      </c>
      <c r="U278" s="8">
        <v>46.093023255813954</v>
      </c>
      <c r="V278">
        <v>4.7547753962618131</v>
      </c>
      <c r="W278">
        <v>2.1916197291606774</v>
      </c>
      <c r="X278" s="12">
        <v>2.5631556671011357</v>
      </c>
    </row>
    <row r="279" spans="1:30" x14ac:dyDescent="0.25">
      <c r="A279">
        <v>2</v>
      </c>
      <c r="B279">
        <v>2</v>
      </c>
      <c r="C279">
        <v>4</v>
      </c>
      <c r="D279">
        <v>4</v>
      </c>
      <c r="E279" t="s">
        <v>28</v>
      </c>
      <c r="F279" s="20" t="s">
        <v>40</v>
      </c>
      <c r="G279">
        <v>4</v>
      </c>
      <c r="H279">
        <v>3017.04</v>
      </c>
      <c r="I279">
        <v>3001.13</v>
      </c>
      <c r="J279" s="7">
        <v>0.54025462962962967</v>
      </c>
      <c r="K279" s="7">
        <v>0.5715972222222222</v>
      </c>
      <c r="L279">
        <f t="shared" si="80"/>
        <v>2700</v>
      </c>
      <c r="M279">
        <v>45</v>
      </c>
      <c r="N279">
        <f t="shared" si="81"/>
        <v>15.909999999999854</v>
      </c>
      <c r="O279">
        <f t="shared" si="82"/>
        <v>15909.999999999854</v>
      </c>
      <c r="P279" s="2">
        <v>0.88241819190236703</v>
      </c>
      <c r="Q279">
        <v>914</v>
      </c>
      <c r="R279">
        <v>9.1399999999999995E-2</v>
      </c>
      <c r="S279">
        <v>64.470378474754256</v>
      </c>
      <c r="T279">
        <v>32</v>
      </c>
      <c r="U279" s="8">
        <v>46.093023255813954</v>
      </c>
      <c r="V279">
        <v>4.7547753962618131</v>
      </c>
      <c r="W279">
        <v>2.1916197291606774</v>
      </c>
      <c r="X279" s="12">
        <v>2.5631556671011357</v>
      </c>
    </row>
    <row r="280" spans="1:30" x14ac:dyDescent="0.25">
      <c r="A280">
        <v>2</v>
      </c>
      <c r="B280">
        <v>2</v>
      </c>
      <c r="C280">
        <v>1</v>
      </c>
      <c r="D280">
        <v>2</v>
      </c>
      <c r="E280" t="s">
        <v>25</v>
      </c>
      <c r="F280" s="13" t="s">
        <v>41</v>
      </c>
      <c r="G280">
        <v>4</v>
      </c>
      <c r="H280">
        <v>3077.22</v>
      </c>
      <c r="I280">
        <v>3060.25</v>
      </c>
      <c r="J280" s="7">
        <v>0.54025462962962967</v>
      </c>
      <c r="K280" s="7">
        <v>0.5715972222222222</v>
      </c>
      <c r="L280">
        <f t="shared" si="80"/>
        <v>2700</v>
      </c>
      <c r="M280">
        <v>45</v>
      </c>
      <c r="N280">
        <f t="shared" si="81"/>
        <v>16.9699999999998</v>
      </c>
      <c r="O280">
        <f t="shared" si="82"/>
        <v>16969.9999999998</v>
      </c>
      <c r="P280" s="2">
        <v>0.85793731041454135</v>
      </c>
      <c r="Q280">
        <v>915.55</v>
      </c>
      <c r="R280">
        <v>9.1554999999999997E-2</v>
      </c>
      <c r="S280">
        <v>68.649283875103606</v>
      </c>
      <c r="T280">
        <v>32</v>
      </c>
      <c r="U280" s="8">
        <v>46.093023255813954</v>
      </c>
      <c r="V280">
        <v>4.7547753962618131</v>
      </c>
      <c r="W280">
        <v>2.1916197291606774</v>
      </c>
      <c r="X280" s="12">
        <v>2.5631556671011357</v>
      </c>
    </row>
    <row r="281" spans="1:30" x14ac:dyDescent="0.25">
      <c r="A281">
        <v>3</v>
      </c>
      <c r="B281">
        <v>2</v>
      </c>
      <c r="C281">
        <v>4</v>
      </c>
      <c r="D281">
        <v>2</v>
      </c>
      <c r="E281" t="s">
        <v>27</v>
      </c>
      <c r="F281" s="13" t="s">
        <v>39</v>
      </c>
      <c r="G281">
        <v>2</v>
      </c>
      <c r="H281">
        <v>2451.0500000000002</v>
      </c>
      <c r="I281">
        <v>2443.88</v>
      </c>
      <c r="J281">
        <v>0.375</v>
      </c>
      <c r="K281">
        <v>0.40574074074074074</v>
      </c>
      <c r="L281">
        <v>2642.5000000000018</v>
      </c>
      <c r="M281" s="8">
        <v>44.0416666666667</v>
      </c>
      <c r="N281">
        <v>7.1700000000000728</v>
      </c>
      <c r="O281">
        <v>7170.0000000000728</v>
      </c>
      <c r="P281" s="2">
        <v>0.60000000000001519</v>
      </c>
      <c r="Q281">
        <v>661.3</v>
      </c>
      <c r="R281">
        <v>6.6129999999999994E-2</v>
      </c>
      <c r="S281">
        <v>41.030389240767946</v>
      </c>
      <c r="T281">
        <v>32</v>
      </c>
      <c r="U281" s="8">
        <v>68</v>
      </c>
      <c r="V281">
        <v>4.7547753962618131</v>
      </c>
      <c r="W281">
        <f t="shared" ref="W281:W290" si="83">V281*(U281/100)</f>
        <v>3.2332472694580332</v>
      </c>
      <c r="X281" s="12">
        <f t="shared" ref="X281:X290" si="84">V281-W281</f>
        <v>1.5215281268037799</v>
      </c>
    </row>
    <row r="282" spans="1:30" x14ac:dyDescent="0.25">
      <c r="A282">
        <v>3</v>
      </c>
      <c r="B282">
        <v>2</v>
      </c>
      <c r="C282">
        <v>4</v>
      </c>
      <c r="D282">
        <v>2</v>
      </c>
      <c r="E282" t="s">
        <v>27</v>
      </c>
      <c r="F282" s="13" t="s">
        <v>39</v>
      </c>
      <c r="G282">
        <v>3</v>
      </c>
      <c r="H282">
        <v>2438.81</v>
      </c>
      <c r="I282">
        <v>2431.9299999999998</v>
      </c>
      <c r="J282">
        <v>0.42790509259259257</v>
      </c>
      <c r="K282">
        <v>0.45833333333333331</v>
      </c>
      <c r="L282">
        <v>2582.5000000000018</v>
      </c>
      <c r="M282" s="8">
        <v>43.0416666666667</v>
      </c>
      <c r="N282">
        <v>6.8800000000001091</v>
      </c>
      <c r="O282">
        <v>6880.0000000001091</v>
      </c>
      <c r="P282" s="2">
        <v>0.57573221757323967</v>
      </c>
      <c r="Q282">
        <v>661.3</v>
      </c>
      <c r="R282">
        <v>6.6129999999999994E-2</v>
      </c>
      <c r="S282">
        <v>40.2855767241889</v>
      </c>
      <c r="T282">
        <v>32</v>
      </c>
      <c r="U282" s="8">
        <v>57</v>
      </c>
      <c r="V282">
        <v>4.7547753962618131</v>
      </c>
      <c r="W282">
        <f t="shared" si="83"/>
        <v>2.7102219758692332</v>
      </c>
      <c r="X282" s="12">
        <f t="shared" si="84"/>
        <v>2.0445534203925799</v>
      </c>
    </row>
    <row r="283" spans="1:30" x14ac:dyDescent="0.25">
      <c r="A283">
        <v>3</v>
      </c>
      <c r="B283">
        <v>2</v>
      </c>
      <c r="C283">
        <v>4</v>
      </c>
      <c r="D283">
        <v>2</v>
      </c>
      <c r="E283" t="s">
        <v>27</v>
      </c>
      <c r="F283" s="13" t="s">
        <v>39</v>
      </c>
      <c r="G283">
        <v>4</v>
      </c>
      <c r="H283">
        <v>2427.04</v>
      </c>
      <c r="I283">
        <v>2418.04</v>
      </c>
      <c r="J283">
        <v>0.47795138888888888</v>
      </c>
      <c r="K283">
        <v>0.50929398148148153</v>
      </c>
      <c r="L283">
        <v>2702.5000000000018</v>
      </c>
      <c r="M283" s="8">
        <v>45.0416666666667</v>
      </c>
      <c r="N283">
        <v>9</v>
      </c>
      <c r="O283">
        <v>9000</v>
      </c>
      <c r="P283" s="2">
        <v>0.75313807531381904</v>
      </c>
      <c r="Q283">
        <v>661.3</v>
      </c>
      <c r="R283">
        <v>6.6129999999999994E-2</v>
      </c>
      <c r="S283">
        <v>50.359137588577852</v>
      </c>
      <c r="T283">
        <v>32</v>
      </c>
      <c r="U283" s="8">
        <v>47</v>
      </c>
      <c r="V283">
        <v>4.7547753962618131</v>
      </c>
      <c r="W283">
        <f t="shared" si="83"/>
        <v>2.234744436243052</v>
      </c>
      <c r="X283" s="12">
        <f t="shared" si="84"/>
        <v>2.5200309600187611</v>
      </c>
    </row>
    <row r="284" spans="1:30" x14ac:dyDescent="0.25">
      <c r="A284">
        <v>3</v>
      </c>
      <c r="B284">
        <v>2</v>
      </c>
      <c r="C284">
        <v>1</v>
      </c>
      <c r="D284">
        <v>4</v>
      </c>
      <c r="E284" t="s">
        <v>23</v>
      </c>
      <c r="F284" s="13" t="s">
        <v>39</v>
      </c>
      <c r="G284">
        <v>6</v>
      </c>
      <c r="H284">
        <v>2543.33</v>
      </c>
      <c r="I284">
        <v>2532.87</v>
      </c>
      <c r="J284">
        <v>0.59027777777777779</v>
      </c>
      <c r="K284">
        <v>0.62239583333333337</v>
      </c>
      <c r="L284">
        <v>2767.5</v>
      </c>
      <c r="M284" s="8">
        <v>46.125</v>
      </c>
      <c r="N284">
        <v>10.460000000000036</v>
      </c>
      <c r="O284">
        <v>10460.000000000036</v>
      </c>
      <c r="P284" s="2">
        <v>1</v>
      </c>
      <c r="Q284">
        <v>640.79999999999995</v>
      </c>
      <c r="R284">
        <v>6.4079999999999998E-2</v>
      </c>
      <c r="S284">
        <v>58.982279377517244</v>
      </c>
      <c r="T284">
        <v>32</v>
      </c>
      <c r="U284" s="8">
        <v>24</v>
      </c>
      <c r="V284">
        <v>4.7547753962618131</v>
      </c>
      <c r="W284">
        <f t="shared" si="83"/>
        <v>1.1411460951028352</v>
      </c>
      <c r="X284" s="12">
        <f t="shared" si="84"/>
        <v>3.6136293011589782</v>
      </c>
      <c r="Y284" s="22">
        <v>8.5806999999999994E-2</v>
      </c>
      <c r="Z284" s="22">
        <v>6.1492999999999999E-2</v>
      </c>
      <c r="AA284" s="22">
        <v>9.2428999999999997E-2</v>
      </c>
      <c r="AB284">
        <v>27.57</v>
      </c>
      <c r="AC284">
        <v>27.99</v>
      </c>
      <c r="AD284">
        <v>27.63</v>
      </c>
    </row>
    <row r="285" spans="1:30" x14ac:dyDescent="0.25">
      <c r="A285">
        <v>3</v>
      </c>
      <c r="B285">
        <v>2</v>
      </c>
      <c r="C285">
        <v>1</v>
      </c>
      <c r="D285">
        <v>1</v>
      </c>
      <c r="E285" t="s">
        <v>28</v>
      </c>
      <c r="F285" s="20" t="s">
        <v>40</v>
      </c>
      <c r="G285">
        <v>6</v>
      </c>
      <c r="H285">
        <v>2211.7199999999998</v>
      </c>
      <c r="I285">
        <v>2197.7399999999998</v>
      </c>
      <c r="J285">
        <v>0.59027777777777779</v>
      </c>
      <c r="K285">
        <v>0.62239583333333337</v>
      </c>
      <c r="L285">
        <v>2760</v>
      </c>
      <c r="M285" s="8">
        <v>46</v>
      </c>
      <c r="N285">
        <v>13.980000000000018</v>
      </c>
      <c r="O285">
        <v>13980.000000000018</v>
      </c>
      <c r="P285">
        <v>1</v>
      </c>
      <c r="Q285">
        <v>824.25</v>
      </c>
      <c r="R285">
        <v>8.2424999999999998E-2</v>
      </c>
      <c r="S285">
        <v>61.4524402948663</v>
      </c>
      <c r="T285">
        <v>32</v>
      </c>
      <c r="U285" s="8">
        <v>24</v>
      </c>
      <c r="V285">
        <v>4.7547753962618131</v>
      </c>
      <c r="W285">
        <f t="shared" si="83"/>
        <v>1.1411460951028352</v>
      </c>
      <c r="X285" s="12">
        <f t="shared" si="84"/>
        <v>3.6136293011589782</v>
      </c>
      <c r="Y285" s="22">
        <v>0.10508199999999999</v>
      </c>
      <c r="Z285" s="22">
        <v>8.9621000000000006E-2</v>
      </c>
      <c r="AA285" s="22">
        <v>9.8294000000000006E-2</v>
      </c>
      <c r="AB285">
        <v>27.22</v>
      </c>
      <c r="AC285">
        <v>27.28</v>
      </c>
      <c r="AD285">
        <v>27.2</v>
      </c>
    </row>
    <row r="286" spans="1:30" x14ac:dyDescent="0.25">
      <c r="A286">
        <v>1</v>
      </c>
      <c r="B286" s="1">
        <v>1</v>
      </c>
      <c r="C286" s="1">
        <v>4</v>
      </c>
      <c r="D286" s="1">
        <v>4</v>
      </c>
      <c r="E286" t="s">
        <v>32</v>
      </c>
      <c r="F286" s="13" t="s">
        <v>42</v>
      </c>
      <c r="G286" s="1">
        <v>2</v>
      </c>
      <c r="H286">
        <v>2665.9</v>
      </c>
      <c r="I286">
        <v>2655.31</v>
      </c>
      <c r="J286" s="7">
        <v>0.35893518518518519</v>
      </c>
      <c r="K286" s="7">
        <v>0.38979166666666665</v>
      </c>
      <c r="L286" s="1">
        <f>M286*60</f>
        <v>2655.6</v>
      </c>
      <c r="M286" s="1">
        <v>44.26</v>
      </c>
      <c r="N286" s="4">
        <f>H286-I286</f>
        <v>10.590000000000146</v>
      </c>
      <c r="O286" s="4">
        <f>N286*1000</f>
        <v>10590.000000000146</v>
      </c>
      <c r="P286" s="4">
        <v>0.59796725014117014</v>
      </c>
      <c r="Q286">
        <v>933.58</v>
      </c>
      <c r="R286" s="1">
        <f>Q286/10000</f>
        <v>9.335800000000001E-2</v>
      </c>
      <c r="S286" s="5">
        <f>O286/(R286*L286)</f>
        <v>42.71513279391867</v>
      </c>
      <c r="T286" s="4">
        <v>32</v>
      </c>
      <c r="U286">
        <v>71</v>
      </c>
      <c r="V286">
        <f>0.6108*EXP((17.27*T286)/(T286+237.3))</f>
        <v>4.7547753962618131</v>
      </c>
      <c r="W286">
        <f t="shared" si="83"/>
        <v>3.3758905313458873</v>
      </c>
      <c r="X286" s="6">
        <f t="shared" si="84"/>
        <v>1.3788848649159258</v>
      </c>
    </row>
    <row r="287" spans="1:30" x14ac:dyDescent="0.25">
      <c r="A287">
        <v>1</v>
      </c>
      <c r="B287" s="1">
        <v>1</v>
      </c>
      <c r="C287" s="1">
        <v>4</v>
      </c>
      <c r="D287" s="1">
        <v>4</v>
      </c>
      <c r="E287" t="s">
        <v>32</v>
      </c>
      <c r="F287" s="13" t="s">
        <v>42</v>
      </c>
      <c r="G287" s="1">
        <v>3</v>
      </c>
      <c r="H287">
        <v>2640.94</v>
      </c>
      <c r="I287">
        <v>2626.74</v>
      </c>
      <c r="J287" s="7">
        <v>0.41251157407407407</v>
      </c>
      <c r="K287" s="7">
        <v>0.44452546296296297</v>
      </c>
      <c r="L287" s="1">
        <f>M287*60</f>
        <v>2643.6000000000004</v>
      </c>
      <c r="M287" s="4">
        <v>44.06</v>
      </c>
      <c r="N287" s="4">
        <f>H287-I287</f>
        <v>14.200000000000273</v>
      </c>
      <c r="O287" s="4">
        <f>N287*1000</f>
        <v>14200.000000000273</v>
      </c>
      <c r="P287" s="4">
        <v>0.80180688876342421</v>
      </c>
      <c r="Q287">
        <v>933.58</v>
      </c>
      <c r="R287" s="1">
        <f>Q287/10000</f>
        <v>9.335800000000001E-2</v>
      </c>
      <c r="S287" s="5">
        <f>O287/(R287*L287)</f>
        <v>57.536184968638082</v>
      </c>
      <c r="T287" s="4">
        <v>32</v>
      </c>
      <c r="U287" s="8">
        <f>+AVERAGE([1]humidity!$B$20430:$B$20523)</f>
        <v>58.276595744680854</v>
      </c>
      <c r="V287">
        <f>0.6108*EXP((17.27*T287)/(T287+237.3))</f>
        <v>4.7547753962618131</v>
      </c>
      <c r="W287">
        <f t="shared" si="83"/>
        <v>2.7709212362470441</v>
      </c>
      <c r="X287" s="6">
        <f t="shared" si="84"/>
        <v>1.983854160014769</v>
      </c>
    </row>
    <row r="288" spans="1:30" x14ac:dyDescent="0.25">
      <c r="A288">
        <v>1</v>
      </c>
      <c r="B288" s="1">
        <v>1</v>
      </c>
      <c r="C288" s="1">
        <v>4</v>
      </c>
      <c r="D288" s="1">
        <v>4</v>
      </c>
      <c r="E288" t="s">
        <v>32</v>
      </c>
      <c r="F288" s="13" t="s">
        <v>42</v>
      </c>
      <c r="G288" s="1">
        <v>4</v>
      </c>
      <c r="H288">
        <v>2614.2199999999998</v>
      </c>
      <c r="I288">
        <v>2599.04</v>
      </c>
      <c r="J288" s="7">
        <v>0.46377314814814813</v>
      </c>
      <c r="K288" s="7">
        <v>0.49486111111111108</v>
      </c>
      <c r="L288" s="1">
        <f>M288*60</f>
        <v>2667.6</v>
      </c>
      <c r="M288" s="1">
        <v>44.46</v>
      </c>
      <c r="N288" s="4">
        <f>H288-I288</f>
        <v>15.179999999999836</v>
      </c>
      <c r="O288" s="4">
        <f>N288*1000</f>
        <v>15179.999999999836</v>
      </c>
      <c r="P288" s="4">
        <v>0.8571428571428461</v>
      </c>
      <c r="Q288">
        <v>933.58</v>
      </c>
      <c r="R288" s="1">
        <f>Q288/10000</f>
        <v>9.335800000000001E-2</v>
      </c>
      <c r="S288" s="5">
        <f>O288/(R288*L288)</f>
        <v>60.953622850609563</v>
      </c>
      <c r="T288" s="4">
        <v>32</v>
      </c>
      <c r="U288" s="8">
        <f>+AVERAGE([1]humidity!$B$20576:$B$20667)</f>
        <v>47.380434782608695</v>
      </c>
      <c r="V288">
        <f>0.6108*EXP((17.27*T288)/(T288+237.3))</f>
        <v>4.7547753962618131</v>
      </c>
      <c r="W288">
        <f t="shared" si="83"/>
        <v>2.2528332556853523</v>
      </c>
      <c r="X288" s="6">
        <f t="shared" si="84"/>
        <v>2.5019421405764608</v>
      </c>
    </row>
    <row r="289" spans="1:30" x14ac:dyDescent="0.25">
      <c r="A289">
        <v>1</v>
      </c>
      <c r="B289" s="1">
        <v>1</v>
      </c>
      <c r="C289" s="1">
        <v>4</v>
      </c>
      <c r="D289" s="1">
        <v>4</v>
      </c>
      <c r="E289" t="s">
        <v>32</v>
      </c>
      <c r="F289" s="13" t="s">
        <v>42</v>
      </c>
      <c r="G289" s="1">
        <v>5</v>
      </c>
      <c r="H289">
        <v>2586.4699999999998</v>
      </c>
      <c r="I289">
        <v>2570.2199999999998</v>
      </c>
      <c r="J289" s="7">
        <v>0.51785879629629628</v>
      </c>
      <c r="K289" s="7">
        <v>0.54924768518518519</v>
      </c>
      <c r="L289" s="1">
        <f>M289*60</f>
        <v>2707.2</v>
      </c>
      <c r="M289" s="4">
        <v>45.12</v>
      </c>
      <c r="N289" s="4">
        <f>H289-I289</f>
        <v>16.25</v>
      </c>
      <c r="O289" s="4">
        <f>N289*1000</f>
        <v>16250</v>
      </c>
      <c r="P289" s="4">
        <v>0.91756070016939395</v>
      </c>
      <c r="Q289">
        <v>933.58</v>
      </c>
      <c r="R289" s="1">
        <f>Q289/10000</f>
        <v>9.335800000000001E-2</v>
      </c>
      <c r="S289" s="5">
        <f>O289/(R289*L289)</f>
        <v>64.29563422878563</v>
      </c>
      <c r="T289" s="4">
        <v>32</v>
      </c>
      <c r="U289" s="8">
        <f>+AVERAGE([1]humidity!$B$20731:$B$20822)</f>
        <v>37.228260869565219</v>
      </c>
      <c r="V289">
        <f>0.6108*EXP((17.27*T289)/(T289+237.3))</f>
        <v>4.7547753962618131</v>
      </c>
      <c r="W289">
        <f t="shared" si="83"/>
        <v>1.770120188282251</v>
      </c>
      <c r="X289" s="6">
        <f t="shared" si="84"/>
        <v>2.9846552079795621</v>
      </c>
    </row>
    <row r="290" spans="1:30" x14ac:dyDescent="0.25">
      <c r="A290">
        <v>1</v>
      </c>
      <c r="B290" s="1">
        <v>1</v>
      </c>
      <c r="C290" s="1">
        <v>4</v>
      </c>
      <c r="D290" s="1">
        <v>4</v>
      </c>
      <c r="E290" t="s">
        <v>32</v>
      </c>
      <c r="F290" s="13" t="s">
        <v>42</v>
      </c>
      <c r="G290" s="1">
        <v>6</v>
      </c>
      <c r="H290">
        <v>2553.12</v>
      </c>
      <c r="I290">
        <v>2535.41</v>
      </c>
      <c r="J290" s="7">
        <v>0.57593749999999999</v>
      </c>
      <c r="K290" s="7">
        <v>0.60682870370370368</v>
      </c>
      <c r="L290" s="1">
        <f>M290*60</f>
        <v>2657.4</v>
      </c>
      <c r="M290" s="4">
        <v>44.29</v>
      </c>
      <c r="N290" s="4">
        <f>H290-I290</f>
        <v>17.710000000000036</v>
      </c>
      <c r="O290" s="4">
        <f>N290*1000</f>
        <v>17710.000000000036</v>
      </c>
      <c r="P290" s="4">
        <v>1</v>
      </c>
      <c r="Q290">
        <v>933.58</v>
      </c>
      <c r="R290" s="1">
        <f>Q290/10000</f>
        <v>9.335800000000001E-2</v>
      </c>
      <c r="S290" s="5">
        <f>O290/(R290*L290)</f>
        <v>71.38551404969877</v>
      </c>
      <c r="T290" s="4">
        <v>32</v>
      </c>
      <c r="U290" s="8">
        <f>+AVERAGE([1]humidity!$B$20898:$B$20986)</f>
        <v>19.865168539325843</v>
      </c>
      <c r="V290">
        <f>0.6108*EXP((17.27*T290)/(T290+237.3))</f>
        <v>4.7547753962618131</v>
      </c>
      <c r="W290">
        <f t="shared" si="83"/>
        <v>0.94454414613380733</v>
      </c>
      <c r="X290" s="6">
        <f t="shared" si="84"/>
        <v>3.8102312501280058</v>
      </c>
    </row>
    <row r="291" spans="1:30" x14ac:dyDescent="0.25">
      <c r="A291">
        <v>2</v>
      </c>
      <c r="B291">
        <v>2</v>
      </c>
      <c r="C291">
        <v>4</v>
      </c>
      <c r="D291">
        <v>2</v>
      </c>
      <c r="E291" t="s">
        <v>35</v>
      </c>
      <c r="F291" t="s">
        <v>38</v>
      </c>
      <c r="G291">
        <v>3</v>
      </c>
      <c r="H291">
        <v>3180.99</v>
      </c>
      <c r="I291">
        <v>3166.02</v>
      </c>
      <c r="J291" s="7">
        <v>0.47721064814814818</v>
      </c>
      <c r="K291" s="7">
        <v>0.50815972222222228</v>
      </c>
      <c r="L291">
        <f>+M291*60</f>
        <v>2640</v>
      </c>
      <c r="M291">
        <v>44</v>
      </c>
      <c r="N291">
        <f>+H291-I291</f>
        <v>14.9699999999998</v>
      </c>
      <c r="O291">
        <f>+N291*1000</f>
        <v>14969.9999999998</v>
      </c>
      <c r="P291" s="2">
        <v>0.76848049281313069</v>
      </c>
      <c r="Q291">
        <v>705.5</v>
      </c>
      <c r="R291">
        <v>7.0550000000000002E-2</v>
      </c>
      <c r="S291">
        <v>80.374975839184543</v>
      </c>
      <c r="T291">
        <v>32</v>
      </c>
      <c r="U291" s="8">
        <v>56.378048780487802</v>
      </c>
      <c r="V291">
        <v>4.7547753962618131</v>
      </c>
      <c r="W291">
        <v>2.680649592307117</v>
      </c>
      <c r="X291" s="12">
        <v>2.0741258039546961</v>
      </c>
      <c r="Y291" s="23">
        <v>0.49647400000000003</v>
      </c>
      <c r="Z291" s="23">
        <v>0.58491000000000004</v>
      </c>
      <c r="AA291" s="23">
        <v>0.875695</v>
      </c>
      <c r="AB291">
        <v>25.37</v>
      </c>
      <c r="AC291">
        <v>25.32</v>
      </c>
      <c r="AD291">
        <v>25.02</v>
      </c>
    </row>
    <row r="292" spans="1:30" x14ac:dyDescent="0.25">
      <c r="A292">
        <v>1</v>
      </c>
      <c r="B292" s="1">
        <v>2</v>
      </c>
      <c r="C292">
        <v>1</v>
      </c>
      <c r="D292">
        <v>1</v>
      </c>
      <c r="E292" t="s">
        <v>23</v>
      </c>
      <c r="F292" s="13" t="s">
        <v>39</v>
      </c>
      <c r="G292" s="1">
        <v>4</v>
      </c>
      <c r="H292">
        <v>2538.35</v>
      </c>
      <c r="I292">
        <v>2519.9499999999998</v>
      </c>
      <c r="J292" s="7">
        <v>0.53045138888888888</v>
      </c>
      <c r="K292" s="7">
        <v>0.56327546296296294</v>
      </c>
      <c r="L292" s="1">
        <f>M292*60</f>
        <v>2829.6</v>
      </c>
      <c r="M292" s="4">
        <v>47.16</v>
      </c>
      <c r="N292" s="4">
        <f>H292-I292</f>
        <v>18.400000000000091</v>
      </c>
      <c r="O292" s="4">
        <f>N292*1000</f>
        <v>18400.000000000091</v>
      </c>
      <c r="P292" s="4">
        <v>0.89320388349515401</v>
      </c>
      <c r="Q292">
        <v>747</v>
      </c>
      <c r="R292" s="1">
        <f>Q292/10000</f>
        <v>7.4700000000000003E-2</v>
      </c>
      <c r="S292" s="5">
        <f>O292/(R292*L292)</f>
        <v>87.050681285125862</v>
      </c>
      <c r="T292" s="4">
        <v>32</v>
      </c>
      <c r="U292" s="8">
        <f>+AVERAGE([1]humidity!$B$23635:$B$23728)</f>
        <v>48.244680851063826</v>
      </c>
      <c r="V292">
        <f>0.6108*EXP((17.27*T292)/(T292+237.3))</f>
        <v>4.7547753962618131</v>
      </c>
      <c r="W292">
        <f>V292*(U292/100)</f>
        <v>2.293926215111417</v>
      </c>
      <c r="X292" s="6">
        <f>V292-W292</f>
        <v>2.4608491811503961</v>
      </c>
      <c r="Y292" s="23">
        <v>0.30551800000000001</v>
      </c>
      <c r="Z292" s="23">
        <v>0.36865999999999999</v>
      </c>
      <c r="AA292" s="23">
        <v>0.34351100000000001</v>
      </c>
      <c r="AB292">
        <v>26.89</v>
      </c>
      <c r="AC292">
        <v>26.51</v>
      </c>
      <c r="AD292">
        <v>26.72</v>
      </c>
    </row>
    <row r="293" spans="1:30" x14ac:dyDescent="0.25">
      <c r="A293">
        <v>1</v>
      </c>
      <c r="B293" s="1">
        <v>2</v>
      </c>
      <c r="C293">
        <v>4</v>
      </c>
      <c r="D293">
        <v>4</v>
      </c>
      <c r="E293" t="s">
        <v>32</v>
      </c>
      <c r="F293" s="13" t="s">
        <v>42</v>
      </c>
      <c r="G293" s="1">
        <v>4</v>
      </c>
      <c r="H293">
        <v>2660.16</v>
      </c>
      <c r="I293">
        <v>2641.96</v>
      </c>
      <c r="J293" s="7">
        <v>0.53045138888888888</v>
      </c>
      <c r="K293" s="7">
        <v>0.56327546296296294</v>
      </c>
      <c r="L293" s="1">
        <f>M293*60</f>
        <v>2829.6</v>
      </c>
      <c r="M293" s="4">
        <v>47.16</v>
      </c>
      <c r="N293" s="4">
        <f>H293-I293</f>
        <v>18.199999999999818</v>
      </c>
      <c r="O293" s="4">
        <f>N293*1000</f>
        <v>18199.999999999818</v>
      </c>
      <c r="P293" s="4">
        <v>0.89303238469085966</v>
      </c>
      <c r="Q293">
        <v>933.58</v>
      </c>
      <c r="R293" s="1">
        <f>+Q293/10000</f>
        <v>9.335800000000001E-2</v>
      </c>
      <c r="S293" s="5">
        <f>O293/(R293*L293)</f>
        <v>68.896125919658871</v>
      </c>
      <c r="T293" s="4">
        <v>32</v>
      </c>
      <c r="U293" s="8">
        <f>+AVERAGE([1]humidity!$B$23635:$B$23728)</f>
        <v>48.244680851063826</v>
      </c>
      <c r="V293">
        <f>0.6108*EXP((17.27*T293)/(T293+237.3))</f>
        <v>4.7547753962618131</v>
      </c>
      <c r="W293">
        <f>V293*(U293/100)</f>
        <v>2.293926215111417</v>
      </c>
      <c r="X293" s="6">
        <f>V293-W293</f>
        <v>2.4608491811503961</v>
      </c>
      <c r="Y293" s="23">
        <v>0.453069</v>
      </c>
      <c r="Z293" s="23">
        <v>0.52876199999999995</v>
      </c>
      <c r="AA293" s="23">
        <v>0.40914400000000001</v>
      </c>
      <c r="AB293">
        <v>25.57</v>
      </c>
      <c r="AC293">
        <v>25.48</v>
      </c>
      <c r="AD293">
        <v>25.64</v>
      </c>
    </row>
    <row r="294" spans="1:30" x14ac:dyDescent="0.25">
      <c r="A294">
        <v>1</v>
      </c>
      <c r="B294" s="1">
        <v>2</v>
      </c>
      <c r="C294">
        <v>2</v>
      </c>
      <c r="D294">
        <v>1</v>
      </c>
      <c r="E294" t="s">
        <v>26</v>
      </c>
      <c r="F294" s="13" t="s">
        <v>41</v>
      </c>
      <c r="G294" s="1">
        <v>4</v>
      </c>
      <c r="H294">
        <v>2252.25</v>
      </c>
      <c r="I294">
        <v>2235.21</v>
      </c>
      <c r="J294" s="7">
        <v>0.53045138888888888</v>
      </c>
      <c r="K294" s="7">
        <v>0.56327546296296294</v>
      </c>
      <c r="L294" s="1">
        <f>M294*60</f>
        <v>2829.6</v>
      </c>
      <c r="M294" s="4">
        <v>47.16</v>
      </c>
      <c r="N294" s="4">
        <f>H294-I294</f>
        <v>17.039999999999964</v>
      </c>
      <c r="O294" s="4">
        <f>N294*1000</f>
        <v>17039.999999999964</v>
      </c>
      <c r="P294" s="4">
        <v>0.89401888772298066</v>
      </c>
      <c r="Q294">
        <v>983</v>
      </c>
      <c r="R294" s="1">
        <f>+Q294/10000</f>
        <v>9.8299999999999998E-2</v>
      </c>
      <c r="S294" s="5">
        <f>O294/(R294*L294)</f>
        <v>61.261979521241813</v>
      </c>
      <c r="T294" s="4">
        <v>32</v>
      </c>
      <c r="U294" s="8">
        <f>+AVERAGE([1]humidity!$B$23635:$B$23728)</f>
        <v>48.244680851063826</v>
      </c>
      <c r="V294">
        <f>0.6108*EXP((17.27*T294)/(T294+237.3))</f>
        <v>4.7547753962618131</v>
      </c>
      <c r="W294">
        <f>V294*(U294/100)</f>
        <v>2.293926215111417</v>
      </c>
      <c r="X294" s="6">
        <f>V294-W294</f>
        <v>2.4608491811503961</v>
      </c>
      <c r="Y294" s="23">
        <v>0.31185800000000002</v>
      </c>
      <c r="Z294" s="23">
        <v>0.30760399999999999</v>
      </c>
      <c r="AA294" s="23">
        <v>0.39438600000000001</v>
      </c>
      <c r="AB294">
        <v>26.23</v>
      </c>
      <c r="AC294">
        <v>26.07</v>
      </c>
      <c r="AD294">
        <v>26.03</v>
      </c>
    </row>
    <row r="295" spans="1:30" x14ac:dyDescent="0.25">
      <c r="A295">
        <v>1</v>
      </c>
      <c r="B295" s="1">
        <v>2</v>
      </c>
      <c r="C295">
        <v>4</v>
      </c>
      <c r="D295">
        <v>1</v>
      </c>
      <c r="E295" t="s">
        <v>29</v>
      </c>
      <c r="F295" s="13" t="s">
        <v>42</v>
      </c>
      <c r="G295" s="1">
        <v>4</v>
      </c>
      <c r="H295">
        <v>2725.18</v>
      </c>
      <c r="I295">
        <v>2710.4</v>
      </c>
      <c r="J295" s="7">
        <v>0.53045138888888888</v>
      </c>
      <c r="K295" s="7">
        <v>0.56327546296296294</v>
      </c>
      <c r="L295" s="1">
        <f>M295*60</f>
        <v>2829.6</v>
      </c>
      <c r="M295" s="4">
        <v>47.16</v>
      </c>
      <c r="N295" s="4">
        <f>H295-I295</f>
        <v>14.779999999999745</v>
      </c>
      <c r="O295" s="4">
        <f>N295*1000</f>
        <v>14779.999999999745</v>
      </c>
      <c r="P295" s="4">
        <v>0.90397553516818518</v>
      </c>
      <c r="Q295">
        <v>775.7</v>
      </c>
      <c r="R295" s="1">
        <f>+Q295/10000</f>
        <v>7.757E-2</v>
      </c>
      <c r="S295" s="5">
        <f>O295/(R295*L295)</f>
        <v>67.337284054613818</v>
      </c>
      <c r="T295" s="4">
        <v>32</v>
      </c>
      <c r="U295" s="8">
        <f>+AVERAGE([1]humidity!$B$23635:$B$23728)</f>
        <v>48.244680851063826</v>
      </c>
      <c r="V295">
        <f>0.6108*EXP((17.27*T295)/(T295+237.3))</f>
        <v>4.7547753962618131</v>
      </c>
      <c r="W295">
        <f>V295*(U295/100)</f>
        <v>2.293926215111417</v>
      </c>
      <c r="X295" s="6">
        <f>V295-W295</f>
        <v>2.4608491811503961</v>
      </c>
      <c r="Y295" s="23">
        <v>0.24390000000000001</v>
      </c>
      <c r="Z295" s="23">
        <v>0.35646699999999998</v>
      </c>
      <c r="AA295" s="23">
        <v>0.318241</v>
      </c>
      <c r="AB295">
        <v>25.54</v>
      </c>
      <c r="AC295">
        <v>25.44</v>
      </c>
      <c r="AD295">
        <v>25.51</v>
      </c>
    </row>
    <row r="296" spans="1:30" x14ac:dyDescent="0.25">
      <c r="A296">
        <v>2</v>
      </c>
      <c r="B296">
        <v>1</v>
      </c>
      <c r="C296">
        <v>1</v>
      </c>
      <c r="D296">
        <v>1</v>
      </c>
      <c r="E296" t="s">
        <v>32</v>
      </c>
      <c r="F296" s="13" t="s">
        <v>42</v>
      </c>
      <c r="G296">
        <v>1</v>
      </c>
      <c r="H296">
        <v>3095.84</v>
      </c>
      <c r="I296">
        <v>3088.48</v>
      </c>
      <c r="J296" s="11">
        <v>0.49791666666666667</v>
      </c>
      <c r="K296" s="7">
        <v>0.53189814814814818</v>
      </c>
      <c r="L296">
        <f t="shared" ref="L296:L302" si="85">+M296*60</f>
        <v>2880</v>
      </c>
      <c r="M296">
        <v>48</v>
      </c>
      <c r="N296">
        <f t="shared" ref="N296:N302" si="86">+H296-I296</f>
        <v>7.3600000000001273</v>
      </c>
      <c r="O296">
        <f t="shared" ref="O296:O302" si="87">+N296*1000</f>
        <v>7360.0000000001273</v>
      </c>
      <c r="P296" s="2">
        <v>0.68401486988847382</v>
      </c>
      <c r="Q296">
        <v>655.83</v>
      </c>
      <c r="R296" s="1">
        <v>6.5583000000000002E-2</v>
      </c>
      <c r="S296" s="5">
        <v>38.966737653898107</v>
      </c>
      <c r="T296" s="4">
        <v>32</v>
      </c>
      <c r="U296" s="8">
        <v>77.865979381443296</v>
      </c>
      <c r="V296">
        <v>4.7547753962618131</v>
      </c>
      <c r="W296">
        <v>3.7023524296871622</v>
      </c>
      <c r="X296" s="6">
        <v>1.052422966574651</v>
      </c>
    </row>
    <row r="297" spans="1:30" x14ac:dyDescent="0.25">
      <c r="A297">
        <v>2</v>
      </c>
      <c r="B297">
        <v>1</v>
      </c>
      <c r="C297">
        <v>1</v>
      </c>
      <c r="D297">
        <v>1</v>
      </c>
      <c r="E297" t="s">
        <v>32</v>
      </c>
      <c r="F297" s="13" t="s">
        <v>42</v>
      </c>
      <c r="G297">
        <v>2</v>
      </c>
      <c r="H297">
        <v>3081.75</v>
      </c>
      <c r="I297">
        <v>3070.99</v>
      </c>
      <c r="J297" s="7">
        <v>0.55482638888888891</v>
      </c>
      <c r="K297" s="7">
        <v>0.58539351851851851</v>
      </c>
      <c r="L297">
        <f t="shared" si="85"/>
        <v>2640</v>
      </c>
      <c r="M297">
        <v>44</v>
      </c>
      <c r="N297">
        <f t="shared" si="86"/>
        <v>10.760000000000218</v>
      </c>
      <c r="O297">
        <f t="shared" si="87"/>
        <v>10760.000000000218</v>
      </c>
      <c r="P297" s="2">
        <v>1</v>
      </c>
      <c r="Q297">
        <v>655.83</v>
      </c>
      <c r="R297" s="1">
        <v>6.5583000000000002E-2</v>
      </c>
      <c r="S297" s="5">
        <v>62.146555902560998</v>
      </c>
      <c r="T297" s="4">
        <v>32</v>
      </c>
      <c r="U297" s="8">
        <v>66.811764705882354</v>
      </c>
      <c r="V297">
        <v>4.7547753962618131</v>
      </c>
      <c r="W297">
        <v>3.1767493500436275</v>
      </c>
      <c r="X297" s="6">
        <v>1.5780260462181857</v>
      </c>
    </row>
    <row r="298" spans="1:30" x14ac:dyDescent="0.25">
      <c r="A298">
        <v>2</v>
      </c>
      <c r="B298">
        <v>1</v>
      </c>
      <c r="C298">
        <v>1</v>
      </c>
      <c r="D298">
        <v>1</v>
      </c>
      <c r="E298" t="s">
        <v>32</v>
      </c>
      <c r="F298" s="13" t="s">
        <v>42</v>
      </c>
      <c r="G298">
        <v>3</v>
      </c>
      <c r="H298">
        <v>3064.59</v>
      </c>
      <c r="I298">
        <v>3055.29</v>
      </c>
      <c r="J298" s="7">
        <v>0.60451388888888891</v>
      </c>
      <c r="K298" s="7">
        <v>0.63587962962962963</v>
      </c>
      <c r="L298">
        <f t="shared" si="85"/>
        <v>2700</v>
      </c>
      <c r="M298">
        <v>45</v>
      </c>
      <c r="N298">
        <f t="shared" si="86"/>
        <v>9.3000000000001819</v>
      </c>
      <c r="O298">
        <f t="shared" si="87"/>
        <v>9300.0000000001819</v>
      </c>
      <c r="P298" s="2">
        <v>0.86431226765799196</v>
      </c>
      <c r="Q298">
        <v>655.83</v>
      </c>
      <c r="R298">
        <v>6.5583000000000002E-2</v>
      </c>
      <c r="S298">
        <v>52.520385533514961</v>
      </c>
      <c r="T298">
        <v>32</v>
      </c>
      <c r="U298" s="8">
        <v>56</v>
      </c>
      <c r="V298">
        <v>4.7547753962618131</v>
      </c>
      <c r="W298">
        <v>2.6626742219066157</v>
      </c>
      <c r="X298" s="12">
        <v>2.0921011743551974</v>
      </c>
    </row>
    <row r="299" spans="1:30" x14ac:dyDescent="0.25">
      <c r="A299">
        <v>2</v>
      </c>
      <c r="B299">
        <v>1</v>
      </c>
      <c r="C299">
        <v>1</v>
      </c>
      <c r="D299">
        <v>1</v>
      </c>
      <c r="E299" t="s">
        <v>32</v>
      </c>
      <c r="F299" s="13" t="s">
        <v>42</v>
      </c>
      <c r="G299">
        <v>4</v>
      </c>
      <c r="H299">
        <v>3050.04</v>
      </c>
      <c r="I299">
        <v>3041.35</v>
      </c>
      <c r="J299" s="7">
        <v>0.65208333333333335</v>
      </c>
      <c r="K299" s="7">
        <v>0.68402777777777779</v>
      </c>
      <c r="L299">
        <f t="shared" si="85"/>
        <v>2760</v>
      </c>
      <c r="M299">
        <v>46</v>
      </c>
      <c r="N299">
        <f t="shared" si="86"/>
        <v>8.6900000000000546</v>
      </c>
      <c r="O299">
        <f t="shared" si="87"/>
        <v>8690.0000000000546</v>
      </c>
      <c r="P299" s="2">
        <v>0.80762081784385487</v>
      </c>
      <c r="Q299">
        <v>655.83</v>
      </c>
      <c r="R299">
        <v>6.5583000000000002E-2</v>
      </c>
      <c r="S299">
        <v>48.00864133445711</v>
      </c>
      <c r="T299">
        <v>32</v>
      </c>
      <c r="U299" s="8">
        <v>47.103448275862071</v>
      </c>
      <c r="V299">
        <v>4.7547753962618131</v>
      </c>
      <c r="W299">
        <v>2.2396631694115987</v>
      </c>
      <c r="X299" s="12">
        <v>2.5151122268502144</v>
      </c>
    </row>
    <row r="300" spans="1:30" x14ac:dyDescent="0.25">
      <c r="A300">
        <v>2</v>
      </c>
      <c r="B300">
        <v>1</v>
      </c>
      <c r="C300">
        <v>1</v>
      </c>
      <c r="D300">
        <v>1</v>
      </c>
      <c r="E300" t="s">
        <v>32</v>
      </c>
      <c r="F300" s="13" t="s">
        <v>42</v>
      </c>
      <c r="G300">
        <v>5</v>
      </c>
      <c r="H300">
        <v>3035.98</v>
      </c>
      <c r="I300">
        <v>3027.28</v>
      </c>
      <c r="J300" s="7">
        <v>0.70046296296296295</v>
      </c>
      <c r="K300" s="7">
        <v>0.73293981481481485</v>
      </c>
      <c r="L300">
        <f t="shared" si="85"/>
        <v>2760</v>
      </c>
      <c r="M300">
        <v>46</v>
      </c>
      <c r="N300">
        <f t="shared" si="86"/>
        <v>8.6999999999998181</v>
      </c>
      <c r="O300">
        <f t="shared" si="87"/>
        <v>8699.9999999998181</v>
      </c>
      <c r="P300" s="2">
        <v>0.80855018587357264</v>
      </c>
      <c r="Q300">
        <v>655.83</v>
      </c>
      <c r="R300">
        <v>6.5583000000000002E-2</v>
      </c>
      <c r="S300">
        <v>48.063887181791195</v>
      </c>
      <c r="T300">
        <v>32</v>
      </c>
      <c r="U300" s="8">
        <v>38.567010309278352</v>
      </c>
      <c r="V300">
        <v>4.7547753962618131</v>
      </c>
      <c r="W300">
        <v>1.8337747172593242</v>
      </c>
      <c r="X300" s="12">
        <v>2.9210006790024892</v>
      </c>
    </row>
    <row r="301" spans="1:30" x14ac:dyDescent="0.25">
      <c r="A301">
        <v>2</v>
      </c>
      <c r="B301">
        <v>1</v>
      </c>
      <c r="C301">
        <v>1</v>
      </c>
      <c r="D301">
        <v>1</v>
      </c>
      <c r="E301" t="s">
        <v>32</v>
      </c>
      <c r="F301" s="13" t="s">
        <v>42</v>
      </c>
      <c r="G301">
        <v>6</v>
      </c>
      <c r="H301">
        <v>3024.08</v>
      </c>
      <c r="I301">
        <v>3014.56</v>
      </c>
      <c r="J301" s="7">
        <v>0.7436342592592593</v>
      </c>
      <c r="K301" s="7">
        <v>0.77496527777777779</v>
      </c>
      <c r="L301">
        <f t="shared" si="85"/>
        <v>2700</v>
      </c>
      <c r="M301">
        <v>45</v>
      </c>
      <c r="N301">
        <f t="shared" si="86"/>
        <v>9.5199999999999818</v>
      </c>
      <c r="O301">
        <f t="shared" si="87"/>
        <v>9519.9999999999818</v>
      </c>
      <c r="P301" s="2">
        <v>0.88475836431224797</v>
      </c>
      <c r="Q301">
        <v>655.83</v>
      </c>
      <c r="R301">
        <v>6.5583000000000002E-2</v>
      </c>
      <c r="S301">
        <v>53.76280325581201</v>
      </c>
      <c r="T301">
        <v>32</v>
      </c>
      <c r="U301" s="8">
        <v>23.483146067415731</v>
      </c>
      <c r="V301">
        <v>4.7547753962618131</v>
      </c>
      <c r="W301">
        <v>1.1165708514817068</v>
      </c>
      <c r="X301" s="12">
        <v>3.6382045447801064</v>
      </c>
    </row>
    <row r="302" spans="1:30" x14ac:dyDescent="0.25">
      <c r="A302">
        <v>2</v>
      </c>
      <c r="B302">
        <v>2</v>
      </c>
      <c r="C302">
        <v>4</v>
      </c>
      <c r="D302">
        <v>3</v>
      </c>
      <c r="E302" t="s">
        <v>27</v>
      </c>
      <c r="F302" s="13" t="s">
        <v>39</v>
      </c>
      <c r="G302">
        <v>4</v>
      </c>
      <c r="H302">
        <v>3073.66</v>
      </c>
      <c r="I302">
        <v>3057.12</v>
      </c>
      <c r="J302" s="7">
        <v>0.54025462962962967</v>
      </c>
      <c r="K302" s="7">
        <v>0.5715972222222222</v>
      </c>
      <c r="L302">
        <f t="shared" si="85"/>
        <v>2700</v>
      </c>
      <c r="M302">
        <v>45</v>
      </c>
      <c r="N302">
        <f t="shared" si="86"/>
        <v>16.539999999999964</v>
      </c>
      <c r="O302">
        <f t="shared" si="87"/>
        <v>16539.999999999964</v>
      </c>
      <c r="P302" s="2">
        <v>0.86506276150627914</v>
      </c>
      <c r="Q302">
        <v>793.6</v>
      </c>
      <c r="R302">
        <v>7.936E-2</v>
      </c>
      <c r="S302">
        <v>77.191606929509987</v>
      </c>
      <c r="T302">
        <v>32</v>
      </c>
      <c r="U302" s="8">
        <v>46.093023255813954</v>
      </c>
      <c r="V302">
        <v>4.7547753962618131</v>
      </c>
      <c r="W302">
        <v>2.1916197291606774</v>
      </c>
      <c r="X302" s="12">
        <v>2.5631556671011357</v>
      </c>
    </row>
    <row r="303" spans="1:30" x14ac:dyDescent="0.25">
      <c r="A303">
        <v>3</v>
      </c>
      <c r="B303">
        <v>2</v>
      </c>
      <c r="C303">
        <v>1</v>
      </c>
      <c r="D303">
        <v>3</v>
      </c>
      <c r="E303" t="s">
        <v>35</v>
      </c>
      <c r="F303" t="s">
        <v>38</v>
      </c>
      <c r="G303">
        <v>6</v>
      </c>
      <c r="H303">
        <v>2536.33</v>
      </c>
      <c r="I303">
        <v>2525.06</v>
      </c>
      <c r="J303">
        <v>0.59027777777777779</v>
      </c>
      <c r="K303">
        <v>0.62239583333333337</v>
      </c>
      <c r="L303">
        <v>2764.9999999999982</v>
      </c>
      <c r="M303" s="8">
        <v>46.0833333333333</v>
      </c>
      <c r="N303">
        <v>11.269999999999982</v>
      </c>
      <c r="O303">
        <v>11269.999999999982</v>
      </c>
      <c r="P303" s="2">
        <v>1</v>
      </c>
      <c r="Q303">
        <v>768.09</v>
      </c>
      <c r="R303">
        <v>7.6809000000000002E-2</v>
      </c>
      <c r="S303">
        <v>53.066038707555151</v>
      </c>
      <c r="T303">
        <v>32</v>
      </c>
      <c r="U303" s="8">
        <v>24</v>
      </c>
      <c r="V303">
        <v>4.7547753962618131</v>
      </c>
      <c r="W303">
        <f>V303*(U303/100)</f>
        <v>1.1411460951028352</v>
      </c>
      <c r="X303" s="12">
        <f>V303-W303</f>
        <v>3.6136293011589782</v>
      </c>
    </row>
    <row r="304" spans="1:30" x14ac:dyDescent="0.25">
      <c r="A304">
        <v>2</v>
      </c>
      <c r="B304">
        <v>2</v>
      </c>
      <c r="C304">
        <v>1</v>
      </c>
      <c r="D304">
        <v>1</v>
      </c>
      <c r="E304" t="s">
        <v>32</v>
      </c>
      <c r="F304" s="13" t="s">
        <v>42</v>
      </c>
      <c r="G304">
        <v>4</v>
      </c>
      <c r="H304">
        <v>3187.86</v>
      </c>
      <c r="I304">
        <v>3176.06</v>
      </c>
      <c r="J304" s="7">
        <v>0.54025462962962967</v>
      </c>
      <c r="K304" s="7">
        <v>0.5715972222222222</v>
      </c>
      <c r="L304">
        <f>+M304*60</f>
        <v>2700</v>
      </c>
      <c r="M304">
        <v>45</v>
      </c>
      <c r="N304">
        <f>+H304-I304</f>
        <v>11.800000000000182</v>
      </c>
      <c r="O304">
        <f>+N304*1000</f>
        <v>11800.000000000182</v>
      </c>
      <c r="P304" s="2">
        <v>0.79891672308735251</v>
      </c>
      <c r="Q304">
        <v>655.83</v>
      </c>
      <c r="R304">
        <v>6.5583000000000002E-2</v>
      </c>
      <c r="S304">
        <v>66.638768741448814</v>
      </c>
      <c r="T304">
        <v>32</v>
      </c>
      <c r="U304" s="8">
        <v>46.093023255813954</v>
      </c>
      <c r="V304">
        <v>4.7547753962618131</v>
      </c>
      <c r="W304">
        <v>2.1916197291606774</v>
      </c>
      <c r="X304" s="12">
        <v>2.5631556671011357</v>
      </c>
    </row>
    <row r="305" spans="1:30" x14ac:dyDescent="0.25">
      <c r="A305">
        <v>2</v>
      </c>
      <c r="B305">
        <v>2</v>
      </c>
      <c r="C305">
        <v>1</v>
      </c>
      <c r="D305">
        <v>4</v>
      </c>
      <c r="E305" t="s">
        <v>26</v>
      </c>
      <c r="F305" s="13" t="s">
        <v>41</v>
      </c>
      <c r="G305">
        <v>4</v>
      </c>
      <c r="H305">
        <v>3122.95</v>
      </c>
      <c r="I305">
        <v>3108.54</v>
      </c>
      <c r="J305" s="7">
        <v>0.54025462962962967</v>
      </c>
      <c r="K305" s="7">
        <v>0.5715972222222222</v>
      </c>
      <c r="L305">
        <f>+M305*60</f>
        <v>2700</v>
      </c>
      <c r="M305">
        <v>45</v>
      </c>
      <c r="N305">
        <f>+H305-I305</f>
        <v>14.409999999999854</v>
      </c>
      <c r="O305">
        <f>+N305*1000</f>
        <v>14409.999999999854</v>
      </c>
      <c r="P305" s="2">
        <v>0.88840937114670948</v>
      </c>
      <c r="Q305">
        <v>767.27</v>
      </c>
      <c r="R305">
        <v>7.6727000000000004E-2</v>
      </c>
      <c r="S305">
        <v>69.558786829108172</v>
      </c>
      <c r="T305">
        <v>32</v>
      </c>
      <c r="U305" s="8">
        <v>46.093023255813954</v>
      </c>
      <c r="V305">
        <v>4.7547753962618131</v>
      </c>
      <c r="W305">
        <v>2.1916197291606774</v>
      </c>
      <c r="X305" s="12">
        <v>2.5631556671011357</v>
      </c>
    </row>
    <row r="306" spans="1:30" x14ac:dyDescent="0.25">
      <c r="A306">
        <v>2</v>
      </c>
      <c r="B306">
        <v>2</v>
      </c>
      <c r="C306">
        <v>1</v>
      </c>
      <c r="D306">
        <v>3</v>
      </c>
      <c r="E306" t="s">
        <v>29</v>
      </c>
      <c r="F306" s="13" t="s">
        <v>42</v>
      </c>
      <c r="G306">
        <v>4</v>
      </c>
      <c r="H306">
        <v>3175.76</v>
      </c>
      <c r="I306">
        <v>3158.64</v>
      </c>
      <c r="J306" s="7">
        <v>0.54025462962962967</v>
      </c>
      <c r="K306" s="7">
        <v>0.5715972222222222</v>
      </c>
      <c r="L306">
        <f>+M306*60</f>
        <v>2700</v>
      </c>
      <c r="M306">
        <v>45</v>
      </c>
      <c r="N306">
        <f>+H306-I306</f>
        <v>17.120000000000346</v>
      </c>
      <c r="O306">
        <f>+N306*1000</f>
        <v>17120.000000000346</v>
      </c>
      <c r="P306" s="2">
        <v>0.88888888888889672</v>
      </c>
      <c r="Q306">
        <v>874.77</v>
      </c>
      <c r="R306">
        <v>8.7476999999999999E-2</v>
      </c>
      <c r="S306">
        <v>72.48466157665294</v>
      </c>
      <c r="T306">
        <v>32</v>
      </c>
      <c r="U306" s="8">
        <v>46.093023255813954</v>
      </c>
      <c r="V306">
        <v>4.7547753962618131</v>
      </c>
      <c r="W306">
        <v>2.1916197291606774</v>
      </c>
      <c r="X306" s="12">
        <v>2.5631556671011357</v>
      </c>
    </row>
    <row r="307" spans="1:30" x14ac:dyDescent="0.25">
      <c r="A307">
        <v>2</v>
      </c>
      <c r="B307">
        <v>2</v>
      </c>
      <c r="C307">
        <v>4</v>
      </c>
      <c r="D307">
        <v>1</v>
      </c>
      <c r="E307" t="s">
        <v>30</v>
      </c>
      <c r="F307" s="13" t="s">
        <v>39</v>
      </c>
      <c r="G307">
        <v>4</v>
      </c>
      <c r="H307">
        <v>2992.87</v>
      </c>
      <c r="I307">
        <v>2970.98</v>
      </c>
      <c r="J307" s="7">
        <v>0.54025462962962967</v>
      </c>
      <c r="K307" s="7">
        <v>0.5715972222222222</v>
      </c>
      <c r="L307">
        <f>+M307*60</f>
        <v>2700</v>
      </c>
      <c r="M307">
        <v>45</v>
      </c>
      <c r="N307">
        <f>+H307-I307</f>
        <v>21.889999999999873</v>
      </c>
      <c r="O307">
        <f>+N307*1000</f>
        <v>21889.999999999873</v>
      </c>
      <c r="P307" s="2">
        <v>0.86419265692854064</v>
      </c>
      <c r="Q307">
        <v>849</v>
      </c>
      <c r="R307">
        <v>8.4900000000000003E-2</v>
      </c>
      <c r="S307">
        <v>95.493609038955938</v>
      </c>
      <c r="T307">
        <v>32</v>
      </c>
      <c r="U307" s="8">
        <v>46.093023255813954</v>
      </c>
      <c r="V307">
        <v>4.7547753962618131</v>
      </c>
      <c r="W307">
        <v>2.1916197291606774</v>
      </c>
      <c r="X307" s="12">
        <v>2.5631556671011357</v>
      </c>
    </row>
    <row r="308" spans="1:30" x14ac:dyDescent="0.25">
      <c r="A308">
        <v>3</v>
      </c>
      <c r="B308">
        <v>1</v>
      </c>
      <c r="C308">
        <v>4</v>
      </c>
      <c r="D308">
        <v>4</v>
      </c>
      <c r="E308" t="s">
        <v>32</v>
      </c>
      <c r="F308" s="13" t="s">
        <v>42</v>
      </c>
      <c r="G308">
        <v>1</v>
      </c>
      <c r="H308">
        <v>2622.65</v>
      </c>
      <c r="I308">
        <v>2616.41</v>
      </c>
      <c r="J308">
        <v>0.48958333333333331</v>
      </c>
      <c r="K308">
        <v>0.52083333333333337</v>
      </c>
      <c r="L308">
        <v>2700</v>
      </c>
      <c r="M308">
        <v>45</v>
      </c>
      <c r="N308">
        <v>6.2400000000002365</v>
      </c>
      <c r="O308">
        <v>6240.0000000002365</v>
      </c>
      <c r="P308" s="2">
        <v>0.51315789473686768</v>
      </c>
      <c r="Q308">
        <v>697.21</v>
      </c>
      <c r="R308">
        <v>6.9721000000000005E-2</v>
      </c>
      <c r="S308">
        <v>33.147991438895005</v>
      </c>
      <c r="T308">
        <v>32</v>
      </c>
      <c r="U308" s="8">
        <v>79</v>
      </c>
      <c r="V308">
        <v>4.7547753962618131</v>
      </c>
      <c r="W308">
        <f t="shared" ref="W308:W325" si="88">V308*(U308/100)</f>
        <v>3.7562725630468323</v>
      </c>
      <c r="X308" s="12">
        <f t="shared" ref="X308:X325" si="89">V308-W308</f>
        <v>0.99850283321498079</v>
      </c>
    </row>
    <row r="309" spans="1:30" x14ac:dyDescent="0.25">
      <c r="A309">
        <v>3</v>
      </c>
      <c r="B309">
        <v>1</v>
      </c>
      <c r="C309">
        <v>4</v>
      </c>
      <c r="D309">
        <v>4</v>
      </c>
      <c r="E309" t="s">
        <v>32</v>
      </c>
      <c r="F309" s="13" t="s">
        <v>42</v>
      </c>
      <c r="G309">
        <v>2</v>
      </c>
      <c r="H309">
        <v>2613.2800000000002</v>
      </c>
      <c r="I309">
        <v>2603.6</v>
      </c>
      <c r="J309">
        <v>0.53055555555555556</v>
      </c>
      <c r="K309">
        <v>0.56180555555555556</v>
      </c>
      <c r="L309">
        <v>2700</v>
      </c>
      <c r="M309" s="8">
        <v>45</v>
      </c>
      <c r="N309">
        <v>9.680000000000291</v>
      </c>
      <c r="O309">
        <v>9680.000000000291</v>
      </c>
      <c r="P309" s="2">
        <v>0.79605263157898087</v>
      </c>
      <c r="Q309">
        <v>697.21</v>
      </c>
      <c r="R309">
        <v>6.9721000000000005E-2</v>
      </c>
      <c r="S309">
        <v>51.421884155208517</v>
      </c>
      <c r="T309">
        <v>32</v>
      </c>
      <c r="U309" s="8">
        <v>68</v>
      </c>
      <c r="V309">
        <v>4.7547753962618131</v>
      </c>
      <c r="W309">
        <f t="shared" si="88"/>
        <v>3.2332472694580332</v>
      </c>
      <c r="X309" s="12">
        <f t="shared" si="89"/>
        <v>1.5215281268037799</v>
      </c>
    </row>
    <row r="310" spans="1:30" x14ac:dyDescent="0.25">
      <c r="A310">
        <v>3</v>
      </c>
      <c r="B310">
        <v>1</v>
      </c>
      <c r="C310">
        <v>4</v>
      </c>
      <c r="D310">
        <v>4</v>
      </c>
      <c r="E310" t="s">
        <v>32</v>
      </c>
      <c r="F310" s="13" t="s">
        <v>42</v>
      </c>
      <c r="G310">
        <v>3</v>
      </c>
      <c r="H310">
        <v>2598.3000000000002</v>
      </c>
      <c r="I310">
        <v>2588.4499999999998</v>
      </c>
      <c r="J310">
        <v>0.57556712962962964</v>
      </c>
      <c r="K310">
        <v>0.60728009259259264</v>
      </c>
      <c r="L310">
        <v>2700</v>
      </c>
      <c r="M310" s="8">
        <v>45</v>
      </c>
      <c r="N310">
        <v>9.8500000000003638</v>
      </c>
      <c r="O310">
        <v>9850.0000000003638</v>
      </c>
      <c r="P310" s="2">
        <v>0.81003289473688167</v>
      </c>
      <c r="Q310">
        <v>697.21</v>
      </c>
      <c r="R310">
        <v>6.9721000000000005E-2</v>
      </c>
      <c r="S310">
        <v>52.324954434794151</v>
      </c>
      <c r="T310">
        <v>32</v>
      </c>
      <c r="U310" s="8">
        <v>57</v>
      </c>
      <c r="V310">
        <v>4.7547753962618131</v>
      </c>
      <c r="W310">
        <f t="shared" si="88"/>
        <v>2.7102219758692332</v>
      </c>
      <c r="X310" s="12">
        <f t="shared" si="89"/>
        <v>2.0445534203925799</v>
      </c>
    </row>
    <row r="311" spans="1:30" x14ac:dyDescent="0.25">
      <c r="A311">
        <v>3</v>
      </c>
      <c r="B311">
        <v>1</v>
      </c>
      <c r="C311">
        <v>4</v>
      </c>
      <c r="D311">
        <v>4</v>
      </c>
      <c r="E311" t="s">
        <v>32</v>
      </c>
      <c r="F311" s="13" t="s">
        <v>42</v>
      </c>
      <c r="G311">
        <v>4</v>
      </c>
      <c r="H311">
        <v>2581.09</v>
      </c>
      <c r="I311">
        <v>2571.48</v>
      </c>
      <c r="J311">
        <v>0.62638888888888888</v>
      </c>
      <c r="K311">
        <v>0.65733796296296299</v>
      </c>
      <c r="L311">
        <v>2640</v>
      </c>
      <c r="M311" s="8">
        <v>44</v>
      </c>
      <c r="N311">
        <v>9.6100000000001273</v>
      </c>
      <c r="O311">
        <v>9610.0000000001273</v>
      </c>
      <c r="P311" s="2">
        <v>0.79029605263159886</v>
      </c>
      <c r="Q311">
        <v>697.21</v>
      </c>
      <c r="R311">
        <v>6.9721000000000005E-2</v>
      </c>
      <c r="S311">
        <v>52.210259680032749</v>
      </c>
      <c r="T311">
        <v>32</v>
      </c>
      <c r="U311" s="8">
        <v>47</v>
      </c>
      <c r="V311">
        <v>4.7547753962618131</v>
      </c>
      <c r="W311">
        <f t="shared" si="88"/>
        <v>2.234744436243052</v>
      </c>
      <c r="X311" s="12">
        <f t="shared" si="89"/>
        <v>2.5200309600187611</v>
      </c>
    </row>
    <row r="312" spans="1:30" x14ac:dyDescent="0.25">
      <c r="A312">
        <v>3</v>
      </c>
      <c r="B312">
        <v>1</v>
      </c>
      <c r="C312">
        <v>4</v>
      </c>
      <c r="D312">
        <v>4</v>
      </c>
      <c r="E312" t="s">
        <v>32</v>
      </c>
      <c r="F312" s="13" t="s">
        <v>42</v>
      </c>
      <c r="G312">
        <v>5</v>
      </c>
      <c r="H312">
        <v>2563.58</v>
      </c>
      <c r="I312">
        <v>2553.5100000000002</v>
      </c>
      <c r="J312">
        <v>0.67721064814814813</v>
      </c>
      <c r="K312">
        <v>0.70833333333333337</v>
      </c>
      <c r="L312">
        <v>2640</v>
      </c>
      <c r="M312" s="8">
        <v>44</v>
      </c>
      <c r="N312">
        <v>10.069999999999709</v>
      </c>
      <c r="O312">
        <v>10069.999999999709</v>
      </c>
      <c r="P312" s="2">
        <v>0.82812499999998601</v>
      </c>
      <c r="Q312">
        <v>697.21</v>
      </c>
      <c r="R312">
        <v>6.9721000000000005E-2</v>
      </c>
      <c r="S312">
        <v>54.709398020593923</v>
      </c>
      <c r="T312">
        <v>32</v>
      </c>
      <c r="U312" s="8">
        <v>37</v>
      </c>
      <c r="V312">
        <v>4.7547753962618131</v>
      </c>
      <c r="W312">
        <f t="shared" si="88"/>
        <v>1.7592668966168707</v>
      </c>
      <c r="X312" s="12">
        <f t="shared" si="89"/>
        <v>2.9955084996449424</v>
      </c>
    </row>
    <row r="313" spans="1:30" x14ac:dyDescent="0.25">
      <c r="A313">
        <v>3</v>
      </c>
      <c r="B313">
        <v>1</v>
      </c>
      <c r="C313">
        <v>4</v>
      </c>
      <c r="D313">
        <v>4</v>
      </c>
      <c r="E313" t="s">
        <v>32</v>
      </c>
      <c r="F313" s="13" t="s">
        <v>42</v>
      </c>
      <c r="G313">
        <v>6</v>
      </c>
      <c r="H313">
        <v>2546.42</v>
      </c>
      <c r="I313">
        <v>2534.2600000000002</v>
      </c>
      <c r="J313">
        <v>0.72222222222222221</v>
      </c>
      <c r="K313">
        <v>0.7540162037037037</v>
      </c>
      <c r="L313">
        <v>2700</v>
      </c>
      <c r="M313" s="8">
        <v>45</v>
      </c>
      <c r="N313">
        <v>12.159999999999854</v>
      </c>
      <c r="O313">
        <v>12159.999999999854</v>
      </c>
      <c r="P313" s="2">
        <v>1</v>
      </c>
      <c r="Q313">
        <v>697.21</v>
      </c>
      <c r="R313">
        <v>6.9721000000000005E-2</v>
      </c>
      <c r="S313">
        <v>64.596085880920384</v>
      </c>
      <c r="T313">
        <v>32</v>
      </c>
      <c r="U313" s="8">
        <v>24</v>
      </c>
      <c r="V313">
        <v>4.7547753962618131</v>
      </c>
      <c r="W313">
        <f t="shared" si="88"/>
        <v>1.1411460951028352</v>
      </c>
      <c r="X313" s="12">
        <f t="shared" si="89"/>
        <v>3.6136293011589782</v>
      </c>
    </row>
    <row r="314" spans="1:30" x14ac:dyDescent="0.25">
      <c r="A314">
        <v>3</v>
      </c>
      <c r="B314">
        <v>2</v>
      </c>
      <c r="C314">
        <v>4</v>
      </c>
      <c r="D314">
        <v>4</v>
      </c>
      <c r="E314" t="s">
        <v>32</v>
      </c>
      <c r="F314" s="13" t="s">
        <v>42</v>
      </c>
      <c r="G314">
        <v>3</v>
      </c>
      <c r="H314">
        <v>2563.65</v>
      </c>
      <c r="I314">
        <v>2557.34</v>
      </c>
      <c r="J314">
        <v>0.42790509259259257</v>
      </c>
      <c r="K314">
        <v>0.45833333333333331</v>
      </c>
      <c r="L314">
        <v>2587.5</v>
      </c>
      <c r="M314" s="8">
        <v>43.125</v>
      </c>
      <c r="N314">
        <v>6.3099999999999454</v>
      </c>
      <c r="O314">
        <v>6309.9999999999454</v>
      </c>
      <c r="P314" s="2">
        <v>0.5869767441860414</v>
      </c>
      <c r="Q314">
        <v>697.21</v>
      </c>
      <c r="R314">
        <v>6.9721000000000005E-2</v>
      </c>
      <c r="S314">
        <v>34.977228424651791</v>
      </c>
      <c r="T314">
        <v>32</v>
      </c>
      <c r="U314" s="8">
        <v>57</v>
      </c>
      <c r="V314">
        <v>4.7547753962618131</v>
      </c>
      <c r="W314">
        <f t="shared" si="88"/>
        <v>2.7102219758692332</v>
      </c>
      <c r="X314" s="12">
        <f t="shared" si="89"/>
        <v>2.0445534203925799</v>
      </c>
    </row>
    <row r="315" spans="1:30" x14ac:dyDescent="0.25">
      <c r="A315">
        <v>3</v>
      </c>
      <c r="B315">
        <v>2</v>
      </c>
      <c r="C315">
        <v>4</v>
      </c>
      <c r="D315">
        <v>4</v>
      </c>
      <c r="E315" t="s">
        <v>32</v>
      </c>
      <c r="F315" s="13" t="s">
        <v>42</v>
      </c>
      <c r="G315">
        <v>4</v>
      </c>
      <c r="H315">
        <v>2551.7399999999998</v>
      </c>
      <c r="I315">
        <v>2543.6799999999998</v>
      </c>
      <c r="J315">
        <v>0.47795138888888888</v>
      </c>
      <c r="K315">
        <v>0.50929398148148153</v>
      </c>
      <c r="L315">
        <v>2707.5</v>
      </c>
      <c r="M315" s="8">
        <v>45.125</v>
      </c>
      <c r="N315">
        <v>8.0599999999999454</v>
      </c>
      <c r="O315">
        <v>8059.9999999999454</v>
      </c>
      <c r="P315" s="2">
        <v>0.74976744186046007</v>
      </c>
      <c r="Q315">
        <v>697.21</v>
      </c>
      <c r="R315">
        <v>6.9721000000000005E-2</v>
      </c>
      <c r="S315">
        <v>42.697551299405788</v>
      </c>
      <c r="T315">
        <v>32</v>
      </c>
      <c r="U315" s="8">
        <v>47</v>
      </c>
      <c r="V315">
        <v>4.7547753962618131</v>
      </c>
      <c r="W315">
        <f t="shared" si="88"/>
        <v>2.234744436243052</v>
      </c>
      <c r="X315" s="12">
        <f t="shared" si="89"/>
        <v>2.5200309600187611</v>
      </c>
    </row>
    <row r="316" spans="1:30" x14ac:dyDescent="0.25">
      <c r="A316">
        <v>3</v>
      </c>
      <c r="B316">
        <v>2</v>
      </c>
      <c r="C316">
        <v>4</v>
      </c>
      <c r="D316">
        <v>3</v>
      </c>
      <c r="E316" t="s">
        <v>34</v>
      </c>
      <c r="F316" s="13" t="s">
        <v>39</v>
      </c>
      <c r="G316">
        <v>6</v>
      </c>
      <c r="H316">
        <v>1782.41</v>
      </c>
      <c r="I316">
        <v>1765.56</v>
      </c>
      <c r="J316">
        <v>0.59027777777777779</v>
      </c>
      <c r="K316">
        <v>0.62239583333333337</v>
      </c>
      <c r="L316">
        <v>2760</v>
      </c>
      <c r="M316" s="8">
        <v>46</v>
      </c>
      <c r="N316">
        <v>16.850000000000136</v>
      </c>
      <c r="O316">
        <v>16850.000000000138</v>
      </c>
      <c r="P316" s="2">
        <v>1</v>
      </c>
      <c r="Q316">
        <v>1028.48</v>
      </c>
      <c r="R316">
        <v>0.10284799999999999</v>
      </c>
      <c r="S316">
        <v>59.360147633091223</v>
      </c>
      <c r="T316">
        <v>32</v>
      </c>
      <c r="U316" s="8">
        <v>24</v>
      </c>
      <c r="V316">
        <v>4.7547753962618131</v>
      </c>
      <c r="W316">
        <f t="shared" si="88"/>
        <v>1.1411460951028352</v>
      </c>
      <c r="X316" s="12">
        <f t="shared" si="89"/>
        <v>3.6136293011589782</v>
      </c>
      <c r="Y316" s="22">
        <v>6.3189999999999996E-2</v>
      </c>
      <c r="Z316" s="22">
        <v>6.0524000000000001E-2</v>
      </c>
      <c r="AA316" s="22">
        <v>7.9278000000000001E-2</v>
      </c>
      <c r="AB316">
        <v>29.63</v>
      </c>
      <c r="AC316">
        <v>29.47</v>
      </c>
      <c r="AD316">
        <v>29.42</v>
      </c>
    </row>
    <row r="317" spans="1:30" x14ac:dyDescent="0.25">
      <c r="A317">
        <v>3</v>
      </c>
      <c r="B317">
        <v>2</v>
      </c>
      <c r="C317">
        <v>1</v>
      </c>
      <c r="D317">
        <v>2</v>
      </c>
      <c r="E317" t="s">
        <v>36</v>
      </c>
      <c r="F317" s="13" t="s">
        <v>41</v>
      </c>
      <c r="G317">
        <v>6</v>
      </c>
      <c r="H317">
        <v>2181.79</v>
      </c>
      <c r="I317">
        <v>2169.04</v>
      </c>
      <c r="J317">
        <v>0.59027777777777779</v>
      </c>
      <c r="K317">
        <v>0.62239583333333337</v>
      </c>
      <c r="L317">
        <v>2762.5000000000018</v>
      </c>
      <c r="M317" s="8">
        <v>46.0416666666667</v>
      </c>
      <c r="N317">
        <v>12.75</v>
      </c>
      <c r="O317">
        <v>12750</v>
      </c>
      <c r="P317" s="2">
        <v>1</v>
      </c>
      <c r="Q317">
        <v>710.05</v>
      </c>
      <c r="R317">
        <v>7.1004999999999999E-2</v>
      </c>
      <c r="S317">
        <v>65.000839594178046</v>
      </c>
      <c r="T317">
        <v>32</v>
      </c>
      <c r="U317" s="8">
        <v>24</v>
      </c>
      <c r="V317">
        <v>4.7547753962618131</v>
      </c>
      <c r="W317">
        <f t="shared" si="88"/>
        <v>1.1411460951028352</v>
      </c>
      <c r="X317" s="12">
        <f t="shared" si="89"/>
        <v>3.6136293011589782</v>
      </c>
      <c r="Y317" s="22">
        <v>0.105408</v>
      </c>
      <c r="Z317" s="22">
        <v>0.141429</v>
      </c>
      <c r="AA317" s="22">
        <v>0.153889</v>
      </c>
      <c r="AB317">
        <v>26.99</v>
      </c>
      <c r="AC317">
        <v>26.96</v>
      </c>
      <c r="AD317">
        <v>26.87</v>
      </c>
    </row>
    <row r="318" spans="1:30" x14ac:dyDescent="0.25">
      <c r="A318">
        <v>4</v>
      </c>
      <c r="B318">
        <v>1</v>
      </c>
      <c r="C318">
        <v>1</v>
      </c>
      <c r="D318">
        <v>2</v>
      </c>
      <c r="E318" t="s">
        <v>29</v>
      </c>
      <c r="F318" s="13" t="s">
        <v>42</v>
      </c>
      <c r="G318">
        <v>4</v>
      </c>
      <c r="H318">
        <v>2763.75</v>
      </c>
      <c r="I318">
        <v>2719.18</v>
      </c>
      <c r="J318" s="11">
        <v>0.48981481481481481</v>
      </c>
      <c r="K318" s="7">
        <v>0.51927083333333335</v>
      </c>
      <c r="L318">
        <f t="shared" ref="L318:L325" si="90">M318*60</f>
        <v>2535</v>
      </c>
      <c r="M318" s="8">
        <v>42.25</v>
      </c>
      <c r="N318" s="8">
        <f t="shared" ref="N318:N325" si="91">H318-I318</f>
        <v>44.570000000000164</v>
      </c>
      <c r="O318">
        <f t="shared" ref="O318:O325" si="92">N318*1000</f>
        <v>44570.00000000016</v>
      </c>
      <c r="P318" s="2">
        <v>0.82354028085735864</v>
      </c>
      <c r="Q318">
        <v>4071.71</v>
      </c>
      <c r="R318">
        <f t="shared" ref="R318:R325" si="93">+Q318/10000</f>
        <v>0.40717100000000001</v>
      </c>
      <c r="S318">
        <f t="shared" ref="S318:S325" si="94">O318/(R318*L318)</f>
        <v>43.180516400707738</v>
      </c>
      <c r="T318">
        <v>32</v>
      </c>
      <c r="U318" s="8">
        <v>47</v>
      </c>
      <c r="V318">
        <f t="shared" ref="V318:V325" si="95">0.6108*EXP((17.27*T318)/(T318+237.3))</f>
        <v>4.7547753962618131</v>
      </c>
      <c r="W318">
        <f t="shared" si="88"/>
        <v>2.234744436243052</v>
      </c>
      <c r="X318" s="12">
        <f t="shared" si="89"/>
        <v>2.5200309600187611</v>
      </c>
      <c r="Y318" s="23"/>
      <c r="Z318" s="23"/>
      <c r="AA318" s="23"/>
    </row>
    <row r="319" spans="1:30" x14ac:dyDescent="0.25">
      <c r="A319">
        <v>4</v>
      </c>
      <c r="B319">
        <v>1</v>
      </c>
      <c r="C319">
        <v>5</v>
      </c>
      <c r="D319">
        <v>5</v>
      </c>
      <c r="E319" t="s">
        <v>30</v>
      </c>
      <c r="F319" s="13" t="s">
        <v>39</v>
      </c>
      <c r="G319">
        <v>4</v>
      </c>
      <c r="H319">
        <v>2549.7800000000002</v>
      </c>
      <c r="I319">
        <v>2511.29</v>
      </c>
      <c r="J319" s="11">
        <v>0.48981481481481481</v>
      </c>
      <c r="K319" s="7">
        <v>0.51927083333333335</v>
      </c>
      <c r="L319">
        <f t="shared" si="90"/>
        <v>2535</v>
      </c>
      <c r="M319" s="8">
        <v>42.25</v>
      </c>
      <c r="N319" s="8">
        <f t="shared" si="91"/>
        <v>38.490000000000236</v>
      </c>
      <c r="O319">
        <f t="shared" si="92"/>
        <v>38490.000000000233</v>
      </c>
      <c r="P319" s="2">
        <v>0.87002712477396094</v>
      </c>
      <c r="Q319">
        <v>2899.36</v>
      </c>
      <c r="R319">
        <f t="shared" si="93"/>
        <v>0.28993600000000003</v>
      </c>
      <c r="S319">
        <f t="shared" si="94"/>
        <v>52.368219029933542</v>
      </c>
      <c r="T319">
        <v>32</v>
      </c>
      <c r="U319" s="8">
        <v>47</v>
      </c>
      <c r="V319">
        <f t="shared" si="95"/>
        <v>4.7547753962618131</v>
      </c>
      <c r="W319">
        <f t="shared" si="88"/>
        <v>2.234744436243052</v>
      </c>
      <c r="X319" s="12">
        <f t="shared" si="89"/>
        <v>2.5200309600187611</v>
      </c>
      <c r="Y319" s="23"/>
      <c r="Z319" s="23"/>
      <c r="AA319" s="23"/>
    </row>
    <row r="320" spans="1:30" x14ac:dyDescent="0.25">
      <c r="A320">
        <v>4</v>
      </c>
      <c r="B320">
        <v>1</v>
      </c>
      <c r="C320">
        <v>5</v>
      </c>
      <c r="D320">
        <v>2</v>
      </c>
      <c r="E320" t="s">
        <v>24</v>
      </c>
      <c r="F320" s="13" t="s">
        <v>41</v>
      </c>
      <c r="G320">
        <v>4</v>
      </c>
      <c r="H320">
        <v>2554.4299999999998</v>
      </c>
      <c r="I320">
        <v>2530.19</v>
      </c>
      <c r="J320" s="11">
        <v>0.48981481481481481</v>
      </c>
      <c r="K320" s="7">
        <v>0.51927083333333335</v>
      </c>
      <c r="L320">
        <f t="shared" si="90"/>
        <v>2535</v>
      </c>
      <c r="M320" s="8">
        <v>42.25</v>
      </c>
      <c r="N320" s="8">
        <f t="shared" si="91"/>
        <v>24.239999999999782</v>
      </c>
      <c r="O320">
        <f t="shared" si="92"/>
        <v>24239.999999999782</v>
      </c>
      <c r="P320" s="2">
        <v>0.9034662691017461</v>
      </c>
      <c r="Q320">
        <v>1459.08</v>
      </c>
      <c r="R320">
        <f t="shared" si="93"/>
        <v>0.14590799999999998</v>
      </c>
      <c r="S320">
        <f t="shared" si="94"/>
        <v>65.535338552476276</v>
      </c>
      <c r="T320">
        <v>32</v>
      </c>
      <c r="U320" s="8">
        <v>47</v>
      </c>
      <c r="V320">
        <f t="shared" si="95"/>
        <v>4.7547753962618131</v>
      </c>
      <c r="W320">
        <f t="shared" si="88"/>
        <v>2.234744436243052</v>
      </c>
      <c r="X320" s="12">
        <f t="shared" si="89"/>
        <v>2.5200309600187611</v>
      </c>
      <c r="Y320" s="23"/>
      <c r="Z320" s="23"/>
      <c r="AA320" s="23"/>
    </row>
    <row r="321" spans="1:30" x14ac:dyDescent="0.25">
      <c r="A321">
        <v>1</v>
      </c>
      <c r="B321" s="1">
        <v>2</v>
      </c>
      <c r="C321">
        <v>5</v>
      </c>
      <c r="D321">
        <v>4</v>
      </c>
      <c r="E321" t="s">
        <v>35</v>
      </c>
      <c r="F321" t="s">
        <v>38</v>
      </c>
      <c r="G321" s="1">
        <v>4</v>
      </c>
      <c r="H321">
        <v>2533.31</v>
      </c>
      <c r="I321">
        <v>2519.46</v>
      </c>
      <c r="J321" s="7">
        <v>0.53045138888888888</v>
      </c>
      <c r="K321" s="7">
        <v>0.56327546296296294</v>
      </c>
      <c r="L321" s="1">
        <f t="shared" si="90"/>
        <v>2829.6</v>
      </c>
      <c r="M321" s="4">
        <v>47.16</v>
      </c>
      <c r="N321" s="4">
        <f t="shared" si="91"/>
        <v>13.849999999999909</v>
      </c>
      <c r="O321" s="4">
        <f t="shared" si="92"/>
        <v>13849.999999999909</v>
      </c>
      <c r="P321" s="4">
        <v>0.9370771312584385</v>
      </c>
      <c r="Q321">
        <v>759</v>
      </c>
      <c r="R321" s="1">
        <f t="shared" si="93"/>
        <v>7.5899999999999995E-2</v>
      </c>
      <c r="S321" s="5">
        <f t="shared" si="94"/>
        <v>64.48860027795709</v>
      </c>
      <c r="T321" s="4">
        <v>32</v>
      </c>
      <c r="U321" s="8">
        <f>+AVERAGE([1]humidity!$B$23635:$B$23728)</f>
        <v>48.244680851063826</v>
      </c>
      <c r="V321">
        <f t="shared" si="95"/>
        <v>4.7547753962618131</v>
      </c>
      <c r="W321">
        <f t="shared" si="88"/>
        <v>2.293926215111417</v>
      </c>
      <c r="X321" s="6">
        <f t="shared" si="89"/>
        <v>2.4608491811503961</v>
      </c>
      <c r="Y321" s="23">
        <v>0.26496199999999998</v>
      </c>
      <c r="Z321" s="23">
        <v>0.13312399999999999</v>
      </c>
      <c r="AA321" s="23">
        <v>0.12625400000000001</v>
      </c>
      <c r="AB321">
        <v>24.97</v>
      </c>
      <c r="AC321">
        <v>25.19</v>
      </c>
      <c r="AD321">
        <v>25.06</v>
      </c>
    </row>
    <row r="322" spans="1:30" x14ac:dyDescent="0.25">
      <c r="A322">
        <v>4</v>
      </c>
      <c r="B322">
        <v>1</v>
      </c>
      <c r="C322">
        <v>4</v>
      </c>
      <c r="D322">
        <v>2</v>
      </c>
      <c r="E322" t="s">
        <v>33</v>
      </c>
      <c r="F322" t="s">
        <v>38</v>
      </c>
      <c r="G322">
        <v>5</v>
      </c>
      <c r="H322">
        <v>2614.35</v>
      </c>
      <c r="I322">
        <v>2578.75</v>
      </c>
      <c r="J322" s="7">
        <v>0.53123842592592596</v>
      </c>
      <c r="K322" s="11">
        <v>0.55861111111111106</v>
      </c>
      <c r="L322">
        <f t="shared" si="90"/>
        <v>2340</v>
      </c>
      <c r="M322" s="8">
        <v>39</v>
      </c>
      <c r="N322" s="8">
        <f t="shared" si="91"/>
        <v>35.599999999999909</v>
      </c>
      <c r="O322">
        <f t="shared" si="92"/>
        <v>35599.999999999913</v>
      </c>
      <c r="P322" s="2">
        <v>0.89695137314184581</v>
      </c>
      <c r="Q322">
        <v>2691.97</v>
      </c>
      <c r="R322">
        <f t="shared" si="93"/>
        <v>0.26919699999999996</v>
      </c>
      <c r="S322">
        <f t="shared" si="94"/>
        <v>56.515025106799776</v>
      </c>
      <c r="T322">
        <v>32</v>
      </c>
      <c r="U322" s="8">
        <v>38</v>
      </c>
      <c r="V322">
        <f t="shared" si="95"/>
        <v>4.7547753962618131</v>
      </c>
      <c r="W322">
        <f t="shared" si="88"/>
        <v>1.8068146505794891</v>
      </c>
      <c r="X322" s="12">
        <f t="shared" si="89"/>
        <v>2.947960745682324</v>
      </c>
      <c r="Y322" s="23">
        <v>0.15509999999999999</v>
      </c>
      <c r="Z322" s="23">
        <v>0.11279599999999999</v>
      </c>
      <c r="AA322" s="23">
        <v>0.14197399999999999</v>
      </c>
      <c r="AB322">
        <v>26.33</v>
      </c>
      <c r="AC322">
        <v>26.23</v>
      </c>
      <c r="AD322">
        <v>26.59</v>
      </c>
    </row>
    <row r="323" spans="1:30" x14ac:dyDescent="0.25">
      <c r="A323">
        <v>4</v>
      </c>
      <c r="B323">
        <v>2</v>
      </c>
      <c r="C323">
        <v>1</v>
      </c>
      <c r="D323">
        <v>2</v>
      </c>
      <c r="E323" t="s">
        <v>29</v>
      </c>
      <c r="F323" s="13" t="s">
        <v>42</v>
      </c>
      <c r="G323">
        <v>3</v>
      </c>
      <c r="H323">
        <v>2554.5300000000002</v>
      </c>
      <c r="I323">
        <v>2504.36</v>
      </c>
      <c r="J323" s="7">
        <v>0.47835648148148147</v>
      </c>
      <c r="K323" s="7">
        <v>0.50635416666666666</v>
      </c>
      <c r="L323">
        <f t="shared" si="90"/>
        <v>2400</v>
      </c>
      <c r="M323" s="8">
        <v>40</v>
      </c>
      <c r="N323" s="8">
        <f t="shared" si="91"/>
        <v>50.170000000000073</v>
      </c>
      <c r="O323">
        <f t="shared" si="92"/>
        <v>50170.000000000073</v>
      </c>
      <c r="P323" s="2">
        <v>0.86306554274901726</v>
      </c>
      <c r="Q323">
        <v>4071.71</v>
      </c>
      <c r="R323">
        <f t="shared" si="93"/>
        <v>0.40717100000000001</v>
      </c>
      <c r="S323">
        <f t="shared" si="94"/>
        <v>51.340018485272026</v>
      </c>
      <c r="T323">
        <v>32</v>
      </c>
      <c r="U323" s="8">
        <v>57</v>
      </c>
      <c r="V323">
        <f t="shared" si="95"/>
        <v>4.7547753962618131</v>
      </c>
      <c r="W323">
        <f t="shared" si="88"/>
        <v>2.7102219758692332</v>
      </c>
      <c r="X323" s="12">
        <f t="shared" si="89"/>
        <v>2.0445534203925799</v>
      </c>
      <c r="Y323" s="22">
        <v>2.7917999999999998E-2</v>
      </c>
      <c r="Z323" s="22">
        <v>1.6836E-2</v>
      </c>
      <c r="AA323" s="22">
        <v>2.3470000000000001E-3</v>
      </c>
      <c r="AB323">
        <v>28.42</v>
      </c>
      <c r="AC323">
        <v>28.36</v>
      </c>
      <c r="AD323">
        <v>29.24</v>
      </c>
    </row>
    <row r="324" spans="1:30" x14ac:dyDescent="0.25">
      <c r="A324">
        <v>4</v>
      </c>
      <c r="B324">
        <v>2</v>
      </c>
      <c r="C324">
        <v>5</v>
      </c>
      <c r="D324">
        <v>5</v>
      </c>
      <c r="E324" t="s">
        <v>30</v>
      </c>
      <c r="F324" s="13" t="s">
        <v>39</v>
      </c>
      <c r="G324">
        <v>3</v>
      </c>
      <c r="H324">
        <v>2463.9899999999998</v>
      </c>
      <c r="I324">
        <v>2419.2199999999998</v>
      </c>
      <c r="J324" s="7">
        <v>0.47835648148148147</v>
      </c>
      <c r="K324" s="7">
        <v>0.50635416666666666</v>
      </c>
      <c r="L324">
        <f t="shared" si="90"/>
        <v>2400</v>
      </c>
      <c r="M324" s="8">
        <v>40</v>
      </c>
      <c r="N324" s="8">
        <f t="shared" si="91"/>
        <v>44.769999999999982</v>
      </c>
      <c r="O324">
        <f t="shared" si="92"/>
        <v>44769.999999999985</v>
      </c>
      <c r="P324" s="2">
        <v>0.80247356157017413</v>
      </c>
      <c r="Q324">
        <v>2899.36</v>
      </c>
      <c r="R324">
        <f t="shared" si="93"/>
        <v>0.28993600000000003</v>
      </c>
      <c r="S324">
        <f t="shared" si="94"/>
        <v>64.338911575887991</v>
      </c>
      <c r="T324">
        <v>32</v>
      </c>
      <c r="U324" s="8">
        <v>57</v>
      </c>
      <c r="V324">
        <f t="shared" si="95"/>
        <v>4.7547753962618131</v>
      </c>
      <c r="W324">
        <f t="shared" si="88"/>
        <v>2.7102219758692332</v>
      </c>
      <c r="X324" s="12">
        <f t="shared" si="89"/>
        <v>2.0445534203925799</v>
      </c>
      <c r="Y324" s="22">
        <v>6.5069000000000002E-2</v>
      </c>
      <c r="Z324" s="22">
        <v>5.7695000000000003E-2</v>
      </c>
      <c r="AA324" s="22">
        <v>7.1451000000000001E-2</v>
      </c>
      <c r="AB324">
        <v>30.39</v>
      </c>
      <c r="AC324">
        <v>30.81</v>
      </c>
      <c r="AD324">
        <v>30.46</v>
      </c>
    </row>
    <row r="325" spans="1:30" x14ac:dyDescent="0.25">
      <c r="A325">
        <v>4</v>
      </c>
      <c r="B325">
        <v>2</v>
      </c>
      <c r="C325">
        <v>5</v>
      </c>
      <c r="D325">
        <v>2</v>
      </c>
      <c r="E325" t="s">
        <v>24</v>
      </c>
      <c r="F325" s="13" t="s">
        <v>41</v>
      </c>
      <c r="G325">
        <v>3</v>
      </c>
      <c r="H325">
        <v>2524.4499999999998</v>
      </c>
      <c r="I325">
        <v>2500.15</v>
      </c>
      <c r="J325" s="7">
        <v>0.47835648148148147</v>
      </c>
      <c r="K325" s="7">
        <v>0.50635416666666666</v>
      </c>
      <c r="L325">
        <f t="shared" si="90"/>
        <v>2400</v>
      </c>
      <c r="M325" s="8">
        <v>40</v>
      </c>
      <c r="N325" s="8">
        <f t="shared" si="91"/>
        <v>24.299999999999727</v>
      </c>
      <c r="O325">
        <f t="shared" si="92"/>
        <v>24299.999999999727</v>
      </c>
      <c r="P325" s="2">
        <v>0.7990792502466243</v>
      </c>
      <c r="Q325">
        <v>1459.08</v>
      </c>
      <c r="R325">
        <f t="shared" si="93"/>
        <v>0.14590799999999998</v>
      </c>
      <c r="S325">
        <f t="shared" si="94"/>
        <v>69.39304219096887</v>
      </c>
      <c r="T325">
        <v>32</v>
      </c>
      <c r="U325" s="8">
        <v>57</v>
      </c>
      <c r="V325">
        <f t="shared" si="95"/>
        <v>4.7547753962618131</v>
      </c>
      <c r="W325">
        <f t="shared" si="88"/>
        <v>2.7102219758692332</v>
      </c>
      <c r="X325" s="12">
        <f t="shared" si="89"/>
        <v>2.0445534203925799</v>
      </c>
      <c r="Y325" s="22">
        <v>0.29022599999999998</v>
      </c>
      <c r="Z325" s="22">
        <v>0.29462300000000002</v>
      </c>
      <c r="AA325" s="22">
        <v>8.9639999999999997E-2</v>
      </c>
      <c r="AB325">
        <v>28.41</v>
      </c>
      <c r="AC325">
        <v>28.42</v>
      </c>
      <c r="AD325">
        <v>29.79</v>
      </c>
    </row>
    <row r="326" spans="1:30" x14ac:dyDescent="0.25">
      <c r="A326">
        <v>2</v>
      </c>
      <c r="B326">
        <v>2</v>
      </c>
      <c r="C326">
        <v>4</v>
      </c>
      <c r="D326">
        <v>2</v>
      </c>
      <c r="E326" t="s">
        <v>35</v>
      </c>
      <c r="F326" t="s">
        <v>38</v>
      </c>
      <c r="G326">
        <v>4</v>
      </c>
      <c r="H326">
        <v>3149.45</v>
      </c>
      <c r="I326">
        <v>3130.97</v>
      </c>
      <c r="J326" s="7">
        <v>0.54025462962962967</v>
      </c>
      <c r="K326" s="7">
        <v>0.5715972222222222</v>
      </c>
      <c r="L326">
        <f>+M326*60</f>
        <v>2700</v>
      </c>
      <c r="M326">
        <v>45</v>
      </c>
      <c r="N326">
        <f>+H326-I326</f>
        <v>18.480000000000018</v>
      </c>
      <c r="O326">
        <f>+N326*1000</f>
        <v>18480.000000000018</v>
      </c>
      <c r="P326" s="2">
        <v>0.94866529774127317</v>
      </c>
      <c r="Q326">
        <v>705.5</v>
      </c>
      <c r="R326">
        <v>7.0550000000000002E-2</v>
      </c>
      <c r="S326">
        <v>97.015513032522335</v>
      </c>
      <c r="T326">
        <v>32</v>
      </c>
      <c r="U326" s="8">
        <v>46.093023255813954</v>
      </c>
      <c r="V326">
        <v>4.7547753962618131</v>
      </c>
      <c r="W326">
        <v>2.1916197291606774</v>
      </c>
      <c r="X326" s="12">
        <v>2.5631556671011357</v>
      </c>
    </row>
    <row r="327" spans="1:30" x14ac:dyDescent="0.25">
      <c r="A327">
        <v>4</v>
      </c>
      <c r="B327">
        <v>2</v>
      </c>
      <c r="C327">
        <v>4</v>
      </c>
      <c r="D327">
        <v>2</v>
      </c>
      <c r="E327" t="s">
        <v>33</v>
      </c>
      <c r="F327" t="s">
        <v>38</v>
      </c>
      <c r="G327">
        <v>4</v>
      </c>
      <c r="H327">
        <v>2488.34</v>
      </c>
      <c r="I327">
        <v>2443.52</v>
      </c>
      <c r="J327" s="11">
        <v>0.52666666666666662</v>
      </c>
      <c r="K327" s="7">
        <v>0.55862268518518521</v>
      </c>
      <c r="L327">
        <f t="shared" ref="L327:L337" si="96">M327*60</f>
        <v>2760</v>
      </c>
      <c r="M327" s="8">
        <v>46</v>
      </c>
      <c r="N327" s="8">
        <f t="shared" ref="N327:N337" si="97">H327-I327</f>
        <v>44.820000000000164</v>
      </c>
      <c r="O327">
        <f t="shared" ref="O327:O337" si="98">N327*1000</f>
        <v>44820.00000000016</v>
      </c>
      <c r="P327" s="2">
        <v>1</v>
      </c>
      <c r="Q327">
        <v>2691.97</v>
      </c>
      <c r="R327">
        <f>+Q327/10000</f>
        <v>0.26919699999999996</v>
      </c>
      <c r="S327">
        <f t="shared" ref="S327:S337" si="99">O327/(R327*L327)</f>
        <v>60.324336581695441</v>
      </c>
      <c r="T327">
        <v>32</v>
      </c>
      <c r="U327" s="8">
        <v>49</v>
      </c>
      <c r="V327">
        <f t="shared" ref="V327:V337" si="100">0.6108*EXP((17.27*T327)/(T327+237.3))</f>
        <v>4.7547753962618131</v>
      </c>
      <c r="W327">
        <f t="shared" ref="W327:W337" si="101">V327*(U327/100)</f>
        <v>2.3298399441682882</v>
      </c>
      <c r="X327" s="12">
        <f t="shared" ref="X327:X337" si="102">V327-W327</f>
        <v>2.4249354520935249</v>
      </c>
    </row>
    <row r="328" spans="1:30" x14ac:dyDescent="0.25">
      <c r="A328">
        <v>1</v>
      </c>
      <c r="B328" s="1">
        <v>1</v>
      </c>
      <c r="C328" s="1">
        <v>1</v>
      </c>
      <c r="D328" s="1">
        <v>5</v>
      </c>
      <c r="E328" s="1" t="s">
        <v>26</v>
      </c>
      <c r="F328" s="13" t="s">
        <v>41</v>
      </c>
      <c r="G328" s="1">
        <v>2</v>
      </c>
      <c r="H328" s="2">
        <v>2081.3300000000004</v>
      </c>
      <c r="I328" s="2">
        <v>2070.7114285714288</v>
      </c>
      <c r="J328" s="3">
        <v>0.35893518518518519</v>
      </c>
      <c r="K328" s="3">
        <v>0.38979166666666665</v>
      </c>
      <c r="L328" s="1">
        <f t="shared" si="96"/>
        <v>2655.6</v>
      </c>
      <c r="M328" s="1">
        <v>44.26</v>
      </c>
      <c r="N328" s="4">
        <f t="shared" si="97"/>
        <v>10.618571428571613</v>
      </c>
      <c r="O328" s="4">
        <f t="shared" si="98"/>
        <v>10618.571428571613</v>
      </c>
      <c r="P328" s="4">
        <v>0.9201535033424304</v>
      </c>
      <c r="Q328">
        <v>1146</v>
      </c>
      <c r="R328" s="1">
        <f>Q328/10000</f>
        <v>0.11459999999999999</v>
      </c>
      <c r="S328" s="5">
        <f t="shared" si="99"/>
        <v>34.891433705675723</v>
      </c>
      <c r="T328" s="4">
        <v>32</v>
      </c>
      <c r="U328">
        <v>71</v>
      </c>
      <c r="V328">
        <f t="shared" si="100"/>
        <v>4.7547753962618131</v>
      </c>
      <c r="W328">
        <f t="shared" si="101"/>
        <v>3.3758905313458873</v>
      </c>
      <c r="X328" s="6">
        <f t="shared" si="102"/>
        <v>1.3788848649159258</v>
      </c>
    </row>
    <row r="329" spans="1:30" x14ac:dyDescent="0.25">
      <c r="A329">
        <v>1</v>
      </c>
      <c r="B329" s="1">
        <v>1</v>
      </c>
      <c r="C329" s="1">
        <v>1</v>
      </c>
      <c r="D329" s="1">
        <v>5</v>
      </c>
      <c r="E329" s="1" t="s">
        <v>26</v>
      </c>
      <c r="F329" s="13" t="s">
        <v>41</v>
      </c>
      <c r="G329" s="1">
        <v>3</v>
      </c>
      <c r="H329">
        <v>2062.15</v>
      </c>
      <c r="I329">
        <v>2051.06</v>
      </c>
      <c r="J329" s="7">
        <v>0.41251157407407407</v>
      </c>
      <c r="K329" s="7">
        <v>0.44452546296296297</v>
      </c>
      <c r="L329" s="1">
        <f t="shared" si="96"/>
        <v>2643.6000000000004</v>
      </c>
      <c r="M329" s="4">
        <v>44.06</v>
      </c>
      <c r="N329" s="4">
        <f t="shared" si="97"/>
        <v>11.090000000000146</v>
      </c>
      <c r="O329" s="4">
        <f t="shared" si="98"/>
        <v>11090.000000000146</v>
      </c>
      <c r="P329" s="4">
        <v>0.96100519930677475</v>
      </c>
      <c r="Q329">
        <v>1146</v>
      </c>
      <c r="R329" s="1">
        <f>Q329/10000</f>
        <v>0.11459999999999999</v>
      </c>
      <c r="S329" s="5">
        <f t="shared" si="99"/>
        <v>36.605908120953529</v>
      </c>
      <c r="T329" s="4">
        <v>32</v>
      </c>
      <c r="U329" s="8">
        <f>+AVERAGE([1]humidity!$B$20430:$B$20523)</f>
        <v>58.276595744680854</v>
      </c>
      <c r="V329">
        <f t="shared" si="100"/>
        <v>4.7547753962618131</v>
      </c>
      <c r="W329">
        <f t="shared" si="101"/>
        <v>2.7709212362470441</v>
      </c>
      <c r="X329" s="6">
        <f t="shared" si="102"/>
        <v>1.983854160014769</v>
      </c>
    </row>
    <row r="330" spans="1:30" x14ac:dyDescent="0.25">
      <c r="A330">
        <v>1</v>
      </c>
      <c r="B330" s="1">
        <v>1</v>
      </c>
      <c r="C330" s="1">
        <v>1</v>
      </c>
      <c r="D330" s="1">
        <v>5</v>
      </c>
      <c r="E330" s="1" t="s">
        <v>26</v>
      </c>
      <c r="F330" s="13" t="s">
        <v>41</v>
      </c>
      <c r="G330" s="1">
        <v>4</v>
      </c>
      <c r="H330">
        <v>2043.9</v>
      </c>
      <c r="I330">
        <v>2032.58</v>
      </c>
      <c r="J330" s="7">
        <v>0.46377314814814813</v>
      </c>
      <c r="K330" s="7">
        <v>0.49486111111111108</v>
      </c>
      <c r="L330" s="1">
        <f t="shared" si="96"/>
        <v>2667.6</v>
      </c>
      <c r="M330" s="1">
        <v>44.46</v>
      </c>
      <c r="N330" s="4">
        <f t="shared" si="97"/>
        <v>11.320000000000164</v>
      </c>
      <c r="O330" s="4">
        <f t="shared" si="98"/>
        <v>11320.000000000164</v>
      </c>
      <c r="P330" s="4">
        <v>0.98093587521665504</v>
      </c>
      <c r="Q330">
        <v>1146</v>
      </c>
      <c r="R330" s="1">
        <f>Q330/10000</f>
        <v>0.11459999999999999</v>
      </c>
      <c r="S330" s="5">
        <f t="shared" si="99"/>
        <v>37.028924693111875</v>
      </c>
      <c r="T330" s="4">
        <v>32</v>
      </c>
      <c r="U330" s="8">
        <f>+AVERAGE([1]humidity!$B$20576:$B$20667)</f>
        <v>47.380434782608695</v>
      </c>
      <c r="V330">
        <f t="shared" si="100"/>
        <v>4.7547753962618131</v>
      </c>
      <c r="W330">
        <f t="shared" si="101"/>
        <v>2.2528332556853523</v>
      </c>
      <c r="X330" s="6">
        <f t="shared" si="102"/>
        <v>2.5019421405764608</v>
      </c>
    </row>
    <row r="331" spans="1:30" x14ac:dyDescent="0.25">
      <c r="A331">
        <v>1</v>
      </c>
      <c r="B331" s="1">
        <v>1</v>
      </c>
      <c r="C331" s="1">
        <v>1</v>
      </c>
      <c r="D331" s="1">
        <v>5</v>
      </c>
      <c r="E331" s="1" t="s">
        <v>26</v>
      </c>
      <c r="F331" s="13" t="s">
        <v>41</v>
      </c>
      <c r="G331" s="1">
        <v>5</v>
      </c>
      <c r="H331">
        <v>2025.2</v>
      </c>
      <c r="I331">
        <v>2013.66</v>
      </c>
      <c r="J331" s="7">
        <v>0.51785879629629628</v>
      </c>
      <c r="K331" s="7">
        <v>0.54924768518518519</v>
      </c>
      <c r="L331" s="1">
        <f t="shared" si="96"/>
        <v>2707.2</v>
      </c>
      <c r="M331" s="4">
        <v>45.12</v>
      </c>
      <c r="N331" s="4">
        <f t="shared" si="97"/>
        <v>11.539999999999964</v>
      </c>
      <c r="O331" s="4">
        <f t="shared" si="98"/>
        <v>11539.999999999964</v>
      </c>
      <c r="P331" s="4">
        <v>1</v>
      </c>
      <c r="Q331">
        <v>1146</v>
      </c>
      <c r="R331" s="1">
        <f>Q331/10000</f>
        <v>0.11459999999999999</v>
      </c>
      <c r="S331" s="5">
        <f t="shared" si="99"/>
        <v>37.196394902198506</v>
      </c>
      <c r="T331" s="4">
        <v>32</v>
      </c>
      <c r="U331" s="8">
        <f>+AVERAGE([1]humidity!$B$20731:$B$20822)</f>
        <v>37.228260869565219</v>
      </c>
      <c r="V331">
        <f t="shared" si="100"/>
        <v>4.7547753962618131</v>
      </c>
      <c r="W331">
        <f t="shared" si="101"/>
        <v>1.770120188282251</v>
      </c>
      <c r="X331" s="6">
        <f t="shared" si="102"/>
        <v>2.9846552079795621</v>
      </c>
    </row>
    <row r="332" spans="1:30" x14ac:dyDescent="0.25">
      <c r="A332">
        <v>1</v>
      </c>
      <c r="B332" s="1">
        <v>1</v>
      </c>
      <c r="C332" s="1">
        <v>1</v>
      </c>
      <c r="D332" s="1">
        <v>5</v>
      </c>
      <c r="E332" s="1" t="s">
        <v>26</v>
      </c>
      <c r="F332" s="13" t="s">
        <v>41</v>
      </c>
      <c r="G332" s="1">
        <v>6</v>
      </c>
      <c r="H332">
        <v>2004.04</v>
      </c>
      <c r="I332">
        <v>1993.08</v>
      </c>
      <c r="J332" s="7">
        <v>0.57593749999999999</v>
      </c>
      <c r="K332" s="7">
        <v>0.60682870370370368</v>
      </c>
      <c r="L332" s="1">
        <f t="shared" si="96"/>
        <v>2657.4</v>
      </c>
      <c r="M332" s="1">
        <v>44.29</v>
      </c>
      <c r="N332" s="4">
        <f t="shared" si="97"/>
        <v>10.960000000000036</v>
      </c>
      <c r="O332" s="4">
        <f t="shared" si="98"/>
        <v>10960.000000000036</v>
      </c>
      <c r="P332" s="4">
        <v>0.94974003466205126</v>
      </c>
      <c r="Q332">
        <v>1146</v>
      </c>
      <c r="R332" s="1">
        <f>Q332/10000</f>
        <v>0.11459999999999999</v>
      </c>
      <c r="S332" s="5">
        <f t="shared" si="99"/>
        <v>35.988935897794697</v>
      </c>
      <c r="T332" s="4">
        <v>32</v>
      </c>
      <c r="U332" s="8">
        <f>+AVERAGE([1]humidity!$B$20898:$B$20986)</f>
        <v>19.865168539325843</v>
      </c>
      <c r="V332">
        <f t="shared" si="100"/>
        <v>4.7547753962618131</v>
      </c>
      <c r="W332">
        <f t="shared" si="101"/>
        <v>0.94454414613380733</v>
      </c>
      <c r="X332" s="6">
        <f t="shared" si="102"/>
        <v>3.8102312501280058</v>
      </c>
    </row>
    <row r="333" spans="1:30" x14ac:dyDescent="0.25">
      <c r="A333">
        <v>4</v>
      </c>
      <c r="B333">
        <v>2</v>
      </c>
      <c r="C333">
        <v>1</v>
      </c>
      <c r="D333">
        <v>1</v>
      </c>
      <c r="E333" t="s">
        <v>35</v>
      </c>
      <c r="F333" t="s">
        <v>38</v>
      </c>
      <c r="G333">
        <v>4</v>
      </c>
      <c r="H333">
        <v>2477.12</v>
      </c>
      <c r="I333">
        <v>2429.58</v>
      </c>
      <c r="J333" s="11">
        <v>0.52666666666666662</v>
      </c>
      <c r="K333" s="7">
        <v>0.55862268518518521</v>
      </c>
      <c r="L333">
        <f t="shared" si="96"/>
        <v>2760</v>
      </c>
      <c r="M333" s="8">
        <v>46</v>
      </c>
      <c r="N333" s="8">
        <f t="shared" si="97"/>
        <v>47.539999999999964</v>
      </c>
      <c r="O333">
        <f t="shared" si="98"/>
        <v>47539.999999999964</v>
      </c>
      <c r="P333" s="2">
        <v>1</v>
      </c>
      <c r="Q333">
        <v>2878.45</v>
      </c>
      <c r="R333">
        <f>+Q333/10000</f>
        <v>0.28784499999999996</v>
      </c>
      <c r="S333">
        <f t="shared" si="99"/>
        <v>59.839975268493141</v>
      </c>
      <c r="T333">
        <v>32</v>
      </c>
      <c r="U333" s="8">
        <v>49</v>
      </c>
      <c r="V333">
        <f t="shared" si="100"/>
        <v>4.7547753962618131</v>
      </c>
      <c r="W333">
        <f t="shared" si="101"/>
        <v>2.3298399441682882</v>
      </c>
      <c r="X333" s="12">
        <f t="shared" si="102"/>
        <v>2.4249354520935249</v>
      </c>
      <c r="Y333" s="23">
        <v>0.36047299999999999</v>
      </c>
      <c r="Z333" s="23">
        <v>0.22256000000000001</v>
      </c>
      <c r="AA333" s="23">
        <v>0.45275399999999999</v>
      </c>
      <c r="AB333">
        <v>26.03</v>
      </c>
      <c r="AC333">
        <v>26.18</v>
      </c>
      <c r="AD333">
        <v>25.75</v>
      </c>
    </row>
    <row r="334" spans="1:30" x14ac:dyDescent="0.25">
      <c r="A334">
        <v>1</v>
      </c>
      <c r="B334" s="1">
        <v>2</v>
      </c>
      <c r="C334">
        <v>1</v>
      </c>
      <c r="D334">
        <v>1</v>
      </c>
      <c r="E334" t="s">
        <v>23</v>
      </c>
      <c r="F334" s="13" t="s">
        <v>39</v>
      </c>
      <c r="G334" s="1">
        <v>5</v>
      </c>
      <c r="H334">
        <v>2503.54</v>
      </c>
      <c r="I334">
        <v>2483.71</v>
      </c>
      <c r="J334" s="7">
        <v>0.58910879629629631</v>
      </c>
      <c r="K334" s="7">
        <v>0.61982638888888886</v>
      </c>
      <c r="L334" s="1">
        <f t="shared" si="96"/>
        <v>2648.4</v>
      </c>
      <c r="M334" s="4">
        <f>52.33-8.19</f>
        <v>44.14</v>
      </c>
      <c r="N334" s="4">
        <f t="shared" si="97"/>
        <v>19.829999999999927</v>
      </c>
      <c r="O334" s="4">
        <f t="shared" si="98"/>
        <v>19829.999999999927</v>
      </c>
      <c r="P334" s="4">
        <v>0.96262135922330172</v>
      </c>
      <c r="Q334">
        <v>747</v>
      </c>
      <c r="R334" s="1">
        <f>Q334/10000</f>
        <v>7.4700000000000003E-2</v>
      </c>
      <c r="S334" s="5">
        <f t="shared" si="99"/>
        <v>100.23480115902328</v>
      </c>
      <c r="T334" s="4">
        <v>32</v>
      </c>
      <c r="U334" s="8">
        <f>+AVERAGE([1]humidity!$B$23800:$B$23885)</f>
        <v>34.860465116279073</v>
      </c>
      <c r="V334">
        <f t="shared" si="100"/>
        <v>4.7547753962618131</v>
      </c>
      <c r="W334">
        <f t="shared" si="101"/>
        <v>1.6575368183712693</v>
      </c>
      <c r="X334" s="6">
        <f t="shared" si="102"/>
        <v>3.0972385778905438</v>
      </c>
      <c r="Y334" s="23">
        <v>0.111222</v>
      </c>
      <c r="Z334" s="23">
        <v>0.109029</v>
      </c>
      <c r="AA334" s="23">
        <v>0.14679300000000001</v>
      </c>
      <c r="AB334">
        <v>27.4</v>
      </c>
      <c r="AC334">
        <v>27.93</v>
      </c>
      <c r="AD334">
        <v>27.85</v>
      </c>
    </row>
    <row r="335" spans="1:30" x14ac:dyDescent="0.25">
      <c r="A335">
        <v>1</v>
      </c>
      <c r="B335" s="1">
        <v>2</v>
      </c>
      <c r="C335">
        <v>4</v>
      </c>
      <c r="D335">
        <v>4</v>
      </c>
      <c r="E335" t="s">
        <v>32</v>
      </c>
      <c r="F335" s="13" t="s">
        <v>42</v>
      </c>
      <c r="G335" s="1">
        <v>5</v>
      </c>
      <c r="H335">
        <v>2624.22</v>
      </c>
      <c r="I335">
        <v>2605.08</v>
      </c>
      <c r="J335" s="7">
        <v>0.58910879629629631</v>
      </c>
      <c r="K335" s="7">
        <v>0.61982638888888886</v>
      </c>
      <c r="L335" s="1">
        <f t="shared" si="96"/>
        <v>2648.4</v>
      </c>
      <c r="M335" s="4">
        <f>52.33-8.19</f>
        <v>44.14</v>
      </c>
      <c r="N335" s="4">
        <f t="shared" si="97"/>
        <v>19.139999999999873</v>
      </c>
      <c r="O335" s="4">
        <f t="shared" si="98"/>
        <v>19139.999999999873</v>
      </c>
      <c r="P335" s="4">
        <v>0.93915603532874237</v>
      </c>
      <c r="Q335">
        <v>933.58</v>
      </c>
      <c r="R335" s="1">
        <f>+Q335/10000</f>
        <v>9.335800000000001E-2</v>
      </c>
      <c r="S335" s="5">
        <f t="shared" si="99"/>
        <v>77.411737442332949</v>
      </c>
      <c r="T335" s="4">
        <v>32</v>
      </c>
      <c r="U335" s="8">
        <f>+AVERAGE([1]humidity!$B$23800:$B$23885)</f>
        <v>34.860465116279073</v>
      </c>
      <c r="V335">
        <f t="shared" si="100"/>
        <v>4.7547753962618131</v>
      </c>
      <c r="W335">
        <f t="shared" si="101"/>
        <v>1.6575368183712693</v>
      </c>
      <c r="X335" s="6">
        <f t="shared" si="102"/>
        <v>3.0972385778905438</v>
      </c>
      <c r="Y335" s="23">
        <v>0.24598500000000001</v>
      </c>
      <c r="Z335" s="23">
        <v>0.34760600000000003</v>
      </c>
      <c r="AA335" s="23">
        <v>0.236958</v>
      </c>
      <c r="AB335">
        <v>27.12</v>
      </c>
      <c r="AC335">
        <v>26.83</v>
      </c>
      <c r="AD335">
        <v>27.02</v>
      </c>
    </row>
    <row r="336" spans="1:30" x14ac:dyDescent="0.25">
      <c r="A336">
        <v>1</v>
      </c>
      <c r="B336" s="1">
        <v>2</v>
      </c>
      <c r="C336">
        <v>2</v>
      </c>
      <c r="D336">
        <v>1</v>
      </c>
      <c r="E336" t="s">
        <v>26</v>
      </c>
      <c r="F336" s="13" t="s">
        <v>41</v>
      </c>
      <c r="G336" s="1">
        <v>5</v>
      </c>
      <c r="H336">
        <v>2223.25</v>
      </c>
      <c r="I336">
        <v>2206.31</v>
      </c>
      <c r="J336" s="7">
        <v>0.58910879629629631</v>
      </c>
      <c r="K336" s="7">
        <v>0.61982638888888886</v>
      </c>
      <c r="L336" s="1">
        <f t="shared" si="96"/>
        <v>2648.4</v>
      </c>
      <c r="M336" s="4">
        <f>52.33-8.19</f>
        <v>44.14</v>
      </c>
      <c r="N336" s="4">
        <f t="shared" si="97"/>
        <v>16.940000000000055</v>
      </c>
      <c r="O336" s="4">
        <f t="shared" si="98"/>
        <v>16940.000000000055</v>
      </c>
      <c r="P336" s="4">
        <v>0.88877229800630131</v>
      </c>
      <c r="Q336">
        <v>983</v>
      </c>
      <c r="R336" s="1">
        <f>+Q336/10000</f>
        <v>9.8299999999999998E-2</v>
      </c>
      <c r="S336" s="5">
        <f t="shared" si="99"/>
        <v>65.069326104569313</v>
      </c>
      <c r="T336" s="4">
        <v>32</v>
      </c>
      <c r="U336" s="8">
        <f>+AVERAGE([1]humidity!$B$23800:$B$23885)</f>
        <v>34.860465116279073</v>
      </c>
      <c r="V336">
        <f t="shared" si="100"/>
        <v>4.7547753962618131</v>
      </c>
      <c r="W336">
        <f t="shared" si="101"/>
        <v>1.6575368183712693</v>
      </c>
      <c r="X336" s="6">
        <f t="shared" si="102"/>
        <v>3.0972385778905438</v>
      </c>
      <c r="Y336" s="23">
        <v>0.117205</v>
      </c>
      <c r="Z336" s="23">
        <v>0.11935999999999999</v>
      </c>
      <c r="AA336" s="23">
        <v>0.15611900000000001</v>
      </c>
      <c r="AB336">
        <v>27.43</v>
      </c>
      <c r="AC336">
        <v>27.15</v>
      </c>
      <c r="AD336">
        <v>27.22</v>
      </c>
    </row>
    <row r="337" spans="1:30" x14ac:dyDescent="0.25">
      <c r="A337">
        <v>1</v>
      </c>
      <c r="B337" s="1">
        <v>2</v>
      </c>
      <c r="C337">
        <v>4</v>
      </c>
      <c r="D337">
        <v>1</v>
      </c>
      <c r="E337" t="s">
        <v>29</v>
      </c>
      <c r="F337" s="13" t="s">
        <v>42</v>
      </c>
      <c r="G337" s="1">
        <v>5</v>
      </c>
      <c r="H337">
        <v>2696.63</v>
      </c>
      <c r="I337">
        <v>2680.68</v>
      </c>
      <c r="J337" s="7">
        <v>0.58910879629629631</v>
      </c>
      <c r="K337" s="7">
        <v>0.61982638888888886</v>
      </c>
      <c r="L337" s="1">
        <f t="shared" si="96"/>
        <v>2648.4</v>
      </c>
      <c r="M337" s="4">
        <f>52.33-8.19</f>
        <v>44.14</v>
      </c>
      <c r="N337" s="4">
        <f t="shared" si="97"/>
        <v>15.950000000000273</v>
      </c>
      <c r="O337" s="4">
        <f t="shared" si="98"/>
        <v>15950.000000000273</v>
      </c>
      <c r="P337" s="4">
        <v>0.97553516819574082</v>
      </c>
      <c r="Q337">
        <v>775.7</v>
      </c>
      <c r="R337" s="1">
        <f>+Q337/10000</f>
        <v>7.757E-2</v>
      </c>
      <c r="S337" s="5">
        <f t="shared" si="99"/>
        <v>77.639604917509914</v>
      </c>
      <c r="T337" s="4">
        <v>32</v>
      </c>
      <c r="U337" s="8">
        <f>+AVERAGE([1]humidity!$B$23800:$B$23885)</f>
        <v>34.860465116279073</v>
      </c>
      <c r="V337">
        <f t="shared" si="100"/>
        <v>4.7547753962618131</v>
      </c>
      <c r="W337">
        <f t="shared" si="101"/>
        <v>1.6575368183712693</v>
      </c>
      <c r="X337" s="6">
        <f t="shared" si="102"/>
        <v>3.0972385778905438</v>
      </c>
      <c r="Y337" s="23">
        <v>0.14025899999999999</v>
      </c>
      <c r="Z337" s="23">
        <v>0.13786399999999999</v>
      </c>
      <c r="AA337" s="23">
        <v>9.5741999999999994E-2</v>
      </c>
      <c r="AB337">
        <v>27.01</v>
      </c>
      <c r="AC337">
        <v>27.34</v>
      </c>
      <c r="AD337">
        <v>27.55</v>
      </c>
    </row>
    <row r="338" spans="1:30" x14ac:dyDescent="0.25">
      <c r="A338">
        <v>2</v>
      </c>
      <c r="B338">
        <v>1</v>
      </c>
      <c r="C338">
        <v>1</v>
      </c>
      <c r="D338">
        <v>4</v>
      </c>
      <c r="E338" t="s">
        <v>26</v>
      </c>
      <c r="F338" s="13" t="s">
        <v>41</v>
      </c>
      <c r="G338">
        <v>1</v>
      </c>
      <c r="H338">
        <v>2925.5</v>
      </c>
      <c r="I338">
        <v>2917.55</v>
      </c>
      <c r="J338" s="11">
        <v>0.49791666666666667</v>
      </c>
      <c r="K338" s="7">
        <v>0.53189814814814818</v>
      </c>
      <c r="L338">
        <f t="shared" ref="L338:L347" si="103">+M338*60</f>
        <v>2880</v>
      </c>
      <c r="M338">
        <v>48</v>
      </c>
      <c r="N338">
        <f t="shared" ref="N338:N347" si="104">+H338-I338</f>
        <v>7.9499999999998181</v>
      </c>
      <c r="O338">
        <f t="shared" ref="O338:O347" si="105">+N338*1000</f>
        <v>7949.9999999998181</v>
      </c>
      <c r="P338" s="2">
        <v>0.76515880654474644</v>
      </c>
      <c r="Q338">
        <v>767.27</v>
      </c>
      <c r="R338" s="1">
        <v>7.6727000000000004E-2</v>
      </c>
      <c r="S338" s="5">
        <v>35.977122351539919</v>
      </c>
      <c r="T338" s="4">
        <v>32</v>
      </c>
      <c r="U338" s="8">
        <v>77.865979381443296</v>
      </c>
      <c r="V338">
        <v>4.7547753962618131</v>
      </c>
      <c r="W338">
        <v>3.7023524296871622</v>
      </c>
      <c r="X338" s="6">
        <v>1.052422966574651</v>
      </c>
    </row>
    <row r="339" spans="1:30" x14ac:dyDescent="0.25">
      <c r="A339">
        <v>2</v>
      </c>
      <c r="B339">
        <v>1</v>
      </c>
      <c r="C339">
        <v>1</v>
      </c>
      <c r="D339">
        <v>4</v>
      </c>
      <c r="E339" t="s">
        <v>26</v>
      </c>
      <c r="F339" s="13" t="s">
        <v>41</v>
      </c>
      <c r="G339">
        <v>2</v>
      </c>
      <c r="H339">
        <v>2910.56</v>
      </c>
      <c r="I339">
        <v>2900.77</v>
      </c>
      <c r="J339" s="7">
        <v>0.55482638888888891</v>
      </c>
      <c r="K339" s="7">
        <v>0.58539351851851851</v>
      </c>
      <c r="L339">
        <f t="shared" si="103"/>
        <v>2640</v>
      </c>
      <c r="M339">
        <v>44</v>
      </c>
      <c r="N339">
        <f t="shared" si="104"/>
        <v>9.7899999999999636</v>
      </c>
      <c r="O339">
        <f t="shared" si="105"/>
        <v>9789.9999999999636</v>
      </c>
      <c r="P339" s="2">
        <v>0.9422521655438002</v>
      </c>
      <c r="Q339">
        <v>767.27</v>
      </c>
      <c r="R339" s="1">
        <v>7.6727000000000004E-2</v>
      </c>
      <c r="S339" s="5">
        <v>48.331530404333797</v>
      </c>
      <c r="T339" s="4">
        <v>32</v>
      </c>
      <c r="U339" s="8">
        <v>66.811764705882354</v>
      </c>
      <c r="V339">
        <v>4.7547753962618131</v>
      </c>
      <c r="W339">
        <v>3.1767493500436275</v>
      </c>
      <c r="X339" s="6">
        <v>1.5780260462181857</v>
      </c>
    </row>
    <row r="340" spans="1:30" x14ac:dyDescent="0.25">
      <c r="A340">
        <v>2</v>
      </c>
      <c r="B340">
        <v>1</v>
      </c>
      <c r="C340">
        <v>1</v>
      </c>
      <c r="D340">
        <v>4</v>
      </c>
      <c r="E340" t="s">
        <v>26</v>
      </c>
      <c r="F340" s="13" t="s">
        <v>41</v>
      </c>
      <c r="G340">
        <v>3</v>
      </c>
      <c r="H340">
        <v>2894.1</v>
      </c>
      <c r="I340">
        <v>2884.44</v>
      </c>
      <c r="J340" s="7">
        <v>0.60451388888888891</v>
      </c>
      <c r="K340" s="7">
        <v>0.63587962962962963</v>
      </c>
      <c r="L340">
        <f t="shared" si="103"/>
        <v>2700</v>
      </c>
      <c r="M340">
        <v>45</v>
      </c>
      <c r="N340">
        <f t="shared" si="104"/>
        <v>9.6599999999998545</v>
      </c>
      <c r="O340">
        <f t="shared" si="105"/>
        <v>9659.9999999998545</v>
      </c>
      <c r="P340" s="2">
        <v>0.92974013474494444</v>
      </c>
      <c r="Q340">
        <v>767.27</v>
      </c>
      <c r="R340">
        <v>7.6727000000000004E-2</v>
      </c>
      <c r="S340">
        <v>46.629970906952231</v>
      </c>
      <c r="T340">
        <v>32</v>
      </c>
      <c r="U340" s="8">
        <v>56</v>
      </c>
      <c r="V340">
        <v>4.7547753962618131</v>
      </c>
      <c r="W340">
        <v>2.6626742219066157</v>
      </c>
      <c r="X340" s="12">
        <v>2.0921011743551974</v>
      </c>
    </row>
    <row r="341" spans="1:30" x14ac:dyDescent="0.25">
      <c r="A341">
        <v>2</v>
      </c>
      <c r="B341">
        <v>1</v>
      </c>
      <c r="C341">
        <v>1</v>
      </c>
      <c r="D341">
        <v>4</v>
      </c>
      <c r="E341" t="s">
        <v>26</v>
      </c>
      <c r="F341" s="13" t="s">
        <v>41</v>
      </c>
      <c r="G341">
        <v>4</v>
      </c>
      <c r="H341">
        <v>2878.7</v>
      </c>
      <c r="I341">
        <v>2868.78</v>
      </c>
      <c r="J341" s="7">
        <v>0.65208333333333335</v>
      </c>
      <c r="K341" s="7">
        <v>0.68402777777777779</v>
      </c>
      <c r="L341">
        <f t="shared" si="103"/>
        <v>2760</v>
      </c>
      <c r="M341">
        <v>46</v>
      </c>
      <c r="N341">
        <f t="shared" si="104"/>
        <v>9.919999999999618</v>
      </c>
      <c r="O341">
        <f t="shared" si="105"/>
        <v>9919.999999999618</v>
      </c>
      <c r="P341" s="2">
        <v>0.95476419634261211</v>
      </c>
      <c r="Q341">
        <v>767.27</v>
      </c>
      <c r="R341">
        <v>7.6727000000000004E-2</v>
      </c>
      <c r="S341">
        <v>46.844043147139679</v>
      </c>
      <c r="T341">
        <v>32</v>
      </c>
      <c r="U341" s="8">
        <v>47.103448275862071</v>
      </c>
      <c r="V341">
        <v>4.7547753962618131</v>
      </c>
      <c r="W341">
        <v>2.2396631694115987</v>
      </c>
      <c r="X341" s="12">
        <v>2.5151122268502144</v>
      </c>
    </row>
    <row r="342" spans="1:30" x14ac:dyDescent="0.25">
      <c r="A342">
        <v>2</v>
      </c>
      <c r="B342">
        <v>1</v>
      </c>
      <c r="C342">
        <v>1</v>
      </c>
      <c r="D342">
        <v>4</v>
      </c>
      <c r="E342" t="s">
        <v>26</v>
      </c>
      <c r="F342" s="13" t="s">
        <v>41</v>
      </c>
      <c r="G342">
        <v>5</v>
      </c>
      <c r="H342">
        <v>2862.68</v>
      </c>
      <c r="I342">
        <v>2852.53</v>
      </c>
      <c r="J342" s="7">
        <v>0.70046296296296295</v>
      </c>
      <c r="K342" s="7">
        <v>0.73293981481481485</v>
      </c>
      <c r="L342">
        <f t="shared" si="103"/>
        <v>2760</v>
      </c>
      <c r="M342">
        <v>46</v>
      </c>
      <c r="N342">
        <f t="shared" si="104"/>
        <v>10.149999999999636</v>
      </c>
      <c r="O342">
        <f t="shared" si="105"/>
        <v>10149.999999999636</v>
      </c>
      <c r="P342" s="2">
        <v>0.97690086621749384</v>
      </c>
      <c r="Q342">
        <v>767.27</v>
      </c>
      <c r="R342">
        <v>7.6727000000000004E-2</v>
      </c>
      <c r="S342">
        <v>47.930144953978726</v>
      </c>
      <c r="T342">
        <v>32</v>
      </c>
      <c r="U342" s="8">
        <v>38.567010309278352</v>
      </c>
      <c r="V342">
        <v>4.7547753962618131</v>
      </c>
      <c r="W342">
        <v>1.8337747172593242</v>
      </c>
      <c r="X342" s="12">
        <v>2.9210006790024892</v>
      </c>
    </row>
    <row r="343" spans="1:30" x14ac:dyDescent="0.25">
      <c r="A343">
        <v>2</v>
      </c>
      <c r="B343">
        <v>1</v>
      </c>
      <c r="C343">
        <v>1</v>
      </c>
      <c r="D343">
        <v>4</v>
      </c>
      <c r="E343" t="s">
        <v>26</v>
      </c>
      <c r="F343" s="13" t="s">
        <v>41</v>
      </c>
      <c r="G343">
        <v>6</v>
      </c>
      <c r="H343">
        <v>2848.65</v>
      </c>
      <c r="I343">
        <v>2838.26</v>
      </c>
      <c r="J343" s="7">
        <v>0.7436342592592593</v>
      </c>
      <c r="K343" s="7">
        <v>0.77496527777777779</v>
      </c>
      <c r="L343">
        <f t="shared" si="103"/>
        <v>2700</v>
      </c>
      <c r="M343">
        <v>45</v>
      </c>
      <c r="N343">
        <f t="shared" si="104"/>
        <v>10.389999999999873</v>
      </c>
      <c r="O343">
        <f t="shared" si="105"/>
        <v>10389.999999999873</v>
      </c>
      <c r="P343" s="2">
        <v>1</v>
      </c>
      <c r="Q343">
        <v>767.27</v>
      </c>
      <c r="R343">
        <v>7.6727000000000004E-2</v>
      </c>
      <c r="S343">
        <v>50.153767880252076</v>
      </c>
      <c r="T343">
        <v>32</v>
      </c>
      <c r="U343" s="8">
        <v>23.483146067415731</v>
      </c>
      <c r="V343">
        <v>4.7547753962618131</v>
      </c>
      <c r="W343">
        <v>1.1165708514817068</v>
      </c>
      <c r="X343" s="12">
        <v>3.6382045447801064</v>
      </c>
    </row>
    <row r="344" spans="1:30" x14ac:dyDescent="0.25">
      <c r="A344">
        <v>2</v>
      </c>
      <c r="B344">
        <v>2</v>
      </c>
      <c r="C344">
        <v>1</v>
      </c>
      <c r="D344">
        <v>5</v>
      </c>
      <c r="E344" t="s">
        <v>33</v>
      </c>
      <c r="F344" t="s">
        <v>38</v>
      </c>
      <c r="G344">
        <v>5</v>
      </c>
      <c r="H344">
        <v>4228.17</v>
      </c>
      <c r="I344">
        <v>4192.46</v>
      </c>
      <c r="J344" s="7">
        <v>0.60483796296296299</v>
      </c>
      <c r="K344" s="7">
        <v>0.63657407407407407</v>
      </c>
      <c r="L344">
        <f t="shared" si="103"/>
        <v>2700</v>
      </c>
      <c r="M344">
        <v>45</v>
      </c>
      <c r="N344">
        <f t="shared" si="104"/>
        <v>35.710000000000036</v>
      </c>
      <c r="O344">
        <f t="shared" si="105"/>
        <v>35710.000000000036</v>
      </c>
      <c r="P344" s="2">
        <v>0.95506820005350612</v>
      </c>
      <c r="Q344">
        <v>1635</v>
      </c>
      <c r="R344">
        <v>0.16350000000000001</v>
      </c>
      <c r="S344">
        <v>80.892513308415516</v>
      </c>
      <c r="T344">
        <v>32</v>
      </c>
      <c r="U344" s="8">
        <v>38.634408602150536</v>
      </c>
      <c r="V344">
        <v>4.7547753962618131</v>
      </c>
      <c r="W344">
        <v>1.8369793547063114</v>
      </c>
      <c r="X344" s="12">
        <v>2.9177960415555018</v>
      </c>
    </row>
    <row r="345" spans="1:30" x14ac:dyDescent="0.25">
      <c r="A345">
        <v>2</v>
      </c>
      <c r="B345">
        <v>2</v>
      </c>
      <c r="C345">
        <v>4</v>
      </c>
      <c r="D345">
        <v>4</v>
      </c>
      <c r="E345" t="s">
        <v>28</v>
      </c>
      <c r="F345" s="20" t="s">
        <v>40</v>
      </c>
      <c r="G345">
        <v>5</v>
      </c>
      <c r="H345">
        <v>2983.13</v>
      </c>
      <c r="I345">
        <v>2967.25</v>
      </c>
      <c r="J345" s="7">
        <v>0.60483796296296299</v>
      </c>
      <c r="K345" s="7">
        <v>0.63657407407407407</v>
      </c>
      <c r="L345">
        <f t="shared" si="103"/>
        <v>2700</v>
      </c>
      <c r="M345">
        <v>45</v>
      </c>
      <c r="N345">
        <f t="shared" si="104"/>
        <v>15.880000000000109</v>
      </c>
      <c r="O345">
        <f t="shared" si="105"/>
        <v>15880.000000000109</v>
      </c>
      <c r="P345" s="2">
        <v>0.88075429839156594</v>
      </c>
      <c r="Q345">
        <v>914</v>
      </c>
      <c r="R345">
        <v>9.1399999999999995E-2</v>
      </c>
      <c r="S345">
        <v>64.348812707675307</v>
      </c>
      <c r="T345">
        <v>32</v>
      </c>
      <c r="U345" s="8">
        <v>38.634408602150536</v>
      </c>
      <c r="V345">
        <v>4.7547753962618131</v>
      </c>
      <c r="W345">
        <v>1.8369793547063114</v>
      </c>
      <c r="X345" s="12">
        <v>2.9177960415555018</v>
      </c>
    </row>
    <row r="346" spans="1:30" x14ac:dyDescent="0.25">
      <c r="A346">
        <v>2</v>
      </c>
      <c r="B346">
        <v>2</v>
      </c>
      <c r="C346">
        <v>1</v>
      </c>
      <c r="D346">
        <v>2</v>
      </c>
      <c r="E346" t="s">
        <v>25</v>
      </c>
      <c r="F346" s="13" t="s">
        <v>41</v>
      </c>
      <c r="G346">
        <v>5</v>
      </c>
      <c r="H346">
        <v>3042.16</v>
      </c>
      <c r="I346">
        <v>3024.15</v>
      </c>
      <c r="J346" s="7">
        <v>0.60483796296296299</v>
      </c>
      <c r="K346" s="7">
        <v>0.63657407407407407</v>
      </c>
      <c r="L346">
        <f t="shared" si="103"/>
        <v>2700</v>
      </c>
      <c r="M346">
        <v>45</v>
      </c>
      <c r="N346">
        <f t="shared" si="104"/>
        <v>18.009999999999764</v>
      </c>
      <c r="O346">
        <f t="shared" si="105"/>
        <v>18009.999999999764</v>
      </c>
      <c r="P346" s="2">
        <v>0.91051567239633879</v>
      </c>
      <c r="Q346">
        <v>915.55</v>
      </c>
      <c r="R346">
        <v>9.1554999999999997E-2</v>
      </c>
      <c r="S346">
        <v>72.856429144997904</v>
      </c>
      <c r="T346">
        <v>32</v>
      </c>
      <c r="U346" s="8">
        <v>38.634408602150536</v>
      </c>
      <c r="V346">
        <v>4.7547753962618131</v>
      </c>
      <c r="W346">
        <v>1.8369793547063114</v>
      </c>
      <c r="X346" s="12">
        <v>2.9177960415555018</v>
      </c>
    </row>
    <row r="347" spans="1:30" x14ac:dyDescent="0.25">
      <c r="A347">
        <v>2</v>
      </c>
      <c r="B347">
        <v>2</v>
      </c>
      <c r="C347">
        <v>4</v>
      </c>
      <c r="D347">
        <v>3</v>
      </c>
      <c r="E347" t="s">
        <v>27</v>
      </c>
      <c r="F347" s="13" t="s">
        <v>39</v>
      </c>
      <c r="G347">
        <v>5</v>
      </c>
      <c r="H347">
        <v>3039.17</v>
      </c>
      <c r="I347">
        <v>3022.31</v>
      </c>
      <c r="J347" s="7">
        <v>0.60483796296296299</v>
      </c>
      <c r="K347" s="7">
        <v>0.63657407407407407</v>
      </c>
      <c r="L347">
        <f t="shared" si="103"/>
        <v>2700</v>
      </c>
      <c r="M347">
        <v>45</v>
      </c>
      <c r="N347">
        <f t="shared" si="104"/>
        <v>16.860000000000127</v>
      </c>
      <c r="O347">
        <f t="shared" si="105"/>
        <v>16860.000000000127</v>
      </c>
      <c r="P347" s="2">
        <v>0.88179916317992801</v>
      </c>
      <c r="Q347">
        <v>793.6</v>
      </c>
      <c r="R347">
        <v>7.936E-2</v>
      </c>
      <c r="S347">
        <v>78.685035842294511</v>
      </c>
      <c r="T347">
        <v>32</v>
      </c>
      <c r="U347" s="8">
        <v>38.634408602150536</v>
      </c>
      <c r="V347">
        <v>4.7547753962618131</v>
      </c>
      <c r="W347">
        <v>1.8369793547063114</v>
      </c>
      <c r="X347" s="12">
        <v>2.9177960415555018</v>
      </c>
    </row>
    <row r="348" spans="1:30" x14ac:dyDescent="0.25">
      <c r="A348">
        <v>1</v>
      </c>
      <c r="B348" s="1">
        <v>2</v>
      </c>
      <c r="C348">
        <v>5</v>
      </c>
      <c r="D348">
        <v>4</v>
      </c>
      <c r="E348" t="s">
        <v>35</v>
      </c>
      <c r="F348" t="s">
        <v>38</v>
      </c>
      <c r="G348" s="1">
        <v>5</v>
      </c>
      <c r="H348">
        <v>2507.73</v>
      </c>
      <c r="I348">
        <v>2493.62</v>
      </c>
      <c r="J348" s="7">
        <v>0.58910879629629631</v>
      </c>
      <c r="K348" s="7">
        <v>0.61982638888888886</v>
      </c>
      <c r="L348" s="1">
        <f>M348*60</f>
        <v>2648.4</v>
      </c>
      <c r="M348" s="4">
        <f>52.33-8.19</f>
        <v>44.14</v>
      </c>
      <c r="N348" s="4">
        <f>H348-I348</f>
        <v>14.110000000000127</v>
      </c>
      <c r="O348" s="4">
        <f>N348*1000</f>
        <v>14110.000000000127</v>
      </c>
      <c r="P348" s="4">
        <v>0.95466847090662632</v>
      </c>
      <c r="Q348">
        <v>759</v>
      </c>
      <c r="R348" s="1">
        <f>+Q348/10000</f>
        <v>7.5899999999999995E-2</v>
      </c>
      <c r="S348" s="5">
        <f>O348/(R348*L348)</f>
        <v>70.194269481124195</v>
      </c>
      <c r="T348" s="4">
        <v>32</v>
      </c>
      <c r="U348" s="8">
        <f>+AVERAGE([1]humidity!$B$23800:$B$23885)</f>
        <v>34.860465116279073</v>
      </c>
      <c r="V348">
        <f>0.6108*EXP((17.27*T348)/(T348+237.3))</f>
        <v>4.7547753962618131</v>
      </c>
      <c r="W348">
        <f>V348*(U348/100)</f>
        <v>1.6575368183712693</v>
      </c>
      <c r="X348" s="6">
        <f>V348-W348</f>
        <v>3.0972385778905438</v>
      </c>
    </row>
    <row r="349" spans="1:30" x14ac:dyDescent="0.25">
      <c r="A349">
        <v>2</v>
      </c>
      <c r="B349">
        <v>2</v>
      </c>
      <c r="C349">
        <v>1</v>
      </c>
      <c r="D349">
        <v>1</v>
      </c>
      <c r="E349" t="s">
        <v>32</v>
      </c>
      <c r="F349" s="13" t="s">
        <v>42</v>
      </c>
      <c r="G349">
        <v>5</v>
      </c>
      <c r="H349">
        <v>3162.44</v>
      </c>
      <c r="I349">
        <v>3149.46</v>
      </c>
      <c r="J349" s="7">
        <v>0.60483796296296299</v>
      </c>
      <c r="K349" s="7">
        <v>0.63657407407407407</v>
      </c>
      <c r="L349">
        <f>+M349*60</f>
        <v>2700</v>
      </c>
      <c r="M349">
        <v>45</v>
      </c>
      <c r="N349">
        <f>+H349-I349</f>
        <v>12.980000000000018</v>
      </c>
      <c r="O349">
        <f>+N349*1000</f>
        <v>12980.000000000018</v>
      </c>
      <c r="P349" s="2">
        <v>0.87880839539607547</v>
      </c>
      <c r="Q349">
        <v>655.83</v>
      </c>
      <c r="R349">
        <v>6.5583000000000002E-2</v>
      </c>
      <c r="S349">
        <v>73.302645615592667</v>
      </c>
      <c r="T349">
        <v>32</v>
      </c>
      <c r="U349" s="8">
        <v>38.634408602150536</v>
      </c>
      <c r="V349">
        <v>4.7547753962618131</v>
      </c>
      <c r="W349">
        <v>1.8369793547063114</v>
      </c>
      <c r="X349" s="12">
        <v>2.9177960415555018</v>
      </c>
    </row>
    <row r="350" spans="1:30" x14ac:dyDescent="0.25">
      <c r="A350">
        <v>4</v>
      </c>
      <c r="B350">
        <v>1</v>
      </c>
      <c r="C350">
        <v>4</v>
      </c>
      <c r="D350">
        <v>4</v>
      </c>
      <c r="E350" t="s">
        <v>23</v>
      </c>
      <c r="F350" s="13" t="s">
        <v>39</v>
      </c>
      <c r="G350">
        <v>5</v>
      </c>
      <c r="H350">
        <v>2314.15</v>
      </c>
      <c r="I350">
        <v>2271.1799999999998</v>
      </c>
      <c r="J350" s="7">
        <v>0.53123842592592596</v>
      </c>
      <c r="K350" s="11">
        <v>0.55861111111111106</v>
      </c>
      <c r="L350">
        <f t="shared" ref="L350:L374" si="106">M350*60</f>
        <v>2340</v>
      </c>
      <c r="M350" s="8">
        <v>39</v>
      </c>
      <c r="N350" s="8">
        <f t="shared" ref="N350:N374" si="107">H350-I350</f>
        <v>42.970000000000255</v>
      </c>
      <c r="O350">
        <f t="shared" ref="O350:O374" si="108">N350*1000</f>
        <v>42970.000000000255</v>
      </c>
      <c r="U350" s="8"/>
      <c r="X350" s="12"/>
      <c r="Y350" s="23">
        <v>5.6065999999999998E-2</v>
      </c>
      <c r="Z350" s="23">
        <v>7.5455999999999995E-2</v>
      </c>
      <c r="AA350" s="23">
        <v>0.105458</v>
      </c>
      <c r="AB350">
        <v>27.35</v>
      </c>
      <c r="AC350">
        <v>27.13</v>
      </c>
      <c r="AD350">
        <v>26.26</v>
      </c>
    </row>
    <row r="351" spans="1:30" x14ac:dyDescent="0.25">
      <c r="A351">
        <v>4</v>
      </c>
      <c r="B351">
        <v>1</v>
      </c>
      <c r="C351">
        <v>5</v>
      </c>
      <c r="D351">
        <v>3</v>
      </c>
      <c r="E351" t="s">
        <v>28</v>
      </c>
      <c r="F351" s="20" t="s">
        <v>40</v>
      </c>
      <c r="G351">
        <v>5</v>
      </c>
      <c r="H351">
        <v>2653.42</v>
      </c>
      <c r="I351">
        <v>2617.2399999999998</v>
      </c>
      <c r="J351" s="7">
        <v>0.53123842592592596</v>
      </c>
      <c r="K351" s="11">
        <v>0.55861111111111106</v>
      </c>
      <c r="L351">
        <f t="shared" si="106"/>
        <v>2340</v>
      </c>
      <c r="M351" s="8">
        <v>39</v>
      </c>
      <c r="N351" s="8">
        <f t="shared" si="107"/>
        <v>36.180000000000291</v>
      </c>
      <c r="O351">
        <f t="shared" si="108"/>
        <v>36180.000000000291</v>
      </c>
      <c r="P351" s="2">
        <v>0.91525423728813826</v>
      </c>
      <c r="Q351">
        <v>4057.6</v>
      </c>
      <c r="R351">
        <f>+Q351/10000</f>
        <v>0.40576000000000001</v>
      </c>
      <c r="S351">
        <f>O351/(R351*L351)</f>
        <v>38.105132249454321</v>
      </c>
      <c r="T351">
        <v>32</v>
      </c>
      <c r="U351" s="8">
        <v>38</v>
      </c>
      <c r="V351">
        <f>0.6108*EXP((17.27*T351)/(T351+237.3))</f>
        <v>4.7547753962618131</v>
      </c>
      <c r="W351">
        <f>V351*(U351/100)</f>
        <v>1.8068146505794891</v>
      </c>
      <c r="X351" s="12">
        <f>V351-W351</f>
        <v>2.947960745682324</v>
      </c>
      <c r="Y351" s="23">
        <v>0.16459399999999999</v>
      </c>
      <c r="Z351" s="23">
        <v>0.33421299999999998</v>
      </c>
      <c r="AA351" s="23">
        <v>7.7875E-2</v>
      </c>
      <c r="AB351">
        <v>27.65</v>
      </c>
      <c r="AC351">
        <v>27.19</v>
      </c>
      <c r="AD351">
        <v>28.07</v>
      </c>
    </row>
    <row r="352" spans="1:30" x14ac:dyDescent="0.25">
      <c r="A352">
        <v>4</v>
      </c>
      <c r="B352">
        <v>1</v>
      </c>
      <c r="C352">
        <v>1</v>
      </c>
      <c r="D352">
        <v>5</v>
      </c>
      <c r="E352" t="s">
        <v>36</v>
      </c>
      <c r="F352" s="13" t="s">
        <v>41</v>
      </c>
      <c r="G352">
        <v>5</v>
      </c>
      <c r="H352">
        <v>2707.01</v>
      </c>
      <c r="I352">
        <v>2671.46</v>
      </c>
      <c r="J352" s="7">
        <v>0.53123842592592596</v>
      </c>
      <c r="K352" s="11">
        <v>0.55861111111111106</v>
      </c>
      <c r="L352">
        <f t="shared" si="106"/>
        <v>2340</v>
      </c>
      <c r="M352" s="8">
        <v>39</v>
      </c>
      <c r="N352" s="8">
        <f t="shared" si="107"/>
        <v>35.550000000000182</v>
      </c>
      <c r="O352">
        <f t="shared" si="108"/>
        <v>35550.000000000182</v>
      </c>
      <c r="P352" s="2">
        <v>0.8442175255283797</v>
      </c>
      <c r="Q352">
        <v>3860.73</v>
      </c>
      <c r="R352">
        <f>+Q352/10000</f>
        <v>0.386073</v>
      </c>
      <c r="S352">
        <f>O352/(R352*L352)</f>
        <v>39.35086808015005</v>
      </c>
      <c r="T352">
        <v>32</v>
      </c>
      <c r="U352" s="8">
        <v>38</v>
      </c>
      <c r="V352">
        <f>0.6108*EXP((17.27*T352)/(T352+237.3))</f>
        <v>4.7547753962618131</v>
      </c>
      <c r="W352">
        <f>V352*(U352/100)</f>
        <v>1.8068146505794891</v>
      </c>
      <c r="X352" s="12">
        <f>V352-W352</f>
        <v>2.947960745682324</v>
      </c>
      <c r="Y352" s="23">
        <v>4.2653000000000003E-2</v>
      </c>
      <c r="Z352" s="23">
        <v>0.18584200000000001</v>
      </c>
      <c r="AA352" s="23">
        <v>8.8138999999999995E-2</v>
      </c>
      <c r="AB352">
        <v>26.99</v>
      </c>
      <c r="AC352">
        <v>25.16</v>
      </c>
      <c r="AD352">
        <v>26.11</v>
      </c>
    </row>
    <row r="353" spans="1:30" x14ac:dyDescent="0.25">
      <c r="A353">
        <v>4</v>
      </c>
      <c r="B353">
        <v>1</v>
      </c>
      <c r="C353">
        <v>6</v>
      </c>
      <c r="D353">
        <v>1</v>
      </c>
      <c r="E353" t="s">
        <v>25</v>
      </c>
      <c r="F353" s="13" t="s">
        <v>41</v>
      </c>
      <c r="G353">
        <v>5</v>
      </c>
      <c r="H353">
        <v>2540.63</v>
      </c>
      <c r="I353">
        <v>2494.1</v>
      </c>
      <c r="J353" s="7">
        <v>0.53123842592592596</v>
      </c>
      <c r="K353" s="11">
        <v>0.55861111111111106</v>
      </c>
      <c r="L353">
        <f t="shared" si="106"/>
        <v>2340</v>
      </c>
      <c r="M353" s="8">
        <v>39</v>
      </c>
      <c r="N353" s="8">
        <f t="shared" si="107"/>
        <v>46.5300000000002</v>
      </c>
      <c r="O353">
        <f t="shared" si="108"/>
        <v>46530.000000000204</v>
      </c>
      <c r="P353" s="2">
        <v>1</v>
      </c>
      <c r="Q353">
        <v>3248.02</v>
      </c>
      <c r="R353">
        <f>+Q353/10000</f>
        <v>0.32480199999999998</v>
      </c>
      <c r="S353">
        <f>O353/(R353*L353)</f>
        <v>61.220729504792068</v>
      </c>
      <c r="T353">
        <v>32</v>
      </c>
      <c r="U353" s="8">
        <v>38</v>
      </c>
      <c r="V353">
        <f>0.6108*EXP((17.27*T353)/(T353+237.3))</f>
        <v>4.7547753962618131</v>
      </c>
      <c r="W353">
        <f>V353*(U353/100)</f>
        <v>1.8068146505794891</v>
      </c>
      <c r="X353" s="12">
        <f>V353-W353</f>
        <v>2.947960745682324</v>
      </c>
      <c r="Y353" s="23">
        <v>0.29498400000000002</v>
      </c>
      <c r="Z353" s="23">
        <v>0.203601</v>
      </c>
      <c r="AA353" s="23">
        <v>5.5552999999999998E-2</v>
      </c>
      <c r="AB353">
        <v>26.51</v>
      </c>
      <c r="AC353">
        <v>26.46</v>
      </c>
      <c r="AD353">
        <v>26.89</v>
      </c>
    </row>
    <row r="354" spans="1:30" x14ac:dyDescent="0.25">
      <c r="A354">
        <v>4</v>
      </c>
      <c r="B354">
        <v>1</v>
      </c>
      <c r="C354">
        <v>6</v>
      </c>
      <c r="D354">
        <v>4</v>
      </c>
      <c r="E354" t="s">
        <v>32</v>
      </c>
      <c r="F354" s="13" t="s">
        <v>42</v>
      </c>
      <c r="G354">
        <v>5</v>
      </c>
      <c r="H354">
        <v>2494.04</v>
      </c>
      <c r="I354">
        <v>2450.1</v>
      </c>
      <c r="J354" s="7">
        <v>0.53123842592592596</v>
      </c>
      <c r="K354" s="11">
        <v>0.55861111111111106</v>
      </c>
      <c r="L354">
        <f t="shared" si="106"/>
        <v>2340</v>
      </c>
      <c r="M354" s="8">
        <v>39</v>
      </c>
      <c r="N354" s="8">
        <f t="shared" si="107"/>
        <v>43.940000000000055</v>
      </c>
      <c r="O354">
        <f t="shared" si="108"/>
        <v>43940.000000000058</v>
      </c>
      <c r="P354" s="2">
        <v>0.90672719768881604</v>
      </c>
      <c r="Q354">
        <v>4004.66</v>
      </c>
      <c r="R354">
        <f>+Q354/10000</f>
        <v>0.40046599999999999</v>
      </c>
      <c r="S354">
        <f>O354/(R354*L354)</f>
        <v>46.889817806699703</v>
      </c>
      <c r="T354">
        <v>32</v>
      </c>
      <c r="U354" s="8">
        <v>38</v>
      </c>
      <c r="V354">
        <f>0.6108*EXP((17.27*T354)/(T354+237.3))</f>
        <v>4.7547753962618131</v>
      </c>
      <c r="W354">
        <f>V354*(U354/100)</f>
        <v>1.8068146505794891</v>
      </c>
      <c r="X354" s="12">
        <f>V354-W354</f>
        <v>2.947960745682324</v>
      </c>
      <c r="Y354" s="23">
        <v>8.9513999999999996E-2</v>
      </c>
      <c r="Z354" s="23">
        <v>0.111197</v>
      </c>
      <c r="AA354" s="23">
        <v>0.11140700000000001</v>
      </c>
      <c r="AB354">
        <v>27.76</v>
      </c>
      <c r="AC354">
        <v>27.68</v>
      </c>
      <c r="AD354">
        <v>27.61</v>
      </c>
    </row>
    <row r="355" spans="1:30" x14ac:dyDescent="0.25">
      <c r="A355">
        <v>4</v>
      </c>
      <c r="B355">
        <v>2</v>
      </c>
      <c r="C355">
        <v>4</v>
      </c>
      <c r="D355">
        <v>4</v>
      </c>
      <c r="E355" t="s">
        <v>23</v>
      </c>
      <c r="F355" s="13" t="s">
        <v>39</v>
      </c>
      <c r="G355">
        <v>4</v>
      </c>
      <c r="H355">
        <v>2277.16</v>
      </c>
      <c r="I355">
        <v>2231.9899999999998</v>
      </c>
      <c r="J355" s="11">
        <v>0.52666666666666662</v>
      </c>
      <c r="K355" s="7">
        <v>0.55862268518518521</v>
      </c>
      <c r="L355">
        <f t="shared" si="106"/>
        <v>2760</v>
      </c>
      <c r="M355" s="8">
        <v>46</v>
      </c>
      <c r="N355" s="8">
        <f t="shared" si="107"/>
        <v>45.170000000000073</v>
      </c>
      <c r="O355">
        <f t="shared" si="108"/>
        <v>45170.000000000073</v>
      </c>
      <c r="U355" s="8"/>
      <c r="X355" s="12"/>
    </row>
    <row r="356" spans="1:30" x14ac:dyDescent="0.25">
      <c r="A356">
        <v>4</v>
      </c>
      <c r="B356">
        <v>2</v>
      </c>
      <c r="C356">
        <v>5</v>
      </c>
      <c r="D356">
        <v>3</v>
      </c>
      <c r="E356" t="s">
        <v>28</v>
      </c>
      <c r="F356" s="20" t="s">
        <v>40</v>
      </c>
      <c r="G356">
        <v>4</v>
      </c>
      <c r="H356">
        <v>2540.3000000000002</v>
      </c>
      <c r="I356">
        <v>2492.0500000000002</v>
      </c>
      <c r="J356" s="11">
        <v>0.52666666666666662</v>
      </c>
      <c r="K356" s="7">
        <v>0.55862268518518521</v>
      </c>
      <c r="L356">
        <f t="shared" si="106"/>
        <v>2760</v>
      </c>
      <c r="M356" s="8">
        <v>46</v>
      </c>
      <c r="N356" s="8">
        <f t="shared" si="107"/>
        <v>48.25</v>
      </c>
      <c r="O356">
        <f t="shared" si="108"/>
        <v>48250</v>
      </c>
      <c r="P356">
        <v>1</v>
      </c>
      <c r="Q356">
        <v>4057.6</v>
      </c>
      <c r="R356">
        <f>+Q356/10000</f>
        <v>0.40576000000000001</v>
      </c>
      <c r="S356">
        <f t="shared" ref="S356:S374" si="109">O356/(R356*L356)</f>
        <v>43.084296278516895</v>
      </c>
      <c r="T356">
        <v>32</v>
      </c>
      <c r="U356" s="8">
        <v>49</v>
      </c>
      <c r="V356">
        <f t="shared" ref="V356:V374" si="110">0.6108*EXP((17.27*T356)/(T356+237.3))</f>
        <v>4.7547753962618131</v>
      </c>
      <c r="W356">
        <f t="shared" ref="W356:W374" si="111">V356*(U356/100)</f>
        <v>2.3298399441682882</v>
      </c>
      <c r="X356" s="12">
        <f t="shared" ref="X356:X374" si="112">V356-W356</f>
        <v>2.4249354520935249</v>
      </c>
    </row>
    <row r="357" spans="1:30" x14ac:dyDescent="0.25">
      <c r="A357">
        <v>4</v>
      </c>
      <c r="B357">
        <v>2</v>
      </c>
      <c r="C357">
        <v>1</v>
      </c>
      <c r="D357">
        <v>4</v>
      </c>
      <c r="E357" t="s">
        <v>36</v>
      </c>
      <c r="F357" s="13" t="s">
        <v>41</v>
      </c>
      <c r="G357">
        <v>4</v>
      </c>
      <c r="H357">
        <v>2623.99</v>
      </c>
      <c r="I357">
        <v>2574.58</v>
      </c>
      <c r="J357" s="11">
        <v>0.52666666666666662</v>
      </c>
      <c r="K357" s="7">
        <v>0.55862268518518521</v>
      </c>
      <c r="L357">
        <f t="shared" si="106"/>
        <v>2760</v>
      </c>
      <c r="M357" s="8">
        <v>46</v>
      </c>
      <c r="N357" s="8">
        <f t="shared" si="107"/>
        <v>49.409999999999854</v>
      </c>
      <c r="O357">
        <f t="shared" si="108"/>
        <v>49409.999999999854</v>
      </c>
      <c r="P357" s="2">
        <v>1</v>
      </c>
      <c r="Q357">
        <v>3860.73</v>
      </c>
      <c r="R357">
        <f>+Q357/10000</f>
        <v>0.386073</v>
      </c>
      <c r="S357">
        <f t="shared" si="109"/>
        <v>46.369919453169281</v>
      </c>
      <c r="T357">
        <v>32</v>
      </c>
      <c r="U357" s="8">
        <v>49</v>
      </c>
      <c r="V357">
        <f t="shared" si="110"/>
        <v>4.7547753962618131</v>
      </c>
      <c r="W357">
        <f t="shared" si="111"/>
        <v>2.3298399441682882</v>
      </c>
      <c r="X357" s="12">
        <f t="shared" si="112"/>
        <v>2.4249354520935249</v>
      </c>
    </row>
    <row r="358" spans="1:30" x14ac:dyDescent="0.25">
      <c r="A358">
        <v>4</v>
      </c>
      <c r="B358">
        <v>2</v>
      </c>
      <c r="C358">
        <v>6</v>
      </c>
      <c r="D358">
        <v>1</v>
      </c>
      <c r="E358" t="s">
        <v>25</v>
      </c>
      <c r="F358" s="13" t="s">
        <v>41</v>
      </c>
      <c r="G358">
        <v>4</v>
      </c>
      <c r="H358">
        <v>2412.36</v>
      </c>
      <c r="I358">
        <v>2368.77</v>
      </c>
      <c r="J358" s="11">
        <v>0.52666666666666662</v>
      </c>
      <c r="K358" s="7">
        <v>0.55862268518518521</v>
      </c>
      <c r="L358">
        <f t="shared" si="106"/>
        <v>2760</v>
      </c>
      <c r="M358" s="8">
        <v>46</v>
      </c>
      <c r="N358" s="8">
        <f t="shared" si="107"/>
        <v>43.590000000000146</v>
      </c>
      <c r="O358">
        <f t="shared" si="108"/>
        <v>43590.000000000146</v>
      </c>
      <c r="P358" s="2">
        <v>0.95508326029798052</v>
      </c>
      <c r="Q358">
        <v>3248.02</v>
      </c>
      <c r="R358">
        <f>+Q358/10000</f>
        <v>0.32480199999999998</v>
      </c>
      <c r="S358">
        <f t="shared" si="109"/>
        <v>48.624941536288631</v>
      </c>
      <c r="T358">
        <v>32</v>
      </c>
      <c r="U358" s="8">
        <v>49</v>
      </c>
      <c r="V358">
        <f t="shared" si="110"/>
        <v>4.7547753962618131</v>
      </c>
      <c r="W358">
        <f t="shared" si="111"/>
        <v>2.3298399441682882</v>
      </c>
      <c r="X358" s="12">
        <f t="shared" si="112"/>
        <v>2.4249354520935249</v>
      </c>
    </row>
    <row r="359" spans="1:30" x14ac:dyDescent="0.25">
      <c r="A359">
        <v>4</v>
      </c>
      <c r="B359">
        <v>2</v>
      </c>
      <c r="C359">
        <v>6</v>
      </c>
      <c r="D359">
        <v>4</v>
      </c>
      <c r="E359" t="s">
        <v>32</v>
      </c>
      <c r="F359" s="13" t="s">
        <v>42</v>
      </c>
      <c r="G359">
        <v>4</v>
      </c>
      <c r="H359">
        <v>2386.1</v>
      </c>
      <c r="I359">
        <v>2325.13</v>
      </c>
      <c r="J359" s="11">
        <v>0.52666666666666662</v>
      </c>
      <c r="K359" s="7">
        <v>0.55862268518518521</v>
      </c>
      <c r="L359">
        <f t="shared" si="106"/>
        <v>2760</v>
      </c>
      <c r="M359" s="8">
        <v>46</v>
      </c>
      <c r="N359" s="8">
        <f t="shared" si="107"/>
        <v>60.9699999999998</v>
      </c>
      <c r="O359">
        <f t="shared" si="108"/>
        <v>60969.999999999796</v>
      </c>
      <c r="P359" s="2">
        <v>1</v>
      </c>
      <c r="Q359">
        <v>4004.66</v>
      </c>
      <c r="R359">
        <f>+Q359/10000</f>
        <v>0.40046599999999999</v>
      </c>
      <c r="S359">
        <f t="shared" si="109"/>
        <v>55.16218532945333</v>
      </c>
      <c r="T359">
        <v>32</v>
      </c>
      <c r="U359" s="8">
        <v>49</v>
      </c>
      <c r="V359">
        <f t="shared" si="110"/>
        <v>4.7547753962618131</v>
      </c>
      <c r="W359">
        <f t="shared" si="111"/>
        <v>2.3298399441682882</v>
      </c>
      <c r="X359" s="12">
        <f t="shared" si="112"/>
        <v>2.4249354520935249</v>
      </c>
    </row>
    <row r="360" spans="1:30" x14ac:dyDescent="0.25">
      <c r="A360">
        <v>1</v>
      </c>
      <c r="B360" s="1">
        <v>1</v>
      </c>
      <c r="C360" s="1">
        <v>4</v>
      </c>
      <c r="D360" s="1">
        <v>3</v>
      </c>
      <c r="E360" t="s">
        <v>31</v>
      </c>
      <c r="F360" s="13" t="s">
        <v>41</v>
      </c>
      <c r="G360" s="1">
        <v>2</v>
      </c>
      <c r="H360">
        <v>2288.0100000000002</v>
      </c>
      <c r="I360">
        <v>2280.88</v>
      </c>
      <c r="J360" s="7">
        <v>0.35893518518518519</v>
      </c>
      <c r="K360" s="7">
        <v>0.38979166666666665</v>
      </c>
      <c r="L360" s="1">
        <f t="shared" si="106"/>
        <v>2655.6</v>
      </c>
      <c r="M360" s="1">
        <v>44.26</v>
      </c>
      <c r="N360" s="4">
        <f t="shared" si="107"/>
        <v>7.1300000000001091</v>
      </c>
      <c r="O360" s="4">
        <f t="shared" si="108"/>
        <v>7130.0000000001091</v>
      </c>
      <c r="P360" s="2">
        <v>0.51741654571843287</v>
      </c>
      <c r="Q360">
        <v>758.28</v>
      </c>
      <c r="R360" s="1">
        <f>Q360/10000</f>
        <v>7.5827999999999993E-2</v>
      </c>
      <c r="S360" s="5">
        <f t="shared" si="109"/>
        <v>35.407663436431541</v>
      </c>
      <c r="T360" s="4">
        <v>32</v>
      </c>
      <c r="U360">
        <v>71</v>
      </c>
      <c r="V360">
        <f t="shared" si="110"/>
        <v>4.7547753962618131</v>
      </c>
      <c r="W360">
        <f t="shared" si="111"/>
        <v>3.3758905313458873</v>
      </c>
      <c r="X360" s="6">
        <f t="shared" si="112"/>
        <v>1.3788848649159258</v>
      </c>
    </row>
    <row r="361" spans="1:30" x14ac:dyDescent="0.25">
      <c r="A361">
        <v>1</v>
      </c>
      <c r="B361" s="1">
        <v>1</v>
      </c>
      <c r="C361" s="1">
        <v>4</v>
      </c>
      <c r="D361" s="1">
        <v>3</v>
      </c>
      <c r="E361" t="s">
        <v>31</v>
      </c>
      <c r="F361" s="13" t="s">
        <v>41</v>
      </c>
      <c r="G361" s="1">
        <v>3</v>
      </c>
      <c r="H361">
        <v>2271.13</v>
      </c>
      <c r="I361">
        <v>2259.39</v>
      </c>
      <c r="J361" s="7">
        <v>0.41251157407407407</v>
      </c>
      <c r="K361" s="7">
        <v>0.44452546296296297</v>
      </c>
      <c r="L361" s="1">
        <f t="shared" si="106"/>
        <v>2643.6000000000004</v>
      </c>
      <c r="M361" s="4">
        <v>44.06</v>
      </c>
      <c r="N361" s="4">
        <f t="shared" si="107"/>
        <v>11.740000000000236</v>
      </c>
      <c r="O361" s="4">
        <f t="shared" si="108"/>
        <v>11740.000000000236</v>
      </c>
      <c r="P361" s="2">
        <v>0.8519593613933284</v>
      </c>
      <c r="Q361">
        <v>758.28</v>
      </c>
      <c r="R361" s="1">
        <f>Q361/10000</f>
        <v>7.5827999999999993E-2</v>
      </c>
      <c r="S361" s="5">
        <f t="shared" si="109"/>
        <v>58.565620948472429</v>
      </c>
      <c r="T361" s="4">
        <v>32</v>
      </c>
      <c r="U361" s="8">
        <f>+AVERAGE([1]humidity!$B$20430:$B$20523)</f>
        <v>58.276595744680854</v>
      </c>
      <c r="V361">
        <f t="shared" si="110"/>
        <v>4.7547753962618131</v>
      </c>
      <c r="W361">
        <f t="shared" si="111"/>
        <v>2.7709212362470441</v>
      </c>
      <c r="X361" s="6">
        <f t="shared" si="112"/>
        <v>1.983854160014769</v>
      </c>
    </row>
    <row r="362" spans="1:30" x14ac:dyDescent="0.25">
      <c r="A362">
        <v>1</v>
      </c>
      <c r="B362" s="1">
        <v>1</v>
      </c>
      <c r="C362" s="1">
        <v>4</v>
      </c>
      <c r="D362" s="1">
        <v>3</v>
      </c>
      <c r="E362" t="s">
        <v>31</v>
      </c>
      <c r="F362" s="13" t="s">
        <v>41</v>
      </c>
      <c r="G362" s="1">
        <v>4</v>
      </c>
      <c r="H362">
        <v>2250.2199999999998</v>
      </c>
      <c r="I362">
        <v>2237.98</v>
      </c>
      <c r="J362" s="7">
        <v>0.46377314814814813</v>
      </c>
      <c r="K362" s="7">
        <v>0.49486111111111108</v>
      </c>
      <c r="L362" s="1">
        <f t="shared" si="106"/>
        <v>2667.6</v>
      </c>
      <c r="M362" s="1">
        <v>44.46</v>
      </c>
      <c r="N362" s="4">
        <f t="shared" si="107"/>
        <v>12.239999999999782</v>
      </c>
      <c r="O362" s="4">
        <f t="shared" si="108"/>
        <v>12239.999999999782</v>
      </c>
      <c r="P362" s="2">
        <v>0.88824383164002929</v>
      </c>
      <c r="Q362">
        <v>758.28</v>
      </c>
      <c r="R362" s="1">
        <f>Q362/10000</f>
        <v>7.5827999999999993E-2</v>
      </c>
      <c r="S362" s="5">
        <f t="shared" si="109"/>
        <v>60.510551011212101</v>
      </c>
      <c r="T362" s="4">
        <v>32</v>
      </c>
      <c r="U362" s="8">
        <f>+AVERAGE([1]humidity!$B$20576:$B$20667)</f>
        <v>47.380434782608695</v>
      </c>
      <c r="V362">
        <f t="shared" si="110"/>
        <v>4.7547753962618131</v>
      </c>
      <c r="W362">
        <f t="shared" si="111"/>
        <v>2.2528332556853523</v>
      </c>
      <c r="X362" s="6">
        <f t="shared" si="112"/>
        <v>2.5019421405764608</v>
      </c>
    </row>
    <row r="363" spans="1:30" x14ac:dyDescent="0.25">
      <c r="A363">
        <v>1</v>
      </c>
      <c r="B363" s="1">
        <v>1</v>
      </c>
      <c r="C363" s="1">
        <v>4</v>
      </c>
      <c r="D363" s="1">
        <v>3</v>
      </c>
      <c r="E363" t="s">
        <v>31</v>
      </c>
      <c r="F363" s="13" t="s">
        <v>41</v>
      </c>
      <c r="G363" s="1">
        <v>5</v>
      </c>
      <c r="H363">
        <v>2228.37</v>
      </c>
      <c r="I363">
        <v>2215.3200000000002</v>
      </c>
      <c r="J363" s="7">
        <v>0.51785879629629628</v>
      </c>
      <c r="K363" s="7">
        <v>0.54924768518518519</v>
      </c>
      <c r="L363" s="1">
        <f t="shared" si="106"/>
        <v>2707.2</v>
      </c>
      <c r="M363" s="4">
        <v>45.12</v>
      </c>
      <c r="N363" s="4">
        <f t="shared" si="107"/>
        <v>13.049999999999727</v>
      </c>
      <c r="O363" s="4">
        <f t="shared" si="108"/>
        <v>13049.999999999727</v>
      </c>
      <c r="P363" s="2">
        <v>0.94702467343973418</v>
      </c>
      <c r="Q363">
        <v>758.28</v>
      </c>
      <c r="R363" s="1">
        <f>Q363/10000</f>
        <v>7.5827999999999993E-2</v>
      </c>
      <c r="S363" s="5">
        <f t="shared" si="109"/>
        <v>63.571223339718244</v>
      </c>
      <c r="T363" s="4">
        <v>32</v>
      </c>
      <c r="U363" s="8">
        <f>+AVERAGE([1]humidity!$B$20731:$B$20822)</f>
        <v>37.228260869565219</v>
      </c>
      <c r="V363">
        <f t="shared" si="110"/>
        <v>4.7547753962618131</v>
      </c>
      <c r="W363">
        <f t="shared" si="111"/>
        <v>1.770120188282251</v>
      </c>
      <c r="X363" s="6">
        <f t="shared" si="112"/>
        <v>2.9846552079795621</v>
      </c>
    </row>
    <row r="364" spans="1:30" x14ac:dyDescent="0.25">
      <c r="A364">
        <v>1</v>
      </c>
      <c r="B364" s="1">
        <v>1</v>
      </c>
      <c r="C364" s="1">
        <v>4</v>
      </c>
      <c r="D364" s="1">
        <v>3</v>
      </c>
      <c r="E364" t="s">
        <v>31</v>
      </c>
      <c r="F364" s="13" t="s">
        <v>41</v>
      </c>
      <c r="G364" s="1">
        <v>6</v>
      </c>
      <c r="H364">
        <v>2202.71</v>
      </c>
      <c r="I364">
        <v>2188.9299999999998</v>
      </c>
      <c r="J364" s="7">
        <v>0.57593749999999999</v>
      </c>
      <c r="K364" s="7">
        <v>0.60682870370370368</v>
      </c>
      <c r="L364" s="1">
        <f t="shared" si="106"/>
        <v>2657.4</v>
      </c>
      <c r="M364" s="4">
        <v>44.29</v>
      </c>
      <c r="N364" s="4">
        <f t="shared" si="107"/>
        <v>13.7800000000002</v>
      </c>
      <c r="O364" s="4">
        <f t="shared" si="108"/>
        <v>13780.0000000002</v>
      </c>
      <c r="P364" s="2">
        <v>1</v>
      </c>
      <c r="Q364">
        <v>758.28</v>
      </c>
      <c r="R364" s="1">
        <f>Q364/10000</f>
        <v>7.5827999999999993E-2</v>
      </c>
      <c r="S364" s="5">
        <f t="shared" si="109"/>
        <v>68.385288823273356</v>
      </c>
      <c r="T364" s="4">
        <v>32</v>
      </c>
      <c r="U364" s="8">
        <f>+AVERAGE([1]humidity!$B$20898:$B$20986)</f>
        <v>19.865168539325843</v>
      </c>
      <c r="V364">
        <f t="shared" si="110"/>
        <v>4.7547753962618131</v>
      </c>
      <c r="W364">
        <f t="shared" si="111"/>
        <v>0.94454414613380733</v>
      </c>
      <c r="X364" s="6">
        <f t="shared" si="112"/>
        <v>3.8102312501280058</v>
      </c>
    </row>
    <row r="365" spans="1:30" x14ac:dyDescent="0.25">
      <c r="A365">
        <v>1</v>
      </c>
      <c r="B365" s="1">
        <v>2</v>
      </c>
      <c r="C365">
        <v>4</v>
      </c>
      <c r="D365">
        <v>3</v>
      </c>
      <c r="E365" t="s">
        <v>31</v>
      </c>
      <c r="F365" s="13" t="s">
        <v>41</v>
      </c>
      <c r="G365" s="1">
        <v>2</v>
      </c>
      <c r="H365">
        <v>2366.33</v>
      </c>
      <c r="I365">
        <v>2355.89</v>
      </c>
      <c r="J365" s="7">
        <v>0.41741898148148149</v>
      </c>
      <c r="K365" s="7">
        <v>0.44797453703703705</v>
      </c>
      <c r="L365" s="1">
        <f t="shared" si="106"/>
        <v>2640</v>
      </c>
      <c r="M365" s="4">
        <v>44</v>
      </c>
      <c r="N365" s="4">
        <f t="shared" si="107"/>
        <v>10.440000000000055</v>
      </c>
      <c r="O365" s="4">
        <f t="shared" si="108"/>
        <v>10440.000000000055</v>
      </c>
      <c r="P365" s="2">
        <v>0.65413533834586657</v>
      </c>
      <c r="Q365">
        <v>758.28</v>
      </c>
      <c r="R365" s="1">
        <f>+Q365/10000</f>
        <v>7.5827999999999993E-2</v>
      </c>
      <c r="S365" s="5">
        <f t="shared" si="109"/>
        <v>52.151519947057494</v>
      </c>
      <c r="T365" s="4">
        <v>32</v>
      </c>
      <c r="U365" s="8">
        <f>+AVERAGE([1]humidity!$B$23313:$B$23401)</f>
        <v>71.887640449438209</v>
      </c>
      <c r="V365">
        <f t="shared" si="110"/>
        <v>4.7547753962618131</v>
      </c>
      <c r="W365">
        <f t="shared" si="111"/>
        <v>3.4180958410430429</v>
      </c>
      <c r="X365" s="6">
        <f t="shared" si="112"/>
        <v>1.3366795552187702</v>
      </c>
    </row>
    <row r="366" spans="1:30" x14ac:dyDescent="0.25">
      <c r="A366">
        <v>1</v>
      </c>
      <c r="B366" s="1">
        <v>2</v>
      </c>
      <c r="C366">
        <v>4</v>
      </c>
      <c r="D366">
        <v>3</v>
      </c>
      <c r="E366" t="s">
        <v>31</v>
      </c>
      <c r="F366" s="13" t="s">
        <v>41</v>
      </c>
      <c r="G366" s="1">
        <v>3</v>
      </c>
      <c r="H366">
        <v>2344.1</v>
      </c>
      <c r="I366">
        <v>2330.38</v>
      </c>
      <c r="J366" s="7">
        <v>0.47769675925925925</v>
      </c>
      <c r="K366" s="7">
        <v>0.5084143518518518</v>
      </c>
      <c r="L366" s="1">
        <f t="shared" si="106"/>
        <v>2648.4</v>
      </c>
      <c r="M366" s="4">
        <v>44.14</v>
      </c>
      <c r="N366" s="4">
        <f t="shared" si="107"/>
        <v>13.7199999999998</v>
      </c>
      <c r="O366" s="4">
        <f t="shared" si="108"/>
        <v>13719.9999999998</v>
      </c>
      <c r="P366" s="2">
        <v>0.85964912280700301</v>
      </c>
      <c r="Q366">
        <v>758.28</v>
      </c>
      <c r="R366" s="1">
        <f>+Q366/10000</f>
        <v>7.5827999999999993E-2</v>
      </c>
      <c r="S366" s="5">
        <f t="shared" si="109"/>
        <v>68.318910315052591</v>
      </c>
      <c r="T366" s="4">
        <v>32</v>
      </c>
      <c r="U366" s="8">
        <f>+AVERAGE([1]humidity!$B$23480:$B$23571)</f>
        <v>55.608695652173914</v>
      </c>
      <c r="V366">
        <f t="shared" si="110"/>
        <v>4.7547753962618131</v>
      </c>
      <c r="W366">
        <f t="shared" si="111"/>
        <v>2.6440685790516776</v>
      </c>
      <c r="X366" s="6">
        <f t="shared" si="112"/>
        <v>2.1107068172101355</v>
      </c>
    </row>
    <row r="367" spans="1:30" x14ac:dyDescent="0.25">
      <c r="A367">
        <v>1</v>
      </c>
      <c r="B367" s="1">
        <v>2</v>
      </c>
      <c r="C367">
        <v>4</v>
      </c>
      <c r="D367">
        <v>3</v>
      </c>
      <c r="E367" t="s">
        <v>31</v>
      </c>
      <c r="F367" s="13" t="s">
        <v>41</v>
      </c>
      <c r="G367" s="1">
        <v>4</v>
      </c>
      <c r="H367">
        <v>2319.41</v>
      </c>
      <c r="I367">
        <v>2304.9</v>
      </c>
      <c r="J367" s="7">
        <v>0.53045138888888888</v>
      </c>
      <c r="K367" s="7">
        <v>0.56327546296296294</v>
      </c>
      <c r="L367" s="1">
        <f t="shared" si="106"/>
        <v>2829.6</v>
      </c>
      <c r="M367" s="4">
        <v>47.16</v>
      </c>
      <c r="N367" s="4">
        <f t="shared" si="107"/>
        <v>14.509999999999764</v>
      </c>
      <c r="O367" s="4">
        <f t="shared" si="108"/>
        <v>14509.999999999764</v>
      </c>
      <c r="P367" s="2">
        <v>0.90914786967416861</v>
      </c>
      <c r="Q367">
        <v>758.28</v>
      </c>
      <c r="R367" s="1">
        <f>+Q367/10000</f>
        <v>7.5827999999999993E-2</v>
      </c>
      <c r="S367" s="5">
        <f t="shared" si="109"/>
        <v>67.625854259484043</v>
      </c>
      <c r="T367" s="4">
        <v>32</v>
      </c>
      <c r="U367" s="8">
        <f>+AVERAGE([1]humidity!$B$23635:$B$23728)</f>
        <v>48.244680851063826</v>
      </c>
      <c r="V367">
        <f t="shared" si="110"/>
        <v>4.7547753962618131</v>
      </c>
      <c r="W367">
        <f t="shared" si="111"/>
        <v>2.293926215111417</v>
      </c>
      <c r="X367" s="6">
        <f t="shared" si="112"/>
        <v>2.4608491811503961</v>
      </c>
    </row>
    <row r="368" spans="1:30" x14ac:dyDescent="0.25">
      <c r="A368">
        <v>1</v>
      </c>
      <c r="B368" s="1">
        <v>2</v>
      </c>
      <c r="C368">
        <v>4</v>
      </c>
      <c r="D368">
        <v>3</v>
      </c>
      <c r="E368" t="s">
        <v>31</v>
      </c>
      <c r="F368" s="13" t="s">
        <v>41</v>
      </c>
      <c r="G368" s="1">
        <v>5</v>
      </c>
      <c r="H368">
        <v>2291.94</v>
      </c>
      <c r="I368">
        <v>2276.7800000000002</v>
      </c>
      <c r="J368" s="7">
        <v>0.58910879629629631</v>
      </c>
      <c r="K368" s="7">
        <v>0.61982638888888886</v>
      </c>
      <c r="L368" s="1">
        <f t="shared" si="106"/>
        <v>2648.4</v>
      </c>
      <c r="M368" s="4">
        <f>52.33-8.19</f>
        <v>44.14</v>
      </c>
      <c r="N368" s="4">
        <f t="shared" si="107"/>
        <v>15.159999999999854</v>
      </c>
      <c r="O368" s="4">
        <f t="shared" si="108"/>
        <v>15159.999999999854</v>
      </c>
      <c r="P368" s="2">
        <v>0.94987468671678066</v>
      </c>
      <c r="Q368">
        <v>758.28</v>
      </c>
      <c r="R368" s="1">
        <f>+Q368/10000</f>
        <v>7.5827999999999993E-2</v>
      </c>
      <c r="S368" s="5">
        <f t="shared" si="109"/>
        <v>75.48940819068531</v>
      </c>
      <c r="T368" s="4">
        <v>32</v>
      </c>
      <c r="U368" s="8">
        <f>+AVERAGE([1]humidity!$B$23800:$B$23885)</f>
        <v>34.860465116279073</v>
      </c>
      <c r="V368">
        <f t="shared" si="110"/>
        <v>4.7547753962618131</v>
      </c>
      <c r="W368">
        <f t="shared" si="111"/>
        <v>1.6575368183712693</v>
      </c>
      <c r="X368" s="6">
        <f t="shared" si="112"/>
        <v>3.0972385778905438</v>
      </c>
    </row>
    <row r="369" spans="1:30" x14ac:dyDescent="0.25">
      <c r="A369">
        <v>1</v>
      </c>
      <c r="B369" s="1">
        <v>2</v>
      </c>
      <c r="C369">
        <v>4</v>
      </c>
      <c r="D369">
        <v>3</v>
      </c>
      <c r="E369" t="s">
        <v>31</v>
      </c>
      <c r="F369" s="13" t="s">
        <v>41</v>
      </c>
      <c r="G369" s="1">
        <v>6</v>
      </c>
      <c r="H369">
        <v>2261.85</v>
      </c>
      <c r="I369">
        <v>2245.89</v>
      </c>
      <c r="J369" s="7">
        <v>0.64884259259259258</v>
      </c>
      <c r="K369" s="7">
        <v>0.68069444444444449</v>
      </c>
      <c r="L369" s="1">
        <f t="shared" si="106"/>
        <v>2748</v>
      </c>
      <c r="M369" s="4">
        <f>+(60-34.2)+20</f>
        <v>45.8</v>
      </c>
      <c r="N369" s="4">
        <f t="shared" si="107"/>
        <v>15.960000000000036</v>
      </c>
      <c r="O369" s="4">
        <f t="shared" si="108"/>
        <v>15960.000000000036</v>
      </c>
      <c r="P369" s="2">
        <v>1</v>
      </c>
      <c r="Q369">
        <v>758.28</v>
      </c>
      <c r="R369" s="1">
        <f>+Q369/10000</f>
        <v>7.5827999999999993E-2</v>
      </c>
      <c r="S369" s="5">
        <f t="shared" si="109"/>
        <v>76.592555019369456</v>
      </c>
      <c r="T369" s="4">
        <v>32</v>
      </c>
      <c r="U369" s="8">
        <f>+AVERAGE([1]humidity!$B$23968:$B$24060)</f>
        <v>19.892473118279568</v>
      </c>
      <c r="V369">
        <f t="shared" si="110"/>
        <v>4.7547753962618131</v>
      </c>
      <c r="W369">
        <f t="shared" si="111"/>
        <v>0.945842417535952</v>
      </c>
      <c r="X369" s="6">
        <f t="shared" si="112"/>
        <v>3.8089329787258612</v>
      </c>
    </row>
    <row r="370" spans="1:30" x14ac:dyDescent="0.25">
      <c r="A370">
        <v>1</v>
      </c>
      <c r="B370" s="1">
        <v>1</v>
      </c>
      <c r="C370" s="1">
        <v>4</v>
      </c>
      <c r="D370" s="1">
        <v>1</v>
      </c>
      <c r="E370" t="s">
        <v>29</v>
      </c>
      <c r="F370" s="13" t="s">
        <v>42</v>
      </c>
      <c r="G370" s="1">
        <v>2</v>
      </c>
      <c r="H370">
        <v>2696.4</v>
      </c>
      <c r="I370">
        <v>2690.66</v>
      </c>
      <c r="J370" s="7">
        <v>0.35893518518518519</v>
      </c>
      <c r="K370" s="7">
        <v>0.38979166666666665</v>
      </c>
      <c r="L370" s="1">
        <f t="shared" si="106"/>
        <v>2655.6</v>
      </c>
      <c r="M370" s="1">
        <v>44.26</v>
      </c>
      <c r="N370" s="4">
        <f t="shared" si="107"/>
        <v>5.7400000000002365</v>
      </c>
      <c r="O370" s="4">
        <f t="shared" si="108"/>
        <v>5740.0000000002365</v>
      </c>
      <c r="P370" s="2">
        <v>0.36260265319016188</v>
      </c>
      <c r="Q370">
        <v>775.7</v>
      </c>
      <c r="R370" s="1">
        <f>Q370/10000</f>
        <v>7.757E-2</v>
      </c>
      <c r="S370" s="5">
        <f t="shared" si="109"/>
        <v>27.864768607952843</v>
      </c>
      <c r="T370" s="4">
        <v>32</v>
      </c>
      <c r="U370">
        <v>71</v>
      </c>
      <c r="V370">
        <f t="shared" si="110"/>
        <v>4.7547753962618131</v>
      </c>
      <c r="W370">
        <f t="shared" si="111"/>
        <v>3.3758905313458873</v>
      </c>
      <c r="X370" s="6">
        <f t="shared" si="112"/>
        <v>1.3788848649159258</v>
      </c>
    </row>
    <row r="371" spans="1:30" x14ac:dyDescent="0.25">
      <c r="A371">
        <v>1</v>
      </c>
      <c r="B371" s="1">
        <v>1</v>
      </c>
      <c r="C371" s="1">
        <v>4</v>
      </c>
      <c r="D371" s="1">
        <v>1</v>
      </c>
      <c r="E371" t="s">
        <v>29</v>
      </c>
      <c r="F371" s="13" t="s">
        <v>42</v>
      </c>
      <c r="G371" s="1">
        <v>3</v>
      </c>
      <c r="H371">
        <v>2679.09</v>
      </c>
      <c r="I371">
        <v>2666.2</v>
      </c>
      <c r="J371" s="7">
        <v>0.41251157407407407</v>
      </c>
      <c r="K371" s="7">
        <v>0.44452546296296297</v>
      </c>
      <c r="L371" s="1">
        <f t="shared" si="106"/>
        <v>2643.6000000000004</v>
      </c>
      <c r="M371" s="4">
        <v>44.06</v>
      </c>
      <c r="N371" s="4">
        <f t="shared" si="107"/>
        <v>12.890000000000327</v>
      </c>
      <c r="O371" s="4">
        <f t="shared" si="108"/>
        <v>12890.000000000327</v>
      </c>
      <c r="P371" s="2">
        <v>0.81427668982946222</v>
      </c>
      <c r="Q371">
        <v>775.7</v>
      </c>
      <c r="R371" s="1">
        <f>Q371/10000</f>
        <v>7.757E-2</v>
      </c>
      <c r="S371" s="5">
        <f t="shared" si="109"/>
        <v>62.858408747332881</v>
      </c>
      <c r="T371" s="4">
        <v>32</v>
      </c>
      <c r="U371" s="8">
        <f>+AVERAGE([1]humidity!$B$20430:$B$20523)</f>
        <v>58.276595744680854</v>
      </c>
      <c r="V371">
        <f t="shared" si="110"/>
        <v>4.7547753962618131</v>
      </c>
      <c r="W371">
        <f t="shared" si="111"/>
        <v>2.7709212362470441</v>
      </c>
      <c r="X371" s="6">
        <f t="shared" si="112"/>
        <v>1.983854160014769</v>
      </c>
    </row>
    <row r="372" spans="1:30" x14ac:dyDescent="0.25">
      <c r="A372">
        <v>1</v>
      </c>
      <c r="B372" s="1">
        <v>1</v>
      </c>
      <c r="C372" s="1">
        <v>4</v>
      </c>
      <c r="D372" s="1">
        <v>1</v>
      </c>
      <c r="E372" t="s">
        <v>29</v>
      </c>
      <c r="F372" s="13" t="s">
        <v>42</v>
      </c>
      <c r="G372" s="1">
        <v>4</v>
      </c>
      <c r="H372">
        <v>2655.17</v>
      </c>
      <c r="I372">
        <v>2640.89</v>
      </c>
      <c r="J372" s="7">
        <v>0.46377314814814813</v>
      </c>
      <c r="K372" s="7">
        <v>0.49486111111111108</v>
      </c>
      <c r="L372" s="1">
        <f t="shared" si="106"/>
        <v>2667.6</v>
      </c>
      <c r="M372" s="1">
        <v>44.46</v>
      </c>
      <c r="N372" s="4">
        <f t="shared" si="107"/>
        <v>14.2800000000002</v>
      </c>
      <c r="O372" s="4">
        <f t="shared" si="108"/>
        <v>14280.0000000002</v>
      </c>
      <c r="P372" s="2">
        <v>0.90208464939989041</v>
      </c>
      <c r="Q372">
        <v>775.7</v>
      </c>
      <c r="R372" s="1">
        <f>Q372/10000</f>
        <v>7.757E-2</v>
      </c>
      <c r="S372" s="5">
        <f t="shared" si="109"/>
        <v>69.01026692997371</v>
      </c>
      <c r="T372" s="4">
        <v>32</v>
      </c>
      <c r="U372" s="8">
        <f>+AVERAGE([1]humidity!$B$20576:$B$20667)</f>
        <v>47.380434782608695</v>
      </c>
      <c r="V372">
        <f t="shared" si="110"/>
        <v>4.7547753962618131</v>
      </c>
      <c r="W372">
        <f t="shared" si="111"/>
        <v>2.2528332556853523</v>
      </c>
      <c r="X372" s="6">
        <f t="shared" si="112"/>
        <v>2.5019421405764608</v>
      </c>
    </row>
    <row r="373" spans="1:30" x14ac:dyDescent="0.25">
      <c r="A373">
        <v>1</v>
      </c>
      <c r="B373" s="1">
        <v>1</v>
      </c>
      <c r="C373" s="1">
        <v>4</v>
      </c>
      <c r="D373" s="1">
        <v>1</v>
      </c>
      <c r="E373" t="s">
        <v>29</v>
      </c>
      <c r="F373" s="13" t="s">
        <v>42</v>
      </c>
      <c r="G373" s="1">
        <v>5</v>
      </c>
      <c r="H373">
        <v>2629.67</v>
      </c>
      <c r="I373">
        <v>2614.9</v>
      </c>
      <c r="J373" s="7">
        <v>0.51785879629629628</v>
      </c>
      <c r="K373" s="7">
        <v>0.54924768518518519</v>
      </c>
      <c r="L373" s="1">
        <f t="shared" si="106"/>
        <v>2707.2</v>
      </c>
      <c r="M373" s="4">
        <v>45.12</v>
      </c>
      <c r="N373" s="4">
        <f t="shared" si="107"/>
        <v>14.769999999999982</v>
      </c>
      <c r="O373" s="4">
        <f t="shared" si="108"/>
        <v>14769.999999999982</v>
      </c>
      <c r="P373" s="2">
        <v>0.93303853442830387</v>
      </c>
      <c r="Q373">
        <v>775.7</v>
      </c>
      <c r="R373" s="1">
        <f>Q373/10000</f>
        <v>7.757E-2</v>
      </c>
      <c r="S373" s="5">
        <f t="shared" si="109"/>
        <v>70.334169305174129</v>
      </c>
      <c r="T373" s="4">
        <v>32</v>
      </c>
      <c r="U373" s="8">
        <f>+AVERAGE([1]humidity!$B$20731:$B$20822)</f>
        <v>37.228260869565219</v>
      </c>
      <c r="V373">
        <f t="shared" si="110"/>
        <v>4.7547753962618131</v>
      </c>
      <c r="W373">
        <f t="shared" si="111"/>
        <v>1.770120188282251</v>
      </c>
      <c r="X373" s="6">
        <f t="shared" si="112"/>
        <v>2.9846552079795621</v>
      </c>
    </row>
    <row r="374" spans="1:30" x14ac:dyDescent="0.25">
      <c r="A374">
        <v>1</v>
      </c>
      <c r="B374" s="1">
        <v>1</v>
      </c>
      <c r="C374" s="1">
        <v>4</v>
      </c>
      <c r="D374" s="1">
        <v>1</v>
      </c>
      <c r="E374" t="s">
        <v>29</v>
      </c>
      <c r="F374" s="13" t="s">
        <v>42</v>
      </c>
      <c r="G374" s="1">
        <v>6</v>
      </c>
      <c r="H374">
        <v>2599.58</v>
      </c>
      <c r="I374">
        <v>2583.75</v>
      </c>
      <c r="J374" s="7">
        <v>0.57593749999999999</v>
      </c>
      <c r="K374" s="7">
        <v>0.60682870370370368</v>
      </c>
      <c r="L374" s="1">
        <f t="shared" si="106"/>
        <v>2657.4</v>
      </c>
      <c r="M374" s="4">
        <v>44.29</v>
      </c>
      <c r="N374" s="4">
        <f t="shared" si="107"/>
        <v>15.829999999999927</v>
      </c>
      <c r="O374" s="4">
        <f t="shared" si="108"/>
        <v>15829.999999999927</v>
      </c>
      <c r="P374" s="2">
        <v>1</v>
      </c>
      <c r="Q374">
        <v>775.7</v>
      </c>
      <c r="R374" s="1">
        <f>Q374/10000</f>
        <v>7.757E-2</v>
      </c>
      <c r="S374" s="5">
        <f t="shared" si="109"/>
        <v>76.794513376939264</v>
      </c>
      <c r="T374" s="4">
        <v>32</v>
      </c>
      <c r="U374" s="8">
        <f>+AVERAGE([1]humidity!$B$20898:$B$20986)</f>
        <v>19.865168539325843</v>
      </c>
      <c r="V374">
        <f t="shared" si="110"/>
        <v>4.7547753962618131</v>
      </c>
      <c r="W374">
        <f t="shared" si="111"/>
        <v>0.94454414613380733</v>
      </c>
      <c r="X374" s="6">
        <f t="shared" si="112"/>
        <v>3.8102312501280058</v>
      </c>
    </row>
    <row r="375" spans="1:30" x14ac:dyDescent="0.25">
      <c r="A375">
        <v>2</v>
      </c>
      <c r="B375">
        <v>2</v>
      </c>
      <c r="C375">
        <v>4</v>
      </c>
      <c r="D375">
        <v>2</v>
      </c>
      <c r="E375" t="s">
        <v>35</v>
      </c>
      <c r="F375" t="s">
        <v>38</v>
      </c>
      <c r="G375">
        <v>5</v>
      </c>
      <c r="H375">
        <v>3112.46</v>
      </c>
      <c r="I375">
        <v>3093.6</v>
      </c>
      <c r="J375" s="7">
        <v>0.60483796296296299</v>
      </c>
      <c r="K375" s="7">
        <v>0.63657407407407407</v>
      </c>
      <c r="L375">
        <f>+M375*60</f>
        <v>2700</v>
      </c>
      <c r="M375">
        <v>45</v>
      </c>
      <c r="N375">
        <f>+H375-I375</f>
        <v>18.860000000000127</v>
      </c>
      <c r="O375">
        <f>+N375*1000</f>
        <v>18860.000000000127</v>
      </c>
      <c r="P375" s="2">
        <v>0.96817248459959493</v>
      </c>
      <c r="Q375">
        <v>705.5</v>
      </c>
      <c r="R375">
        <v>7.0550000000000002E-2</v>
      </c>
      <c r="S375">
        <v>99.010420768040134</v>
      </c>
      <c r="T375">
        <v>32</v>
      </c>
      <c r="U375" s="8">
        <v>38.634408602150536</v>
      </c>
      <c r="V375">
        <v>4.7547753962618131</v>
      </c>
      <c r="W375">
        <v>1.8369793547063114</v>
      </c>
      <c r="X375" s="12">
        <v>2.9177960415555018</v>
      </c>
      <c r="Y375" s="23">
        <v>0.313247</v>
      </c>
      <c r="Z375" s="23">
        <v>0.181751</v>
      </c>
      <c r="AA375" s="23">
        <v>0.63475499999999996</v>
      </c>
      <c r="AB375">
        <v>25.55</v>
      </c>
      <c r="AC375">
        <v>26.49</v>
      </c>
      <c r="AD375">
        <v>24.99</v>
      </c>
    </row>
    <row r="376" spans="1:30" x14ac:dyDescent="0.25">
      <c r="A376">
        <v>1</v>
      </c>
      <c r="B376" s="1">
        <v>2</v>
      </c>
      <c r="C376">
        <v>1</v>
      </c>
      <c r="D376">
        <v>1</v>
      </c>
      <c r="E376" t="s">
        <v>23</v>
      </c>
      <c r="F376" s="13" t="s">
        <v>39</v>
      </c>
      <c r="G376" s="1">
        <v>6</v>
      </c>
      <c r="H376">
        <v>2464.85</v>
      </c>
      <c r="I376">
        <v>2444.25</v>
      </c>
      <c r="J376" s="7">
        <v>0.64884259259259258</v>
      </c>
      <c r="K376" s="7">
        <v>0.68104166666666666</v>
      </c>
      <c r="L376" s="1">
        <f>M376*60</f>
        <v>2748</v>
      </c>
      <c r="M376" s="4">
        <v>45.8</v>
      </c>
      <c r="N376" s="4">
        <f>H376-I376</f>
        <v>20.599999999999909</v>
      </c>
      <c r="O376" s="4">
        <f>N376*1000</f>
        <v>20599.999999999909</v>
      </c>
      <c r="P376" s="4">
        <v>1</v>
      </c>
      <c r="Q376">
        <v>747</v>
      </c>
      <c r="R376" s="1">
        <f>Q376/10000</f>
        <v>7.4700000000000003E-2</v>
      </c>
      <c r="S376" s="5">
        <f>O376/(R376*L376)</f>
        <v>100.35289142986262</v>
      </c>
      <c r="T376" s="4">
        <v>32</v>
      </c>
      <c r="U376" s="8">
        <f>+AVERAGE([1]humidity!$B$23968:$B$24060)</f>
        <v>19.892473118279568</v>
      </c>
      <c r="V376">
        <f>0.6108*EXP((17.27*T376)/(T376+237.3))</f>
        <v>4.7547753962618131</v>
      </c>
      <c r="W376">
        <f>V376*(U376/100)</f>
        <v>0.945842417535952</v>
      </c>
      <c r="X376" s="6">
        <f>V376-W376</f>
        <v>3.8089329787258612</v>
      </c>
      <c r="Y376" s="23">
        <v>6.4632999999999996E-2</v>
      </c>
      <c r="Z376" s="23">
        <v>7.4928999999999996E-2</v>
      </c>
      <c r="AA376" s="23">
        <v>0.106379</v>
      </c>
      <c r="AB376">
        <v>27.47</v>
      </c>
      <c r="AC376">
        <v>27.69</v>
      </c>
      <c r="AD376">
        <v>27.4</v>
      </c>
    </row>
    <row r="377" spans="1:30" x14ac:dyDescent="0.25">
      <c r="A377">
        <v>1</v>
      </c>
      <c r="B377" s="1">
        <v>2</v>
      </c>
      <c r="C377">
        <v>4</v>
      </c>
      <c r="D377">
        <v>4</v>
      </c>
      <c r="E377" t="s">
        <v>32</v>
      </c>
      <c r="F377" s="13" t="s">
        <v>42</v>
      </c>
      <c r="G377" s="1">
        <v>6</v>
      </c>
      <c r="H377">
        <v>2584.7600000000002</v>
      </c>
      <c r="I377">
        <v>2564.38</v>
      </c>
      <c r="J377" s="7">
        <v>0.64884259259259258</v>
      </c>
      <c r="K377" s="7">
        <v>0.68069444444444449</v>
      </c>
      <c r="L377" s="1">
        <f>M377*60</f>
        <v>2748</v>
      </c>
      <c r="M377" s="4">
        <f>+(60-34.2)+20</f>
        <v>45.8</v>
      </c>
      <c r="N377" s="4">
        <f>H377-I377</f>
        <v>20.380000000000109</v>
      </c>
      <c r="O377" s="4">
        <f>N377*1000</f>
        <v>20380.000000000109</v>
      </c>
      <c r="P377" s="4">
        <v>1</v>
      </c>
      <c r="Q377">
        <v>933.58</v>
      </c>
      <c r="R377" s="1">
        <f>+Q377/10000</f>
        <v>9.335800000000001E-2</v>
      </c>
      <c r="S377" s="5">
        <f>O377/(R377*L377)</f>
        <v>79.439392078319827</v>
      </c>
      <c r="T377" s="4">
        <v>32</v>
      </c>
      <c r="U377" s="8">
        <f>+AVERAGE([1]humidity!$B$23968:$B$24060)</f>
        <v>19.892473118279568</v>
      </c>
      <c r="V377">
        <f>0.6108*EXP((17.27*T377)/(T377+237.3))</f>
        <v>4.7547753962618131</v>
      </c>
      <c r="W377">
        <f>V377*(U377/100)</f>
        <v>0.945842417535952</v>
      </c>
      <c r="X377" s="6">
        <f>V377-W377</f>
        <v>3.8089329787258612</v>
      </c>
      <c r="Y377" s="23">
        <v>0.24775800000000001</v>
      </c>
      <c r="Z377" s="23">
        <v>0.22636500000000001</v>
      </c>
      <c r="AA377" s="23">
        <v>0.192219</v>
      </c>
      <c r="AB377">
        <v>27.29</v>
      </c>
      <c r="AC377">
        <v>27.29</v>
      </c>
      <c r="AD377">
        <v>27.52</v>
      </c>
    </row>
    <row r="378" spans="1:30" x14ac:dyDescent="0.25">
      <c r="A378">
        <v>1</v>
      </c>
      <c r="B378" s="1">
        <v>2</v>
      </c>
      <c r="C378">
        <v>2</v>
      </c>
      <c r="D378">
        <v>1</v>
      </c>
      <c r="E378" t="s">
        <v>26</v>
      </c>
      <c r="F378" s="13" t="s">
        <v>41</v>
      </c>
      <c r="G378" s="10">
        <v>6</v>
      </c>
      <c r="H378">
        <v>2191.5</v>
      </c>
      <c r="I378">
        <v>2172.44</v>
      </c>
      <c r="J378" s="7">
        <v>0.64884259259259258</v>
      </c>
      <c r="K378" s="7">
        <v>0.68069444444444449</v>
      </c>
      <c r="L378" s="1">
        <f>M378*60</f>
        <v>2748</v>
      </c>
      <c r="M378" s="4">
        <f>+(60-34.2)+20</f>
        <v>45.8</v>
      </c>
      <c r="N378" s="4">
        <f>H378-I378</f>
        <v>19.059999999999945</v>
      </c>
      <c r="O378" s="4">
        <f>N378*1000</f>
        <v>19059.999999999945</v>
      </c>
      <c r="P378" s="4">
        <v>1</v>
      </c>
      <c r="Q378">
        <v>983</v>
      </c>
      <c r="R378" s="1">
        <f>+Q378/10000</f>
        <v>9.8299999999999998E-2</v>
      </c>
      <c r="S378" s="5">
        <f>O378/(R378*L378)</f>
        <v>70.559037850148101</v>
      </c>
      <c r="T378" s="4">
        <v>32</v>
      </c>
      <c r="U378" s="8">
        <f>+AVERAGE([1]humidity!$B$23968:$B$24060)</f>
        <v>19.892473118279568</v>
      </c>
      <c r="V378">
        <f>0.6108*EXP((17.27*T378)/(T378+237.3))</f>
        <v>4.7547753962618131</v>
      </c>
      <c r="W378">
        <f>V378*(U378/100)</f>
        <v>0.945842417535952</v>
      </c>
      <c r="X378" s="6">
        <f>V378-W378</f>
        <v>3.8089329787258612</v>
      </c>
      <c r="Y378" s="23">
        <v>6.1092E-2</v>
      </c>
      <c r="Z378" s="23">
        <v>6.3583000000000001E-2</v>
      </c>
      <c r="AA378" s="23">
        <v>8.5211999999999996E-2</v>
      </c>
      <c r="AB378">
        <v>27.74</v>
      </c>
      <c r="AC378">
        <v>27.41</v>
      </c>
      <c r="AD378">
        <v>27.07</v>
      </c>
    </row>
    <row r="379" spans="1:30" x14ac:dyDescent="0.25">
      <c r="A379">
        <v>1</v>
      </c>
      <c r="B379" s="1">
        <v>2</v>
      </c>
      <c r="C379">
        <v>4</v>
      </c>
      <c r="D379">
        <v>1</v>
      </c>
      <c r="E379" t="s">
        <v>29</v>
      </c>
      <c r="F379" s="13" t="s">
        <v>42</v>
      </c>
      <c r="G379" s="1">
        <v>6</v>
      </c>
      <c r="H379">
        <v>2665.17</v>
      </c>
      <c r="I379">
        <v>2648.82</v>
      </c>
      <c r="J379" s="7">
        <v>0.64884259259259258</v>
      </c>
      <c r="K379" s="7">
        <v>0.68069444444444449</v>
      </c>
      <c r="L379" s="1">
        <f>M379*60</f>
        <v>2748</v>
      </c>
      <c r="M379" s="4">
        <f>+(60-34.2)+20</f>
        <v>45.8</v>
      </c>
      <c r="N379" s="4">
        <f>H379-I379</f>
        <v>16.349999999999909</v>
      </c>
      <c r="O379" s="4">
        <f>N379*1000</f>
        <v>16349.999999999909</v>
      </c>
      <c r="P379" s="4">
        <v>1</v>
      </c>
      <c r="Q379">
        <v>775.7</v>
      </c>
      <c r="R379" s="1">
        <f>+Q379/10000</f>
        <v>7.757E-2</v>
      </c>
      <c r="S379" s="5">
        <f>O379/(R379*L379)</f>
        <v>76.702096936813362</v>
      </c>
      <c r="T379" s="4">
        <v>32</v>
      </c>
      <c r="U379" s="8">
        <f>+AVERAGE([1]humidity!$B$23968:$B$24060)</f>
        <v>19.892473118279568</v>
      </c>
      <c r="V379">
        <f>0.6108*EXP((17.27*T379)/(T379+237.3))</f>
        <v>4.7547753962618131</v>
      </c>
      <c r="W379">
        <f>V379*(U379/100)</f>
        <v>0.945842417535952</v>
      </c>
      <c r="X379" s="6">
        <f>V379-W379</f>
        <v>3.8089329787258612</v>
      </c>
      <c r="Y379" s="23">
        <v>0.115257</v>
      </c>
      <c r="Z379" s="23">
        <v>8.5285E-2</v>
      </c>
      <c r="AA379" s="23">
        <v>8.7060999999999999E-2</v>
      </c>
      <c r="AB379">
        <v>27.44</v>
      </c>
      <c r="AC379">
        <v>28.01</v>
      </c>
      <c r="AD379">
        <v>27.75</v>
      </c>
    </row>
    <row r="380" spans="1:30" x14ac:dyDescent="0.25">
      <c r="A380">
        <v>2</v>
      </c>
      <c r="B380">
        <v>1</v>
      </c>
      <c r="C380">
        <v>1</v>
      </c>
      <c r="D380">
        <v>3</v>
      </c>
      <c r="E380" t="s">
        <v>29</v>
      </c>
      <c r="F380" s="13" t="s">
        <v>42</v>
      </c>
      <c r="G380">
        <v>1</v>
      </c>
      <c r="H380">
        <v>3003.43</v>
      </c>
      <c r="I380">
        <v>2992.68</v>
      </c>
      <c r="J380" s="11">
        <v>0.49791666666666667</v>
      </c>
      <c r="K380" s="7">
        <v>0.53189814814814818</v>
      </c>
      <c r="L380">
        <f t="shared" ref="L380:L391" si="113">+M380*60</f>
        <v>2880</v>
      </c>
      <c r="M380">
        <v>48</v>
      </c>
      <c r="N380">
        <f t="shared" ref="N380:N391" si="114">+H380-I380</f>
        <v>10.75</v>
      </c>
      <c r="O380">
        <f t="shared" ref="O380:O391" si="115">+N380*1000</f>
        <v>10750</v>
      </c>
      <c r="P380" s="2">
        <v>0.83657587548638723</v>
      </c>
      <c r="Q380">
        <v>874.77</v>
      </c>
      <c r="R380" s="1">
        <v>8.7476999999999999E-2</v>
      </c>
      <c r="S380" s="5">
        <v>42.669946258889638</v>
      </c>
      <c r="T380" s="4">
        <v>32</v>
      </c>
      <c r="U380" s="8">
        <v>77.865979381443296</v>
      </c>
      <c r="V380">
        <v>4.7547753962618131</v>
      </c>
      <c r="W380">
        <v>3.7023524296871622</v>
      </c>
      <c r="X380" s="6">
        <v>1.052422966574651</v>
      </c>
    </row>
    <row r="381" spans="1:30" x14ac:dyDescent="0.25">
      <c r="A381">
        <v>2</v>
      </c>
      <c r="B381">
        <v>1</v>
      </c>
      <c r="C381">
        <v>1</v>
      </c>
      <c r="D381">
        <v>3</v>
      </c>
      <c r="E381" t="s">
        <v>29</v>
      </c>
      <c r="F381" s="13" t="s">
        <v>42</v>
      </c>
      <c r="G381">
        <v>2</v>
      </c>
      <c r="H381">
        <v>2982.9</v>
      </c>
      <c r="I381">
        <v>2969.76</v>
      </c>
      <c r="J381" s="7">
        <v>0.55482638888888891</v>
      </c>
      <c r="K381" s="7">
        <v>0.58539351851851851</v>
      </c>
      <c r="L381">
        <f t="shared" si="113"/>
        <v>2640</v>
      </c>
      <c r="M381">
        <v>44</v>
      </c>
      <c r="N381">
        <f t="shared" si="114"/>
        <v>13.139999999999873</v>
      </c>
      <c r="O381">
        <f t="shared" si="115"/>
        <v>13139.999999999873</v>
      </c>
      <c r="P381" s="2">
        <v>1.0225680933852113</v>
      </c>
      <c r="Q381">
        <v>874.77</v>
      </c>
      <c r="R381" s="1">
        <v>8.7476999999999999E-2</v>
      </c>
      <c r="S381" s="5">
        <v>56.89807294800552</v>
      </c>
      <c r="T381" s="4">
        <v>32</v>
      </c>
      <c r="U381" s="8">
        <v>66.811764705882354</v>
      </c>
      <c r="V381">
        <v>4.7547753962618131</v>
      </c>
      <c r="W381">
        <v>3.1767493500436275</v>
      </c>
      <c r="X381" s="6">
        <v>1.5780260462181857</v>
      </c>
    </row>
    <row r="382" spans="1:30" x14ac:dyDescent="0.25">
      <c r="A382">
        <v>2</v>
      </c>
      <c r="B382">
        <v>1</v>
      </c>
      <c r="C382">
        <v>1</v>
      </c>
      <c r="D382">
        <v>3</v>
      </c>
      <c r="E382" t="s">
        <v>29</v>
      </c>
      <c r="F382" s="13" t="s">
        <v>42</v>
      </c>
      <c r="G382">
        <v>3</v>
      </c>
      <c r="H382">
        <v>2960.69</v>
      </c>
      <c r="I382">
        <v>2947.84</v>
      </c>
      <c r="J382" s="7">
        <v>0.60451388888888891</v>
      </c>
      <c r="K382" s="7">
        <v>0.63587962962962963</v>
      </c>
      <c r="L382">
        <f t="shared" si="113"/>
        <v>2700</v>
      </c>
      <c r="M382">
        <v>45</v>
      </c>
      <c r="N382">
        <f t="shared" si="114"/>
        <v>12.849999999999909</v>
      </c>
      <c r="O382">
        <f t="shared" si="115"/>
        <v>12849.999999999909</v>
      </c>
      <c r="P382" s="2">
        <v>1</v>
      </c>
      <c r="Q382">
        <v>874.77</v>
      </c>
      <c r="R382">
        <v>8.7476999999999999E-2</v>
      </c>
      <c r="S382">
        <v>54.405835353969913</v>
      </c>
      <c r="T382">
        <v>32</v>
      </c>
      <c r="U382" s="8">
        <v>56</v>
      </c>
      <c r="V382">
        <v>4.7547753962618131</v>
      </c>
      <c r="W382">
        <v>2.6626742219066157</v>
      </c>
      <c r="X382" s="12">
        <v>2.0921011743551974</v>
      </c>
    </row>
    <row r="383" spans="1:30" x14ac:dyDescent="0.25">
      <c r="A383">
        <v>2</v>
      </c>
      <c r="B383">
        <v>1</v>
      </c>
      <c r="C383">
        <v>1</v>
      </c>
      <c r="D383">
        <v>3</v>
      </c>
      <c r="E383" t="s">
        <v>29</v>
      </c>
      <c r="F383" s="13" t="s">
        <v>42</v>
      </c>
      <c r="G383">
        <v>4</v>
      </c>
      <c r="H383">
        <v>2940.14</v>
      </c>
      <c r="I383">
        <v>2927.33</v>
      </c>
      <c r="J383" s="7">
        <v>0.65208333333333335</v>
      </c>
      <c r="K383" s="7">
        <v>0.68402777777777779</v>
      </c>
      <c r="L383">
        <f t="shared" si="113"/>
        <v>2760</v>
      </c>
      <c r="M383">
        <v>46</v>
      </c>
      <c r="N383">
        <f t="shared" si="114"/>
        <v>12.809999999999945</v>
      </c>
      <c r="O383">
        <f t="shared" si="115"/>
        <v>12809.999999999945</v>
      </c>
      <c r="P383" s="2">
        <v>0.99688715953307672</v>
      </c>
      <c r="Q383">
        <v>874.77</v>
      </c>
      <c r="R383">
        <v>8.7476999999999999E-2</v>
      </c>
      <c r="S383">
        <v>53.057424783955405</v>
      </c>
      <c r="T383">
        <v>32</v>
      </c>
      <c r="U383" s="8">
        <v>47.103448275862071</v>
      </c>
      <c r="V383">
        <v>4.7547753962618131</v>
      </c>
      <c r="W383">
        <v>2.2396631694115987</v>
      </c>
      <c r="X383" s="12">
        <v>2.5151122268502144</v>
      </c>
    </row>
    <row r="384" spans="1:30" x14ac:dyDescent="0.25">
      <c r="A384">
        <v>2</v>
      </c>
      <c r="B384">
        <v>1</v>
      </c>
      <c r="C384">
        <v>1</v>
      </c>
      <c r="D384">
        <v>3</v>
      </c>
      <c r="E384" t="s">
        <v>29</v>
      </c>
      <c r="F384" s="13" t="s">
        <v>42</v>
      </c>
      <c r="G384">
        <v>5</v>
      </c>
      <c r="H384">
        <v>2919.41</v>
      </c>
      <c r="I384">
        <v>2906.62</v>
      </c>
      <c r="J384" s="7">
        <v>0.70046296296296295</v>
      </c>
      <c r="K384" s="7">
        <v>0.73293981481481485</v>
      </c>
      <c r="L384">
        <f t="shared" si="113"/>
        <v>2760</v>
      </c>
      <c r="M384">
        <v>46</v>
      </c>
      <c r="N384">
        <f t="shared" si="114"/>
        <v>12.789999999999964</v>
      </c>
      <c r="O384">
        <f t="shared" si="115"/>
        <v>12789.999999999964</v>
      </c>
      <c r="P384" s="2">
        <v>0.99533073929961513</v>
      </c>
      <c r="Q384">
        <v>874.77</v>
      </c>
      <c r="R384">
        <v>8.7476999999999999E-2</v>
      </c>
      <c r="S384">
        <v>52.974587274534784</v>
      </c>
      <c r="T384">
        <v>32</v>
      </c>
      <c r="U384" s="8">
        <v>38.567010309278352</v>
      </c>
      <c r="V384">
        <v>4.7547753962618131</v>
      </c>
      <c r="W384">
        <v>1.8337747172593242</v>
      </c>
      <c r="X384" s="12">
        <v>2.9210006790024892</v>
      </c>
    </row>
    <row r="385" spans="1:24" x14ac:dyDescent="0.25">
      <c r="A385">
        <v>2</v>
      </c>
      <c r="B385">
        <v>1</v>
      </c>
      <c r="C385">
        <v>1</v>
      </c>
      <c r="D385">
        <v>3</v>
      </c>
      <c r="E385" t="s">
        <v>29</v>
      </c>
      <c r="F385" s="13" t="s">
        <v>42</v>
      </c>
      <c r="G385">
        <v>6</v>
      </c>
      <c r="H385">
        <v>2901.16</v>
      </c>
      <c r="I385">
        <v>2888.35</v>
      </c>
      <c r="J385" s="7">
        <v>0.7436342592592593</v>
      </c>
      <c r="K385" s="7">
        <v>0.77496527777777779</v>
      </c>
      <c r="L385">
        <f t="shared" si="113"/>
        <v>2700</v>
      </c>
      <c r="M385">
        <v>45</v>
      </c>
      <c r="N385">
        <f t="shared" si="114"/>
        <v>12.809999999999945</v>
      </c>
      <c r="O385">
        <f t="shared" si="115"/>
        <v>12809.999999999945</v>
      </c>
      <c r="P385" s="2">
        <v>0.99688715953307672</v>
      </c>
      <c r="Q385">
        <v>874.77</v>
      </c>
      <c r="R385">
        <v>8.7476999999999999E-2</v>
      </c>
      <c r="S385">
        <v>54.236478668043311</v>
      </c>
      <c r="T385">
        <v>32</v>
      </c>
      <c r="U385" s="8">
        <v>23.483146067415731</v>
      </c>
      <c r="V385">
        <v>4.7547753962618131</v>
      </c>
      <c r="W385">
        <v>1.1165708514817068</v>
      </c>
      <c r="X385" s="12">
        <v>3.6382045447801064</v>
      </c>
    </row>
    <row r="386" spans="1:24" x14ac:dyDescent="0.25">
      <c r="A386">
        <v>2</v>
      </c>
      <c r="B386">
        <v>2</v>
      </c>
      <c r="C386">
        <v>1</v>
      </c>
      <c r="D386">
        <v>4</v>
      </c>
      <c r="E386" t="s">
        <v>26</v>
      </c>
      <c r="F386" s="13" t="s">
        <v>41</v>
      </c>
      <c r="G386">
        <v>5</v>
      </c>
      <c r="H386">
        <v>3091.73</v>
      </c>
      <c r="I386">
        <v>3076.74</v>
      </c>
      <c r="J386" s="7">
        <v>0.60483796296296299</v>
      </c>
      <c r="K386" s="7">
        <v>0.63657407407407407</v>
      </c>
      <c r="L386">
        <f t="shared" si="113"/>
        <v>2700</v>
      </c>
      <c r="M386">
        <v>45</v>
      </c>
      <c r="N386">
        <f t="shared" si="114"/>
        <v>14.990000000000236</v>
      </c>
      <c r="O386">
        <f t="shared" si="115"/>
        <v>14990.000000000236</v>
      </c>
      <c r="P386" s="2">
        <v>0.9241676942046857</v>
      </c>
      <c r="Q386">
        <v>767.27</v>
      </c>
      <c r="R386">
        <v>7.6727000000000004E-2</v>
      </c>
      <c r="S386">
        <v>72.358515931183803</v>
      </c>
      <c r="T386">
        <v>32</v>
      </c>
      <c r="U386" s="8">
        <v>38.634408602150536</v>
      </c>
      <c r="V386">
        <v>4.7547753962618131</v>
      </c>
      <c r="W386">
        <v>1.8369793547063114</v>
      </c>
      <c r="X386" s="12">
        <v>2.9177960415555018</v>
      </c>
    </row>
    <row r="387" spans="1:24" x14ac:dyDescent="0.25">
      <c r="A387">
        <v>2</v>
      </c>
      <c r="B387">
        <v>2</v>
      </c>
      <c r="C387">
        <v>1</v>
      </c>
      <c r="D387">
        <v>3</v>
      </c>
      <c r="E387" t="s">
        <v>29</v>
      </c>
      <c r="F387" s="13" t="s">
        <v>42</v>
      </c>
      <c r="G387">
        <v>5</v>
      </c>
      <c r="H387">
        <v>3140.01</v>
      </c>
      <c r="I387">
        <v>3122.53</v>
      </c>
      <c r="J387" s="7">
        <v>0.60483796296296299</v>
      </c>
      <c r="K387" s="7">
        <v>0.63657407407407407</v>
      </c>
      <c r="L387">
        <f t="shared" si="113"/>
        <v>2700</v>
      </c>
      <c r="M387">
        <v>45</v>
      </c>
      <c r="N387">
        <f t="shared" si="114"/>
        <v>17.480000000000018</v>
      </c>
      <c r="O387">
        <f t="shared" si="115"/>
        <v>17480.000000000018</v>
      </c>
      <c r="P387" s="2">
        <v>0.90758047767392624</v>
      </c>
      <c r="Q387">
        <v>874.77</v>
      </c>
      <c r="R387">
        <v>8.7476999999999999E-2</v>
      </c>
      <c r="S387">
        <v>74.008871749992352</v>
      </c>
      <c r="T387">
        <v>32</v>
      </c>
      <c r="U387" s="8">
        <v>38.634408602150536</v>
      </c>
      <c r="V387">
        <v>4.7547753962618131</v>
      </c>
      <c r="W387">
        <v>1.8369793547063114</v>
      </c>
      <c r="X387" s="12">
        <v>2.9177960415555018</v>
      </c>
    </row>
    <row r="388" spans="1:24" x14ac:dyDescent="0.25">
      <c r="A388">
        <v>2</v>
      </c>
      <c r="B388">
        <v>2</v>
      </c>
      <c r="C388">
        <v>4</v>
      </c>
      <c r="D388">
        <v>1</v>
      </c>
      <c r="E388" t="s">
        <v>30</v>
      </c>
      <c r="F388" s="13" t="s">
        <v>39</v>
      </c>
      <c r="G388">
        <v>5</v>
      </c>
      <c r="H388">
        <v>2946.62</v>
      </c>
      <c r="I388">
        <v>2924.24</v>
      </c>
      <c r="J388" s="7">
        <v>0.60483796296296299</v>
      </c>
      <c r="K388" s="7">
        <v>0.63657407407407407</v>
      </c>
      <c r="L388">
        <f t="shared" si="113"/>
        <v>2700</v>
      </c>
      <c r="M388">
        <v>45</v>
      </c>
      <c r="N388">
        <f t="shared" si="114"/>
        <v>22.380000000000109</v>
      </c>
      <c r="O388">
        <f t="shared" si="115"/>
        <v>22380.000000000109</v>
      </c>
      <c r="P388" s="2">
        <v>0.88353730754047266</v>
      </c>
      <c r="Q388">
        <v>849</v>
      </c>
      <c r="R388">
        <v>8.4900000000000003E-2</v>
      </c>
      <c r="S388">
        <v>97.631200104698806</v>
      </c>
      <c r="T388">
        <v>32</v>
      </c>
      <c r="U388" s="8">
        <v>38.634408602150536</v>
      </c>
      <c r="V388">
        <v>4.7547753962618131</v>
      </c>
      <c r="W388">
        <v>1.8369793547063114</v>
      </c>
      <c r="X388" s="12">
        <v>2.9177960415555018</v>
      </c>
    </row>
    <row r="389" spans="1:24" x14ac:dyDescent="0.25">
      <c r="A389">
        <v>2</v>
      </c>
      <c r="B389">
        <v>2</v>
      </c>
      <c r="C389">
        <v>1</v>
      </c>
      <c r="D389">
        <v>5</v>
      </c>
      <c r="E389" t="s">
        <v>33</v>
      </c>
      <c r="F389" t="s">
        <v>38</v>
      </c>
      <c r="G389">
        <v>6</v>
      </c>
      <c r="H389">
        <v>4167.45</v>
      </c>
      <c r="I389">
        <v>4130.0600000000004</v>
      </c>
      <c r="J389" s="7">
        <v>0.65797453703703701</v>
      </c>
      <c r="K389" s="7">
        <v>0.6893055555555555</v>
      </c>
      <c r="L389">
        <f t="shared" si="113"/>
        <v>2700</v>
      </c>
      <c r="M389">
        <v>45</v>
      </c>
      <c r="N389">
        <f t="shared" si="114"/>
        <v>37.389999999999418</v>
      </c>
      <c r="O389">
        <f t="shared" si="115"/>
        <v>37389.999999999418</v>
      </c>
      <c r="P389" s="2">
        <v>1</v>
      </c>
      <c r="Q389">
        <v>1635</v>
      </c>
      <c r="R389">
        <v>0.16350000000000001</v>
      </c>
      <c r="S389">
        <v>84.698153811302333</v>
      </c>
      <c r="T389">
        <v>32</v>
      </c>
      <c r="U389" s="8">
        <v>23.478260869565219</v>
      </c>
      <c r="V389">
        <v>4.7547753962618131</v>
      </c>
      <c r="W389">
        <v>1.1163385712962517</v>
      </c>
      <c r="X389" s="12">
        <v>3.6384368249655612</v>
      </c>
    </row>
    <row r="390" spans="1:24" x14ac:dyDescent="0.25">
      <c r="A390">
        <v>2</v>
      </c>
      <c r="B390">
        <v>2</v>
      </c>
      <c r="C390">
        <v>4</v>
      </c>
      <c r="D390">
        <v>4</v>
      </c>
      <c r="E390" t="s">
        <v>28</v>
      </c>
      <c r="F390" s="20" t="s">
        <v>40</v>
      </c>
      <c r="G390">
        <v>6</v>
      </c>
      <c r="H390">
        <v>2953.69</v>
      </c>
      <c r="I390">
        <v>2935.66</v>
      </c>
      <c r="J390" s="7">
        <v>0.65797453703703701</v>
      </c>
      <c r="K390" s="7">
        <v>0.6893055555555555</v>
      </c>
      <c r="L390">
        <f t="shared" si="113"/>
        <v>2700</v>
      </c>
      <c r="M390">
        <v>45</v>
      </c>
      <c r="N390">
        <f t="shared" si="114"/>
        <v>18.0300000000002</v>
      </c>
      <c r="O390">
        <f t="shared" si="115"/>
        <v>18030.0000000002</v>
      </c>
      <c r="P390">
        <v>1</v>
      </c>
      <c r="Q390">
        <v>914</v>
      </c>
      <c r="R390">
        <v>9.1399999999999995E-2</v>
      </c>
      <c r="S390">
        <v>73.061026015074972</v>
      </c>
      <c r="T390">
        <v>32</v>
      </c>
      <c r="U390" s="8">
        <v>23.478260869565219</v>
      </c>
      <c r="V390">
        <v>4.7547753962618131</v>
      </c>
      <c r="W390">
        <v>1.1163385712962517</v>
      </c>
      <c r="X390" s="12">
        <v>3.6384368249655612</v>
      </c>
    </row>
    <row r="391" spans="1:24" x14ac:dyDescent="0.25">
      <c r="A391">
        <v>2</v>
      </c>
      <c r="B391">
        <v>2</v>
      </c>
      <c r="C391">
        <v>1</v>
      </c>
      <c r="D391">
        <v>2</v>
      </c>
      <c r="E391" t="s">
        <v>25</v>
      </c>
      <c r="F391" s="13" t="s">
        <v>41</v>
      </c>
      <c r="G391">
        <v>6</v>
      </c>
      <c r="H391">
        <v>3010.75</v>
      </c>
      <c r="I391">
        <v>2990.97</v>
      </c>
      <c r="J391" s="7">
        <v>0.65797453703703701</v>
      </c>
      <c r="K391" s="7">
        <v>0.6893055555555555</v>
      </c>
      <c r="L391">
        <f t="shared" si="113"/>
        <v>2700</v>
      </c>
      <c r="M391">
        <v>45</v>
      </c>
      <c r="N391">
        <f t="shared" si="114"/>
        <v>19.7800000000002</v>
      </c>
      <c r="O391">
        <f t="shared" si="115"/>
        <v>19780.0000000002</v>
      </c>
      <c r="P391" s="2">
        <v>1</v>
      </c>
      <c r="Q391">
        <v>915.55</v>
      </c>
      <c r="R391">
        <v>9.1554999999999997E-2</v>
      </c>
      <c r="S391">
        <v>80.016666767800771</v>
      </c>
      <c r="T391">
        <v>32</v>
      </c>
      <c r="U391" s="8">
        <v>23.478260869565219</v>
      </c>
      <c r="V391">
        <v>4.7547753962618131</v>
      </c>
      <c r="W391">
        <v>1.1163385712962517</v>
      </c>
      <c r="X391" s="12">
        <v>3.6384368249655612</v>
      </c>
    </row>
    <row r="392" spans="1:24" x14ac:dyDescent="0.25">
      <c r="A392">
        <v>3</v>
      </c>
      <c r="B392">
        <v>1</v>
      </c>
      <c r="C392">
        <v>1</v>
      </c>
      <c r="D392">
        <v>5</v>
      </c>
      <c r="E392" t="s">
        <v>29</v>
      </c>
      <c r="F392" s="13" t="s">
        <v>42</v>
      </c>
      <c r="G392">
        <v>1</v>
      </c>
      <c r="H392">
        <v>3447.97</v>
      </c>
      <c r="I392">
        <v>3439.91</v>
      </c>
      <c r="J392">
        <v>0.48958333333333298</v>
      </c>
      <c r="K392">
        <v>0.52083333333333304</v>
      </c>
      <c r="L392">
        <v>2700</v>
      </c>
      <c r="M392" s="8">
        <v>45</v>
      </c>
      <c r="N392">
        <v>8.0599999999999454</v>
      </c>
      <c r="O392">
        <v>8059.9999999999454</v>
      </c>
      <c r="P392" s="2">
        <v>0.55662983425413914</v>
      </c>
      <c r="Q392">
        <v>572.4</v>
      </c>
      <c r="R392">
        <v>5.7239999999999999E-2</v>
      </c>
      <c r="S392">
        <v>52.152082200998692</v>
      </c>
      <c r="T392">
        <v>32</v>
      </c>
      <c r="U392" s="8">
        <v>79</v>
      </c>
      <c r="V392">
        <v>4.7547753962618131</v>
      </c>
      <c r="W392">
        <f t="shared" ref="W392:W422" si="116">V392*(U392/100)</f>
        <v>3.7562725630468323</v>
      </c>
      <c r="X392" s="12">
        <f t="shared" ref="X392:X422" si="117">V392-W392</f>
        <v>0.99850283321498079</v>
      </c>
    </row>
    <row r="393" spans="1:24" x14ac:dyDescent="0.25">
      <c r="A393">
        <v>3</v>
      </c>
      <c r="B393">
        <v>1</v>
      </c>
      <c r="C393">
        <v>1</v>
      </c>
      <c r="D393">
        <v>5</v>
      </c>
      <c r="E393" t="s">
        <v>29</v>
      </c>
      <c r="F393" s="13" t="s">
        <v>42</v>
      </c>
      <c r="G393">
        <v>2</v>
      </c>
      <c r="H393">
        <v>3437.22</v>
      </c>
      <c r="I393">
        <v>3427.27</v>
      </c>
      <c r="J393">
        <v>0.530555555555556</v>
      </c>
      <c r="K393">
        <v>0.561805555555556</v>
      </c>
      <c r="L393">
        <v>2700</v>
      </c>
      <c r="M393" s="8">
        <v>45</v>
      </c>
      <c r="N393">
        <v>9.9499999999998181</v>
      </c>
      <c r="O393">
        <v>9949.9999999998181</v>
      </c>
      <c r="P393" s="2">
        <v>0.68715469613258329</v>
      </c>
      <c r="Q393">
        <v>572.4</v>
      </c>
      <c r="R393">
        <v>5.7239999999999999E-2</v>
      </c>
      <c r="S393">
        <v>64.381292543415753</v>
      </c>
      <c r="T393">
        <v>32</v>
      </c>
      <c r="U393" s="8">
        <v>68</v>
      </c>
      <c r="V393">
        <v>4.7547753962618131</v>
      </c>
      <c r="W393">
        <f t="shared" si="116"/>
        <v>3.2332472694580332</v>
      </c>
      <c r="X393" s="12">
        <f t="shared" si="117"/>
        <v>1.5215281268037799</v>
      </c>
    </row>
    <row r="394" spans="1:24" x14ac:dyDescent="0.25">
      <c r="A394">
        <v>3</v>
      </c>
      <c r="B394">
        <v>1</v>
      </c>
      <c r="C394">
        <v>1</v>
      </c>
      <c r="D394">
        <v>5</v>
      </c>
      <c r="E394" t="s">
        <v>29</v>
      </c>
      <c r="F394" s="13" t="s">
        <v>42</v>
      </c>
      <c r="G394">
        <v>3</v>
      </c>
      <c r="H394">
        <v>3422.64</v>
      </c>
      <c r="I394">
        <v>3410.78</v>
      </c>
      <c r="J394">
        <v>0.57556712962962997</v>
      </c>
      <c r="K394">
        <v>0.60728009259259297</v>
      </c>
      <c r="L394">
        <v>2700</v>
      </c>
      <c r="M394" s="8">
        <v>45</v>
      </c>
      <c r="N394">
        <v>11.859999999999673</v>
      </c>
      <c r="O394">
        <v>11859.999999999673</v>
      </c>
      <c r="P394" s="2">
        <v>0.81906077348063933</v>
      </c>
      <c r="Q394">
        <v>572.4</v>
      </c>
      <c r="R394">
        <v>5.7239999999999999E-2</v>
      </c>
      <c r="S394">
        <v>76.739912519085806</v>
      </c>
      <c r="T394">
        <v>32</v>
      </c>
      <c r="U394" s="8">
        <v>57</v>
      </c>
      <c r="V394">
        <v>4.7547753962618131</v>
      </c>
      <c r="W394">
        <f t="shared" si="116"/>
        <v>2.7102219758692332</v>
      </c>
      <c r="X394" s="12">
        <f t="shared" si="117"/>
        <v>2.0445534203925799</v>
      </c>
    </row>
    <row r="395" spans="1:24" x14ac:dyDescent="0.25">
      <c r="A395">
        <v>3</v>
      </c>
      <c r="B395">
        <v>1</v>
      </c>
      <c r="C395">
        <v>1</v>
      </c>
      <c r="D395">
        <v>5</v>
      </c>
      <c r="E395" t="s">
        <v>29</v>
      </c>
      <c r="F395" s="13" t="s">
        <v>42</v>
      </c>
      <c r="G395">
        <v>4</v>
      </c>
      <c r="H395">
        <v>3403.01</v>
      </c>
      <c r="I395">
        <v>3390.77</v>
      </c>
      <c r="J395">
        <v>0.62638888888888899</v>
      </c>
      <c r="K395">
        <v>0.65733796296296299</v>
      </c>
      <c r="L395">
        <v>2640</v>
      </c>
      <c r="M395" s="8">
        <v>44</v>
      </c>
      <c r="N395">
        <v>12.240000000000236</v>
      </c>
      <c r="O395">
        <v>12240.000000000236</v>
      </c>
      <c r="P395" s="2">
        <v>0.84530386740333019</v>
      </c>
      <c r="Q395">
        <v>572.4</v>
      </c>
      <c r="R395">
        <v>5.7239999999999999E-2</v>
      </c>
      <c r="S395">
        <v>80.998665904327851</v>
      </c>
      <c r="T395">
        <v>32</v>
      </c>
      <c r="U395" s="8">
        <v>47</v>
      </c>
      <c r="V395">
        <v>4.7547753962618131</v>
      </c>
      <c r="W395">
        <f t="shared" si="116"/>
        <v>2.234744436243052</v>
      </c>
      <c r="X395" s="12">
        <f t="shared" si="117"/>
        <v>2.5200309600187611</v>
      </c>
    </row>
    <row r="396" spans="1:24" x14ac:dyDescent="0.25">
      <c r="A396">
        <v>3</v>
      </c>
      <c r="B396">
        <v>1</v>
      </c>
      <c r="C396">
        <v>1</v>
      </c>
      <c r="D396">
        <v>5</v>
      </c>
      <c r="E396" t="s">
        <v>29</v>
      </c>
      <c r="F396" s="13" t="s">
        <v>42</v>
      </c>
      <c r="G396">
        <v>5</v>
      </c>
      <c r="H396">
        <v>3381.6</v>
      </c>
      <c r="I396">
        <v>3367.98</v>
      </c>
      <c r="J396">
        <v>0.67721064814814802</v>
      </c>
      <c r="K396">
        <v>0.70833333333333304</v>
      </c>
      <c r="L396">
        <v>2640</v>
      </c>
      <c r="M396" s="8">
        <v>44</v>
      </c>
      <c r="N396">
        <v>13.619999999999891</v>
      </c>
      <c r="O396">
        <v>13619.999999999891</v>
      </c>
      <c r="P396" s="2">
        <v>0.94060773480662108</v>
      </c>
      <c r="Q396">
        <v>572.4</v>
      </c>
      <c r="R396">
        <v>5.7239999999999999E-2</v>
      </c>
      <c r="S396">
        <v>90.130868432754511</v>
      </c>
      <c r="T396">
        <v>32</v>
      </c>
      <c r="U396" s="8">
        <v>37</v>
      </c>
      <c r="V396">
        <v>4.7547753962618131</v>
      </c>
      <c r="W396">
        <f t="shared" si="116"/>
        <v>1.7592668966168707</v>
      </c>
      <c r="X396" s="12">
        <f t="shared" si="117"/>
        <v>2.9955084996449424</v>
      </c>
    </row>
    <row r="397" spans="1:24" x14ac:dyDescent="0.25">
      <c r="A397">
        <v>3</v>
      </c>
      <c r="B397">
        <v>1</v>
      </c>
      <c r="C397">
        <v>1</v>
      </c>
      <c r="D397">
        <v>5</v>
      </c>
      <c r="E397" t="s">
        <v>29</v>
      </c>
      <c r="F397" s="13" t="s">
        <v>42</v>
      </c>
      <c r="G397">
        <v>6</v>
      </c>
      <c r="H397">
        <v>3361.93</v>
      </c>
      <c r="I397">
        <v>3347.45</v>
      </c>
      <c r="J397">
        <v>0.72222222222222199</v>
      </c>
      <c r="K397">
        <v>0.75401620370370404</v>
      </c>
      <c r="L397">
        <v>2700</v>
      </c>
      <c r="M397" s="8">
        <v>45</v>
      </c>
      <c r="N397">
        <v>14.480000000000018</v>
      </c>
      <c r="O397">
        <v>14480.000000000018</v>
      </c>
      <c r="P397" s="2">
        <v>1</v>
      </c>
      <c r="Q397">
        <v>572.4</v>
      </c>
      <c r="R397">
        <v>5.7239999999999999E-2</v>
      </c>
      <c r="S397">
        <v>93.692574475244058</v>
      </c>
      <c r="T397">
        <v>32</v>
      </c>
      <c r="U397" s="8">
        <v>24</v>
      </c>
      <c r="V397">
        <v>4.7547753962618131</v>
      </c>
      <c r="W397">
        <f t="shared" si="116"/>
        <v>1.1411460951028352</v>
      </c>
      <c r="X397" s="12">
        <f t="shared" si="117"/>
        <v>3.6136293011589782</v>
      </c>
    </row>
    <row r="398" spans="1:24" x14ac:dyDescent="0.25">
      <c r="A398">
        <v>3</v>
      </c>
      <c r="B398">
        <v>2</v>
      </c>
      <c r="C398">
        <v>1</v>
      </c>
      <c r="D398">
        <v>5</v>
      </c>
      <c r="E398" t="s">
        <v>29</v>
      </c>
      <c r="F398" s="13" t="s">
        <v>42</v>
      </c>
      <c r="G398">
        <v>2</v>
      </c>
      <c r="H398">
        <v>3321.3</v>
      </c>
      <c r="I398">
        <v>3313.49</v>
      </c>
      <c r="J398">
        <v>0.375</v>
      </c>
      <c r="K398">
        <v>0.40574074074074074</v>
      </c>
      <c r="L398">
        <v>2650.0000000000018</v>
      </c>
      <c r="M398" s="8">
        <v>44.1666666666667</v>
      </c>
      <c r="N398">
        <v>7.8100000000004002</v>
      </c>
      <c r="O398">
        <v>7810.0000000004002</v>
      </c>
      <c r="P398" s="2">
        <v>0.54273801250870202</v>
      </c>
      <c r="Q398">
        <v>572.4</v>
      </c>
      <c r="R398">
        <v>5.7239999999999999E-2</v>
      </c>
      <c r="S398">
        <v>51.487942196381972</v>
      </c>
      <c r="T398">
        <v>32</v>
      </c>
      <c r="U398" s="8">
        <v>68</v>
      </c>
      <c r="V398">
        <v>4.7547753962618131</v>
      </c>
      <c r="W398">
        <f t="shared" si="116"/>
        <v>3.2332472694580332</v>
      </c>
      <c r="X398" s="12">
        <f t="shared" si="117"/>
        <v>1.5215281268037799</v>
      </c>
    </row>
    <row r="399" spans="1:24" x14ac:dyDescent="0.25">
      <c r="A399">
        <v>3</v>
      </c>
      <c r="B399">
        <v>2</v>
      </c>
      <c r="C399">
        <v>1</v>
      </c>
      <c r="D399">
        <v>5</v>
      </c>
      <c r="E399" t="s">
        <v>29</v>
      </c>
      <c r="F399" s="13" t="s">
        <v>42</v>
      </c>
      <c r="G399">
        <v>3</v>
      </c>
      <c r="H399">
        <v>3307.22</v>
      </c>
      <c r="I399">
        <v>3297.84</v>
      </c>
      <c r="J399">
        <v>0.42790509259259257</v>
      </c>
      <c r="K399">
        <v>0.45833333333333331</v>
      </c>
      <c r="L399">
        <v>2590.0000000000018</v>
      </c>
      <c r="M399" s="8">
        <v>43.1666666666667</v>
      </c>
      <c r="N399">
        <v>9.3799999999996544</v>
      </c>
      <c r="O399">
        <v>9379.9999999996544</v>
      </c>
      <c r="P399" s="2">
        <v>0.65184155663651433</v>
      </c>
      <c r="Q399">
        <v>572.4</v>
      </c>
      <c r="R399">
        <v>5.7239999999999999E-2</v>
      </c>
      <c r="S399">
        <v>63.27081798779674</v>
      </c>
      <c r="T399">
        <v>32</v>
      </c>
      <c r="U399" s="8">
        <v>57</v>
      </c>
      <c r="V399">
        <v>4.7547753962618131</v>
      </c>
      <c r="W399">
        <f t="shared" si="116"/>
        <v>2.7102219758692332</v>
      </c>
      <c r="X399" s="12">
        <f t="shared" si="117"/>
        <v>2.0445534203925799</v>
      </c>
    </row>
    <row r="400" spans="1:24" x14ac:dyDescent="0.25">
      <c r="A400">
        <v>3</v>
      </c>
      <c r="B400">
        <v>2</v>
      </c>
      <c r="C400">
        <v>1</v>
      </c>
      <c r="D400">
        <v>5</v>
      </c>
      <c r="E400" t="s">
        <v>29</v>
      </c>
      <c r="F400" s="13" t="s">
        <v>42</v>
      </c>
      <c r="G400">
        <v>4</v>
      </c>
      <c r="H400">
        <v>3291.1</v>
      </c>
      <c r="I400">
        <v>3279.97</v>
      </c>
      <c r="J400">
        <v>0.47795138888888888</v>
      </c>
      <c r="K400">
        <v>0.50929398148148153</v>
      </c>
      <c r="L400">
        <v>2710.0000000000018</v>
      </c>
      <c r="M400" s="8">
        <v>45.1666666666667</v>
      </c>
      <c r="N400">
        <v>11.130000000000109</v>
      </c>
      <c r="O400">
        <v>11130.000000000109</v>
      </c>
      <c r="P400" s="2">
        <v>0.77345378735231796</v>
      </c>
      <c r="Q400">
        <v>572.4</v>
      </c>
      <c r="R400">
        <v>5.7239999999999999E-2</v>
      </c>
      <c r="S400">
        <v>71.750717507175722</v>
      </c>
      <c r="T400">
        <v>32</v>
      </c>
      <c r="U400" s="8">
        <v>47</v>
      </c>
      <c r="V400">
        <v>4.7547753962618131</v>
      </c>
      <c r="W400">
        <f t="shared" si="116"/>
        <v>2.234744436243052</v>
      </c>
      <c r="X400" s="12">
        <f t="shared" si="117"/>
        <v>2.5200309600187611</v>
      </c>
    </row>
    <row r="401" spans="1:30" x14ac:dyDescent="0.25">
      <c r="A401">
        <v>3</v>
      </c>
      <c r="B401">
        <v>2</v>
      </c>
      <c r="C401">
        <v>4</v>
      </c>
      <c r="D401">
        <v>1</v>
      </c>
      <c r="E401" t="s">
        <v>25</v>
      </c>
      <c r="F401" s="13" t="s">
        <v>41</v>
      </c>
      <c r="G401">
        <v>6</v>
      </c>
      <c r="H401">
        <v>2515.31</v>
      </c>
      <c r="I401">
        <v>2497.98</v>
      </c>
      <c r="J401">
        <v>0.59027777777777779</v>
      </c>
      <c r="K401">
        <v>0.62239583333333337</v>
      </c>
      <c r="L401">
        <v>2760</v>
      </c>
      <c r="M401" s="8">
        <v>46</v>
      </c>
      <c r="N401">
        <v>17.329999999999927</v>
      </c>
      <c r="O401">
        <v>17329.999999999927</v>
      </c>
      <c r="P401" s="2">
        <v>1</v>
      </c>
      <c r="Q401">
        <v>1049.8</v>
      </c>
      <c r="R401">
        <v>0.10497999999999999</v>
      </c>
      <c r="S401">
        <v>59.811254593697377</v>
      </c>
      <c r="T401">
        <v>32</v>
      </c>
      <c r="U401" s="8">
        <v>24</v>
      </c>
      <c r="V401">
        <v>4.7547753962618131</v>
      </c>
      <c r="W401">
        <f t="shared" si="116"/>
        <v>1.1411460951028352</v>
      </c>
      <c r="X401" s="12">
        <f t="shared" si="117"/>
        <v>3.6136293011589782</v>
      </c>
      <c r="Y401" s="22">
        <v>7.2429999999999994E-2</v>
      </c>
      <c r="Z401" s="22">
        <v>8.7709999999999996E-2</v>
      </c>
      <c r="AA401" s="22">
        <v>7.3570999999999998E-2</v>
      </c>
      <c r="AB401">
        <v>28.48</v>
      </c>
      <c r="AC401">
        <v>28.75</v>
      </c>
      <c r="AD401">
        <v>29.3</v>
      </c>
    </row>
    <row r="402" spans="1:30" x14ac:dyDescent="0.25">
      <c r="A402">
        <v>3</v>
      </c>
      <c r="B402">
        <v>2</v>
      </c>
      <c r="C402">
        <v>4</v>
      </c>
      <c r="D402">
        <v>2</v>
      </c>
      <c r="E402" t="s">
        <v>27</v>
      </c>
      <c r="F402" s="13" t="s">
        <v>39</v>
      </c>
      <c r="G402">
        <v>6</v>
      </c>
      <c r="H402">
        <v>2391.41</v>
      </c>
      <c r="I402">
        <v>2379.46</v>
      </c>
      <c r="J402">
        <v>0.59027777777777779</v>
      </c>
      <c r="K402">
        <v>0.62239583333333337</v>
      </c>
      <c r="L402">
        <v>2760</v>
      </c>
      <c r="M402" s="8">
        <v>46</v>
      </c>
      <c r="N402">
        <v>11.949999999999818</v>
      </c>
      <c r="O402">
        <v>11949.999999999818</v>
      </c>
      <c r="P402" s="2">
        <v>1</v>
      </c>
      <c r="Q402">
        <v>661.3</v>
      </c>
      <c r="R402">
        <v>6.6129999999999994E-2</v>
      </c>
      <c r="S402">
        <v>65.472707469037815</v>
      </c>
      <c r="T402">
        <v>32</v>
      </c>
      <c r="U402" s="8">
        <v>24</v>
      </c>
      <c r="V402">
        <v>4.7547753962618131</v>
      </c>
      <c r="W402">
        <f t="shared" si="116"/>
        <v>1.1411460951028352</v>
      </c>
      <c r="X402" s="12">
        <f t="shared" si="117"/>
        <v>3.6136293011589782</v>
      </c>
      <c r="Y402" s="22">
        <v>7.4888999999999997E-2</v>
      </c>
      <c r="Z402" s="22">
        <v>7.7431E-2</v>
      </c>
      <c r="AA402" s="22">
        <v>6.4967999999999998E-2</v>
      </c>
      <c r="AB402">
        <v>29.12</v>
      </c>
      <c r="AC402">
        <v>29.16</v>
      </c>
      <c r="AD402">
        <v>29.55</v>
      </c>
    </row>
    <row r="403" spans="1:30" x14ac:dyDescent="0.25">
      <c r="A403">
        <v>4</v>
      </c>
      <c r="B403">
        <v>1</v>
      </c>
      <c r="C403">
        <v>4</v>
      </c>
      <c r="D403">
        <v>1</v>
      </c>
      <c r="E403" t="s">
        <v>26</v>
      </c>
      <c r="F403" s="13" t="s">
        <v>41</v>
      </c>
      <c r="G403">
        <v>5</v>
      </c>
      <c r="H403">
        <v>2393.6</v>
      </c>
      <c r="I403">
        <v>2358.4699999999998</v>
      </c>
      <c r="J403" s="7">
        <v>0.53123842592592596</v>
      </c>
      <c r="K403" s="11">
        <v>0.55861111111111106</v>
      </c>
      <c r="L403">
        <f t="shared" ref="L403:L422" si="118">M403*60</f>
        <v>2340</v>
      </c>
      <c r="M403" s="8">
        <v>39</v>
      </c>
      <c r="N403" s="8">
        <f t="shared" ref="N403:N422" si="119">H403-I403</f>
        <v>35.130000000000109</v>
      </c>
      <c r="O403">
        <f t="shared" ref="O403:O422" si="120">N403*1000</f>
        <v>35130.000000000109</v>
      </c>
      <c r="P403" s="2">
        <v>0.9256916996047504</v>
      </c>
      <c r="Q403">
        <v>3146.27</v>
      </c>
      <c r="R403">
        <f t="shared" ref="R403:R412" si="121">+Q403/10000</f>
        <v>0.31462699999999999</v>
      </c>
      <c r="S403">
        <f t="shared" ref="S403:S422" si="122">O403/(R403*L403)</f>
        <v>47.71624975866839</v>
      </c>
      <c r="T403">
        <v>32</v>
      </c>
      <c r="U403" s="8">
        <v>38</v>
      </c>
      <c r="V403">
        <f t="shared" ref="V403:V422" si="123">0.6108*EXP((17.27*T403)/(T403+237.3))</f>
        <v>4.7547753962618131</v>
      </c>
      <c r="W403">
        <f t="shared" si="116"/>
        <v>1.8068146505794891</v>
      </c>
      <c r="X403" s="12">
        <f t="shared" si="117"/>
        <v>2.947960745682324</v>
      </c>
      <c r="Y403" s="23">
        <v>9.8692000000000002E-2</v>
      </c>
      <c r="Z403" s="23">
        <v>0.124071</v>
      </c>
      <c r="AA403" s="23">
        <v>0.10213800000000001</v>
      </c>
      <c r="AB403">
        <v>27.07</v>
      </c>
      <c r="AC403">
        <v>26.77</v>
      </c>
      <c r="AD403">
        <v>26.76</v>
      </c>
    </row>
    <row r="404" spans="1:30" x14ac:dyDescent="0.25">
      <c r="A404">
        <v>4</v>
      </c>
      <c r="B404">
        <v>1</v>
      </c>
      <c r="C404">
        <v>1</v>
      </c>
      <c r="D404">
        <v>2</v>
      </c>
      <c r="E404" t="s">
        <v>29</v>
      </c>
      <c r="F404" s="13" t="s">
        <v>42</v>
      </c>
      <c r="G404">
        <v>5</v>
      </c>
      <c r="H404">
        <v>2697.89</v>
      </c>
      <c r="I404">
        <v>2648.85</v>
      </c>
      <c r="J404" s="7">
        <v>0.53123842592592596</v>
      </c>
      <c r="K404" s="11">
        <v>0.55861111111111106</v>
      </c>
      <c r="L404">
        <f t="shared" si="118"/>
        <v>2340</v>
      </c>
      <c r="M404" s="8">
        <v>39</v>
      </c>
      <c r="N404" s="8">
        <f t="shared" si="119"/>
        <v>49.039999999999964</v>
      </c>
      <c r="O404">
        <f t="shared" si="120"/>
        <v>49039.999999999964</v>
      </c>
      <c r="P404" s="2">
        <v>0.90613451589061456</v>
      </c>
      <c r="Q404">
        <v>4071.71</v>
      </c>
      <c r="R404">
        <f t="shared" si="121"/>
        <v>0.40717100000000001</v>
      </c>
      <c r="S404">
        <f t="shared" si="122"/>
        <v>51.470426325217026</v>
      </c>
      <c r="T404">
        <v>32</v>
      </c>
      <c r="U404" s="8">
        <v>38</v>
      </c>
      <c r="V404">
        <f t="shared" si="123"/>
        <v>4.7547753962618131</v>
      </c>
      <c r="W404">
        <f t="shared" si="116"/>
        <v>1.8068146505794891</v>
      </c>
      <c r="X404" s="12">
        <f t="shared" si="117"/>
        <v>2.947960745682324</v>
      </c>
      <c r="Y404" s="23">
        <v>7.1563000000000002E-2</v>
      </c>
      <c r="Z404" s="23">
        <v>8.2234000000000002E-2</v>
      </c>
      <c r="AA404" s="23">
        <v>0.170713</v>
      </c>
      <c r="AB404">
        <v>26.19</v>
      </c>
      <c r="AC404">
        <v>25.51</v>
      </c>
      <c r="AD404">
        <v>25.13</v>
      </c>
    </row>
    <row r="405" spans="1:30" x14ac:dyDescent="0.25">
      <c r="A405">
        <v>4</v>
      </c>
      <c r="B405">
        <v>1</v>
      </c>
      <c r="C405">
        <v>5</v>
      </c>
      <c r="D405">
        <v>5</v>
      </c>
      <c r="E405" t="s">
        <v>30</v>
      </c>
      <c r="F405" s="13" t="s">
        <v>39</v>
      </c>
      <c r="G405">
        <v>5</v>
      </c>
      <c r="H405">
        <v>2493.9699999999998</v>
      </c>
      <c r="I405">
        <v>2453.15</v>
      </c>
      <c r="J405" s="7">
        <v>0.53123842592592596</v>
      </c>
      <c r="K405" s="11">
        <v>0.55861111111111106</v>
      </c>
      <c r="L405">
        <f t="shared" si="118"/>
        <v>2340</v>
      </c>
      <c r="M405" s="8">
        <v>39</v>
      </c>
      <c r="N405" s="8">
        <f t="shared" si="119"/>
        <v>40.819999999999709</v>
      </c>
      <c r="O405">
        <f t="shared" si="120"/>
        <v>40819.999999999709</v>
      </c>
      <c r="P405" s="2">
        <v>0.92269439421337007</v>
      </c>
      <c r="Q405">
        <v>2899.36</v>
      </c>
      <c r="R405">
        <f t="shared" si="121"/>
        <v>0.28993600000000003</v>
      </c>
      <c r="S405">
        <f t="shared" si="122"/>
        <v>60.16653483680647</v>
      </c>
      <c r="T405">
        <v>32</v>
      </c>
      <c r="U405" s="8">
        <v>38</v>
      </c>
      <c r="V405">
        <f t="shared" si="123"/>
        <v>4.7547753962618131</v>
      </c>
      <c r="W405">
        <f t="shared" si="116"/>
        <v>1.8068146505794891</v>
      </c>
      <c r="X405" s="12">
        <f t="shared" si="117"/>
        <v>2.947960745682324</v>
      </c>
      <c r="Y405" s="23">
        <v>0.17314199999999999</v>
      </c>
      <c r="Z405" s="23">
        <v>0.14679300000000001</v>
      </c>
      <c r="AA405" s="23">
        <v>0.11158899999999999</v>
      </c>
      <c r="AB405">
        <v>27.14</v>
      </c>
      <c r="AC405">
        <v>27.6</v>
      </c>
      <c r="AD405">
        <v>27.96</v>
      </c>
    </row>
    <row r="406" spans="1:30" x14ac:dyDescent="0.25">
      <c r="A406">
        <v>4</v>
      </c>
      <c r="B406">
        <v>1</v>
      </c>
      <c r="C406">
        <v>5</v>
      </c>
      <c r="D406">
        <v>2</v>
      </c>
      <c r="E406" t="s">
        <v>24</v>
      </c>
      <c r="F406" s="13" t="s">
        <v>41</v>
      </c>
      <c r="G406">
        <v>5</v>
      </c>
      <c r="H406">
        <v>2519.6799999999998</v>
      </c>
      <c r="I406">
        <v>2494.61</v>
      </c>
      <c r="J406" s="7">
        <v>0.53123842592592596</v>
      </c>
      <c r="K406" s="11">
        <v>0.55861111111111106</v>
      </c>
      <c r="L406">
        <f t="shared" si="118"/>
        <v>2340</v>
      </c>
      <c r="M406" s="8">
        <v>39</v>
      </c>
      <c r="N406" s="8">
        <f t="shared" si="119"/>
        <v>25.069999999999709</v>
      </c>
      <c r="O406">
        <f t="shared" si="120"/>
        <v>25069.999999999709</v>
      </c>
      <c r="P406" s="2">
        <v>0.93440178904210869</v>
      </c>
      <c r="Q406">
        <v>1459.08</v>
      </c>
      <c r="R406">
        <f t="shared" si="121"/>
        <v>0.14590799999999998</v>
      </c>
      <c r="S406">
        <f t="shared" si="122"/>
        <v>73.427606530656917</v>
      </c>
      <c r="T406">
        <v>32</v>
      </c>
      <c r="U406" s="8">
        <v>38</v>
      </c>
      <c r="V406">
        <f t="shared" si="123"/>
        <v>4.7547753962618131</v>
      </c>
      <c r="W406">
        <f t="shared" si="116"/>
        <v>1.8068146505794891</v>
      </c>
      <c r="X406" s="12">
        <f t="shared" si="117"/>
        <v>2.947960745682324</v>
      </c>
      <c r="Y406" s="23">
        <v>0.15346299999999999</v>
      </c>
      <c r="Z406" s="23">
        <v>0.30085200000000001</v>
      </c>
      <c r="AA406" s="23">
        <v>0.16933100000000001</v>
      </c>
      <c r="AB406">
        <v>27.39</v>
      </c>
      <c r="AC406">
        <v>27.23</v>
      </c>
      <c r="AD406">
        <v>27.49</v>
      </c>
    </row>
    <row r="407" spans="1:30" x14ac:dyDescent="0.25">
      <c r="A407">
        <v>1</v>
      </c>
      <c r="B407" s="1">
        <v>2</v>
      </c>
      <c r="C407">
        <v>5</v>
      </c>
      <c r="D407">
        <v>4</v>
      </c>
      <c r="E407" t="s">
        <v>35</v>
      </c>
      <c r="F407" t="s">
        <v>38</v>
      </c>
      <c r="G407" s="1">
        <v>6</v>
      </c>
      <c r="H407">
        <v>2480.2800000000002</v>
      </c>
      <c r="I407">
        <v>2465.5</v>
      </c>
      <c r="J407" s="7">
        <v>0.64884259259259258</v>
      </c>
      <c r="K407" s="7">
        <v>0.68069444444444449</v>
      </c>
      <c r="L407" s="1">
        <f t="shared" si="118"/>
        <v>2748</v>
      </c>
      <c r="M407" s="4">
        <f>+(60-34.2)+20</f>
        <v>45.8</v>
      </c>
      <c r="N407" s="4">
        <f t="shared" si="119"/>
        <v>14.7800000000002</v>
      </c>
      <c r="O407" s="4">
        <f t="shared" si="120"/>
        <v>14780.0000000002</v>
      </c>
      <c r="P407" s="4">
        <v>1</v>
      </c>
      <c r="Q407">
        <v>759</v>
      </c>
      <c r="R407" s="1">
        <f t="shared" si="121"/>
        <v>7.5899999999999995E-2</v>
      </c>
      <c r="S407" s="5">
        <f t="shared" si="122"/>
        <v>70.862411853489334</v>
      </c>
      <c r="T407" s="4">
        <v>32</v>
      </c>
      <c r="U407" s="8">
        <f>+AVERAGE([1]humidity!$B$23968:$B$24060)</f>
        <v>19.892473118279568</v>
      </c>
      <c r="V407">
        <f t="shared" si="123"/>
        <v>4.7547753962618131</v>
      </c>
      <c r="W407">
        <f t="shared" si="116"/>
        <v>0.945842417535952</v>
      </c>
      <c r="X407" s="6">
        <f t="shared" si="117"/>
        <v>3.8089329787258612</v>
      </c>
      <c r="Y407" s="23">
        <v>8.9482999999999993E-2</v>
      </c>
      <c r="Z407" s="23">
        <v>0.246752</v>
      </c>
      <c r="AA407" s="23">
        <v>7.7286999999999995E-2</v>
      </c>
      <c r="AB407">
        <v>25.56</v>
      </c>
      <c r="AC407">
        <v>24.93</v>
      </c>
      <c r="AD407">
        <v>25.77</v>
      </c>
    </row>
    <row r="408" spans="1:30" x14ac:dyDescent="0.25">
      <c r="A408">
        <v>4</v>
      </c>
      <c r="B408">
        <v>2</v>
      </c>
      <c r="C408">
        <v>4</v>
      </c>
      <c r="D408">
        <v>1</v>
      </c>
      <c r="E408" t="s">
        <v>26</v>
      </c>
      <c r="F408" s="13" t="s">
        <v>41</v>
      </c>
      <c r="G408">
        <v>4</v>
      </c>
      <c r="H408">
        <v>2326.2600000000002</v>
      </c>
      <c r="I408">
        <v>2278.5700000000002</v>
      </c>
      <c r="J408" s="11">
        <v>0.52666666666666662</v>
      </c>
      <c r="K408" s="7">
        <v>0.55862268518518521</v>
      </c>
      <c r="L408">
        <f t="shared" si="118"/>
        <v>2760</v>
      </c>
      <c r="M408" s="8">
        <v>46</v>
      </c>
      <c r="N408" s="8">
        <f t="shared" si="119"/>
        <v>47.690000000000055</v>
      </c>
      <c r="O408">
        <f t="shared" si="120"/>
        <v>47690.000000000058</v>
      </c>
      <c r="P408" s="2">
        <v>1</v>
      </c>
      <c r="Q408">
        <v>3146.27</v>
      </c>
      <c r="R408">
        <f t="shared" si="121"/>
        <v>0.31462699999999999</v>
      </c>
      <c r="S408">
        <f t="shared" si="122"/>
        <v>54.918953259721512</v>
      </c>
      <c r="T408">
        <v>32</v>
      </c>
      <c r="U408" s="8">
        <v>49</v>
      </c>
      <c r="V408">
        <f t="shared" si="123"/>
        <v>4.7547753962618131</v>
      </c>
      <c r="W408">
        <f t="shared" si="116"/>
        <v>2.3298399441682882</v>
      </c>
      <c r="X408" s="12">
        <f t="shared" si="117"/>
        <v>2.4249354520935249</v>
      </c>
    </row>
    <row r="409" spans="1:30" x14ac:dyDescent="0.25">
      <c r="A409">
        <v>4</v>
      </c>
      <c r="B409">
        <v>2</v>
      </c>
      <c r="C409">
        <v>1</v>
      </c>
      <c r="D409">
        <v>2</v>
      </c>
      <c r="E409" t="s">
        <v>29</v>
      </c>
      <c r="F409" s="13" t="s">
        <v>42</v>
      </c>
      <c r="G409">
        <v>4</v>
      </c>
      <c r="H409">
        <v>2467.66</v>
      </c>
      <c r="I409">
        <v>2409.5300000000002</v>
      </c>
      <c r="J409" s="11">
        <v>0.52666666666666662</v>
      </c>
      <c r="K409" s="7">
        <v>0.55862268518518521</v>
      </c>
      <c r="L409">
        <f t="shared" si="118"/>
        <v>2760</v>
      </c>
      <c r="M409" s="8">
        <v>46</v>
      </c>
      <c r="N409" s="8">
        <f t="shared" si="119"/>
        <v>58.129999999999654</v>
      </c>
      <c r="O409">
        <f t="shared" si="120"/>
        <v>58129.999999999651</v>
      </c>
      <c r="P409" s="2">
        <v>1</v>
      </c>
      <c r="Q409">
        <v>4071.71</v>
      </c>
      <c r="R409">
        <f t="shared" si="121"/>
        <v>0.40717100000000001</v>
      </c>
      <c r="S409">
        <f t="shared" si="122"/>
        <v>51.726655883887666</v>
      </c>
      <c r="T409">
        <v>32</v>
      </c>
      <c r="U409" s="8">
        <v>49</v>
      </c>
      <c r="V409">
        <f t="shared" si="123"/>
        <v>4.7547753962618131</v>
      </c>
      <c r="W409">
        <f t="shared" si="116"/>
        <v>2.3298399441682882</v>
      </c>
      <c r="X409" s="12">
        <f t="shared" si="117"/>
        <v>2.4249354520935249</v>
      </c>
    </row>
    <row r="410" spans="1:30" x14ac:dyDescent="0.25">
      <c r="A410">
        <v>4</v>
      </c>
      <c r="B410">
        <v>2</v>
      </c>
      <c r="C410">
        <v>5</v>
      </c>
      <c r="D410">
        <v>5</v>
      </c>
      <c r="E410" t="s">
        <v>30</v>
      </c>
      <c r="F410" s="13" t="s">
        <v>39</v>
      </c>
      <c r="G410">
        <v>4</v>
      </c>
      <c r="H410">
        <v>2384.87</v>
      </c>
      <c r="I410">
        <v>2329.08</v>
      </c>
      <c r="J410" s="11">
        <v>0.52666666666666662</v>
      </c>
      <c r="K410" s="7">
        <v>0.55862268518518521</v>
      </c>
      <c r="L410">
        <f t="shared" si="118"/>
        <v>2760</v>
      </c>
      <c r="M410" s="8">
        <v>46</v>
      </c>
      <c r="N410" s="8">
        <f t="shared" si="119"/>
        <v>55.789999999999964</v>
      </c>
      <c r="O410">
        <f t="shared" si="120"/>
        <v>55789.999999999964</v>
      </c>
      <c r="P410" s="2">
        <v>1</v>
      </c>
      <c r="Q410">
        <v>2899.36</v>
      </c>
      <c r="R410">
        <f t="shared" si="121"/>
        <v>0.28993600000000003</v>
      </c>
      <c r="S410">
        <f t="shared" si="122"/>
        <v>69.718034724704808</v>
      </c>
      <c r="T410">
        <v>32</v>
      </c>
      <c r="U410" s="8">
        <v>49</v>
      </c>
      <c r="V410">
        <f t="shared" si="123"/>
        <v>4.7547753962618131</v>
      </c>
      <c r="W410">
        <f t="shared" si="116"/>
        <v>2.3298399441682882</v>
      </c>
      <c r="X410" s="12">
        <f t="shared" si="117"/>
        <v>2.4249354520935249</v>
      </c>
    </row>
    <row r="411" spans="1:30" x14ac:dyDescent="0.25">
      <c r="A411">
        <v>4</v>
      </c>
      <c r="B411">
        <v>2</v>
      </c>
      <c r="C411">
        <v>5</v>
      </c>
      <c r="D411">
        <v>2</v>
      </c>
      <c r="E411" t="s">
        <v>24</v>
      </c>
      <c r="F411" s="13" t="s">
        <v>41</v>
      </c>
      <c r="G411">
        <v>4</v>
      </c>
      <c r="H411">
        <v>2480.94</v>
      </c>
      <c r="I411">
        <v>2450.5300000000002</v>
      </c>
      <c r="J411" s="11">
        <v>0.52666666666666662</v>
      </c>
      <c r="K411" s="7">
        <v>0.55862268518518521</v>
      </c>
      <c r="L411">
        <f t="shared" si="118"/>
        <v>2760</v>
      </c>
      <c r="M411" s="8">
        <v>46</v>
      </c>
      <c r="N411" s="8">
        <f t="shared" si="119"/>
        <v>30.409999999999854</v>
      </c>
      <c r="O411">
        <f t="shared" si="120"/>
        <v>30409.999999999854</v>
      </c>
      <c r="P411" s="2">
        <v>1</v>
      </c>
      <c r="Q411">
        <v>1459.08</v>
      </c>
      <c r="R411">
        <f t="shared" si="121"/>
        <v>0.14590799999999998</v>
      </c>
      <c r="S411">
        <f t="shared" si="122"/>
        <v>75.514131795576219</v>
      </c>
      <c r="T411">
        <v>32</v>
      </c>
      <c r="U411" s="8">
        <v>49</v>
      </c>
      <c r="V411">
        <f t="shared" si="123"/>
        <v>4.7547753962618131</v>
      </c>
      <c r="W411">
        <f t="shared" si="116"/>
        <v>2.3298399441682882</v>
      </c>
      <c r="X411" s="12">
        <f t="shared" si="117"/>
        <v>2.4249354520935249</v>
      </c>
    </row>
    <row r="412" spans="1:30" x14ac:dyDescent="0.25">
      <c r="A412">
        <v>4</v>
      </c>
      <c r="B412">
        <v>2</v>
      </c>
      <c r="C412">
        <v>1</v>
      </c>
      <c r="D412">
        <v>1</v>
      </c>
      <c r="E412" t="s">
        <v>35</v>
      </c>
      <c r="F412" t="s">
        <v>38</v>
      </c>
      <c r="G412">
        <v>5</v>
      </c>
      <c r="H412">
        <v>2357.1799999999998</v>
      </c>
      <c r="I412">
        <v>2328.1799999999998</v>
      </c>
      <c r="J412" s="7">
        <v>0.61285879629629625</v>
      </c>
      <c r="K412" s="7">
        <v>0.63888888888888884</v>
      </c>
      <c r="L412">
        <f t="shared" si="118"/>
        <v>2237.4</v>
      </c>
      <c r="M412" s="8">
        <v>37.29</v>
      </c>
      <c r="N412" s="8">
        <f t="shared" si="119"/>
        <v>29</v>
      </c>
      <c r="O412">
        <f t="shared" si="120"/>
        <v>29000</v>
      </c>
      <c r="P412" s="2">
        <v>0.61001262095077879</v>
      </c>
      <c r="Q412">
        <v>2878.45</v>
      </c>
      <c r="R412">
        <f t="shared" si="121"/>
        <v>0.28784499999999996</v>
      </c>
      <c r="S412">
        <f t="shared" si="122"/>
        <v>45.029349609909119</v>
      </c>
      <c r="T412">
        <v>32</v>
      </c>
      <c r="U412" s="8">
        <v>30</v>
      </c>
      <c r="V412">
        <f t="shared" si="123"/>
        <v>4.7547753962618131</v>
      </c>
      <c r="W412">
        <f t="shared" si="116"/>
        <v>1.4264326188785439</v>
      </c>
      <c r="X412" s="12">
        <f t="shared" si="117"/>
        <v>3.328342777383269</v>
      </c>
    </row>
    <row r="413" spans="1:30" x14ac:dyDescent="0.25">
      <c r="A413">
        <v>1</v>
      </c>
      <c r="B413" s="1">
        <v>1</v>
      </c>
      <c r="C413" s="1">
        <v>4</v>
      </c>
      <c r="D413" s="1">
        <v>2</v>
      </c>
      <c r="E413" t="s">
        <v>30</v>
      </c>
      <c r="F413" s="13" t="s">
        <v>39</v>
      </c>
      <c r="G413" s="1">
        <v>2</v>
      </c>
      <c r="H413">
        <v>2497.37</v>
      </c>
      <c r="I413">
        <v>2485.15</v>
      </c>
      <c r="J413" s="7">
        <v>0.35893518518518519</v>
      </c>
      <c r="K413" s="7">
        <v>0.38979166666666665</v>
      </c>
      <c r="L413" s="1">
        <f t="shared" si="118"/>
        <v>2655.6</v>
      </c>
      <c r="M413" s="1">
        <v>44.26</v>
      </c>
      <c r="N413" s="4">
        <f t="shared" si="119"/>
        <v>12.2199999999998</v>
      </c>
      <c r="O413" s="4">
        <f t="shared" si="120"/>
        <v>12219.9999999998</v>
      </c>
      <c r="P413" s="2">
        <v>0.86056338028168711</v>
      </c>
      <c r="Q413">
        <v>593.25</v>
      </c>
      <c r="R413" s="1">
        <f>Q413/10000</f>
        <v>5.9325000000000003E-2</v>
      </c>
      <c r="S413" s="5">
        <f t="shared" si="122"/>
        <v>77.565893400721706</v>
      </c>
      <c r="T413" s="4">
        <v>32</v>
      </c>
      <c r="U413">
        <v>71</v>
      </c>
      <c r="V413">
        <f t="shared" si="123"/>
        <v>4.7547753962618131</v>
      </c>
      <c r="W413">
        <f t="shared" si="116"/>
        <v>3.3758905313458873</v>
      </c>
      <c r="X413" s="6">
        <f t="shared" si="117"/>
        <v>1.3788848649159258</v>
      </c>
    </row>
    <row r="414" spans="1:30" x14ac:dyDescent="0.25">
      <c r="A414">
        <v>1</v>
      </c>
      <c r="B414" s="1">
        <v>1</v>
      </c>
      <c r="C414" s="1">
        <v>4</v>
      </c>
      <c r="D414" s="1">
        <v>2</v>
      </c>
      <c r="E414" t="s">
        <v>30</v>
      </c>
      <c r="F414" s="13" t="s">
        <v>39</v>
      </c>
      <c r="G414" s="1">
        <v>3</v>
      </c>
      <c r="H414">
        <v>2478.3200000000002</v>
      </c>
      <c r="I414">
        <v>2467.61</v>
      </c>
      <c r="J414" s="7">
        <v>0.41251157407407407</v>
      </c>
      <c r="K414" s="7">
        <v>0.44452546296296297</v>
      </c>
      <c r="L414" s="1">
        <f t="shared" si="118"/>
        <v>2643.6000000000004</v>
      </c>
      <c r="M414" s="4">
        <v>44.06</v>
      </c>
      <c r="N414" s="4">
        <f t="shared" si="119"/>
        <v>10.710000000000036</v>
      </c>
      <c r="O414" s="4">
        <f t="shared" si="120"/>
        <v>10710.000000000036</v>
      </c>
      <c r="P414" s="2">
        <v>0.75422535211268826</v>
      </c>
      <c r="Q414">
        <v>593.25</v>
      </c>
      <c r="R414" s="1">
        <f>Q414/10000</f>
        <v>5.9325000000000003E-2</v>
      </c>
      <c r="S414" s="5">
        <f t="shared" si="122"/>
        <v>68.289822004587691</v>
      </c>
      <c r="T414" s="4">
        <v>32</v>
      </c>
      <c r="U414" s="8">
        <f>+AVERAGE([1]humidity!$B$20430:$B$20523)</f>
        <v>58.276595744680854</v>
      </c>
      <c r="V414">
        <f t="shared" si="123"/>
        <v>4.7547753962618131</v>
      </c>
      <c r="W414">
        <f t="shared" si="116"/>
        <v>2.7709212362470441</v>
      </c>
      <c r="X414" s="6">
        <f t="shared" si="117"/>
        <v>1.983854160014769</v>
      </c>
    </row>
    <row r="415" spans="1:30" x14ac:dyDescent="0.25">
      <c r="A415">
        <v>1</v>
      </c>
      <c r="B415" s="1">
        <v>1</v>
      </c>
      <c r="C415" s="1">
        <v>4</v>
      </c>
      <c r="D415" s="1">
        <v>2</v>
      </c>
      <c r="E415" t="s">
        <v>30</v>
      </c>
      <c r="F415" s="13" t="s">
        <v>39</v>
      </c>
      <c r="G415" s="1">
        <v>4</v>
      </c>
      <c r="H415">
        <v>2461.0500000000002</v>
      </c>
      <c r="I415">
        <v>2449.11</v>
      </c>
      <c r="J415" s="7">
        <v>0.46377314814814813</v>
      </c>
      <c r="K415" s="7">
        <v>0.49486111111111108</v>
      </c>
      <c r="L415" s="1">
        <f t="shared" si="118"/>
        <v>2667.6</v>
      </c>
      <c r="M415" s="1">
        <v>44.46</v>
      </c>
      <c r="N415" s="4">
        <f t="shared" si="119"/>
        <v>11.940000000000055</v>
      </c>
      <c r="O415" s="4">
        <f t="shared" si="120"/>
        <v>11940.000000000055</v>
      </c>
      <c r="P415" s="2">
        <v>0.84084507042254986</v>
      </c>
      <c r="Q415">
        <v>593.25</v>
      </c>
      <c r="R415" s="1">
        <f>Q415/10000</f>
        <v>5.9325000000000003E-2</v>
      </c>
      <c r="S415" s="5">
        <f t="shared" si="122"/>
        <v>75.447676751822414</v>
      </c>
      <c r="T415" s="4">
        <v>32</v>
      </c>
      <c r="U415" s="8">
        <f>+AVERAGE([1]humidity!$B$20576:$B$20667)</f>
        <v>47.380434782608695</v>
      </c>
      <c r="V415">
        <f t="shared" si="123"/>
        <v>4.7547753962618131</v>
      </c>
      <c r="W415">
        <f t="shared" si="116"/>
        <v>2.2528332556853523</v>
      </c>
      <c r="X415" s="6">
        <f t="shared" si="117"/>
        <v>2.5019421405764608</v>
      </c>
    </row>
    <row r="416" spans="1:30" x14ac:dyDescent="0.25">
      <c r="A416">
        <v>1</v>
      </c>
      <c r="B416" s="1">
        <v>1</v>
      </c>
      <c r="C416" s="1">
        <v>4</v>
      </c>
      <c r="D416" s="1">
        <v>2</v>
      </c>
      <c r="E416" t="s">
        <v>30</v>
      </c>
      <c r="F416" s="13" t="s">
        <v>39</v>
      </c>
      <c r="G416" s="1">
        <v>5</v>
      </c>
      <c r="H416">
        <v>2440.67</v>
      </c>
      <c r="I416">
        <v>2427.42</v>
      </c>
      <c r="J416" s="7">
        <v>0.51785879629629628</v>
      </c>
      <c r="K416" s="7">
        <v>0.54924768518518519</v>
      </c>
      <c r="L416" s="1">
        <f t="shared" si="118"/>
        <v>2707.2</v>
      </c>
      <c r="M416" s="4">
        <v>45.12</v>
      </c>
      <c r="N416" s="4">
        <f t="shared" si="119"/>
        <v>13.25</v>
      </c>
      <c r="O416" s="4">
        <f t="shared" si="120"/>
        <v>13250</v>
      </c>
      <c r="P416" s="2">
        <v>0.93309859154930774</v>
      </c>
      <c r="Q416">
        <v>593.25</v>
      </c>
      <c r="R416" s="1">
        <f>Q416/10000</f>
        <v>5.9325000000000003E-2</v>
      </c>
      <c r="S416" s="5">
        <f t="shared" si="122"/>
        <v>82.500729742303832</v>
      </c>
      <c r="T416" s="4">
        <v>32</v>
      </c>
      <c r="U416" s="8">
        <f>+AVERAGE([1]humidity!$B$20731:$B$20822)</f>
        <v>37.228260869565219</v>
      </c>
      <c r="V416">
        <f t="shared" si="123"/>
        <v>4.7547753962618131</v>
      </c>
      <c r="W416">
        <f t="shared" si="116"/>
        <v>1.770120188282251</v>
      </c>
      <c r="X416" s="6">
        <f t="shared" si="117"/>
        <v>2.9846552079795621</v>
      </c>
    </row>
    <row r="417" spans="1:24" x14ac:dyDescent="0.25">
      <c r="A417">
        <v>1</v>
      </c>
      <c r="B417" s="1">
        <v>1</v>
      </c>
      <c r="C417" s="1">
        <v>4</v>
      </c>
      <c r="D417" s="1">
        <v>2</v>
      </c>
      <c r="E417" t="s">
        <v>30</v>
      </c>
      <c r="F417" s="13" t="s">
        <v>39</v>
      </c>
      <c r="G417" s="1">
        <v>6</v>
      </c>
      <c r="H417">
        <v>2415.83</v>
      </c>
      <c r="I417">
        <v>2401.63</v>
      </c>
      <c r="J417" s="7">
        <v>0.57593749999999999</v>
      </c>
      <c r="K417" s="7">
        <v>0.60682870370370368</v>
      </c>
      <c r="L417" s="1">
        <f t="shared" si="118"/>
        <v>2657.4</v>
      </c>
      <c r="M417" s="4">
        <v>44.29</v>
      </c>
      <c r="N417" s="4">
        <f t="shared" si="119"/>
        <v>14.199999999999818</v>
      </c>
      <c r="O417" s="4">
        <f t="shared" si="120"/>
        <v>14199.999999999818</v>
      </c>
      <c r="P417" s="2">
        <v>1</v>
      </c>
      <c r="Q417">
        <v>593.25</v>
      </c>
      <c r="R417" s="1">
        <f>Q417/10000</f>
        <v>5.9325000000000003E-2</v>
      </c>
      <c r="S417" s="5">
        <f t="shared" si="122"/>
        <v>90.07280070685465</v>
      </c>
      <c r="T417" s="4">
        <v>32</v>
      </c>
      <c r="U417" s="8">
        <f>+AVERAGE([1]humidity!$B$20898:$B$20986)</f>
        <v>19.865168539325843</v>
      </c>
      <c r="V417">
        <f t="shared" si="123"/>
        <v>4.7547753962618131</v>
      </c>
      <c r="W417">
        <f t="shared" si="116"/>
        <v>0.94454414613380733</v>
      </c>
      <c r="X417" s="6">
        <f t="shared" si="117"/>
        <v>3.8102312501280058</v>
      </c>
    </row>
    <row r="418" spans="1:24" x14ac:dyDescent="0.25">
      <c r="A418">
        <v>1</v>
      </c>
      <c r="B418" s="1">
        <v>2</v>
      </c>
      <c r="C418">
        <v>4</v>
      </c>
      <c r="D418">
        <v>2</v>
      </c>
      <c r="E418" t="s">
        <v>30</v>
      </c>
      <c r="F418" s="13" t="s">
        <v>39</v>
      </c>
      <c r="G418" s="1">
        <v>2</v>
      </c>
      <c r="H418">
        <v>2601.77</v>
      </c>
      <c r="I418">
        <v>2589.14</v>
      </c>
      <c r="J418" s="7">
        <v>0.41741898148148149</v>
      </c>
      <c r="K418" s="7">
        <v>0.44797453703703705</v>
      </c>
      <c r="L418" s="1">
        <f t="shared" si="118"/>
        <v>2640</v>
      </c>
      <c r="M418" s="4">
        <v>44</v>
      </c>
      <c r="N418" s="4">
        <f t="shared" si="119"/>
        <v>12.630000000000109</v>
      </c>
      <c r="O418" s="4">
        <f t="shared" si="120"/>
        <v>12630.000000000109</v>
      </c>
      <c r="P418" s="2">
        <v>0.76038531005418497</v>
      </c>
      <c r="Q418">
        <v>593.25</v>
      </c>
      <c r="R418" s="1">
        <f>+Q418/10000</f>
        <v>5.9325000000000003E-2</v>
      </c>
      <c r="S418" s="5">
        <f t="shared" si="122"/>
        <v>80.642071792514969</v>
      </c>
      <c r="T418" s="4">
        <v>32</v>
      </c>
      <c r="U418" s="8">
        <f>+AVERAGE([1]humidity!$B$23313:$B$23401)</f>
        <v>71.887640449438209</v>
      </c>
      <c r="V418">
        <f t="shared" si="123"/>
        <v>4.7547753962618131</v>
      </c>
      <c r="W418">
        <f t="shared" si="116"/>
        <v>3.4180958410430429</v>
      </c>
      <c r="X418" s="6">
        <f t="shared" si="117"/>
        <v>1.3366795552187702</v>
      </c>
    </row>
    <row r="419" spans="1:24" x14ac:dyDescent="0.25">
      <c r="A419">
        <v>1</v>
      </c>
      <c r="B419" s="1">
        <v>2</v>
      </c>
      <c r="C419">
        <v>4</v>
      </c>
      <c r="D419">
        <v>2</v>
      </c>
      <c r="E419" t="s">
        <v>30</v>
      </c>
      <c r="F419" s="13" t="s">
        <v>39</v>
      </c>
      <c r="G419" s="1">
        <v>3</v>
      </c>
      <c r="H419">
        <v>2578.73</v>
      </c>
      <c r="I419">
        <v>2566.92</v>
      </c>
      <c r="J419" s="7">
        <v>0.47769675925925925</v>
      </c>
      <c r="K419" s="7">
        <v>0.5084143518518518</v>
      </c>
      <c r="L419" s="1">
        <f t="shared" si="118"/>
        <v>2648.4</v>
      </c>
      <c r="M419" s="4">
        <v>44.14</v>
      </c>
      <c r="N419" s="4">
        <f t="shared" si="119"/>
        <v>11.809999999999945</v>
      </c>
      <c r="O419" s="4">
        <f t="shared" si="120"/>
        <v>11809.999999999945</v>
      </c>
      <c r="P419" s="2">
        <v>0.71101745936182148</v>
      </c>
      <c r="Q419">
        <v>593.25</v>
      </c>
      <c r="R419" s="1">
        <f>+Q419/10000</f>
        <v>5.9325000000000003E-2</v>
      </c>
      <c r="S419" s="5">
        <f t="shared" si="122"/>
        <v>75.167234367044756</v>
      </c>
      <c r="T419" s="4">
        <v>32</v>
      </c>
      <c r="U419" s="8">
        <f>+AVERAGE([1]humidity!$B$23480:$B$23571)</f>
        <v>55.608695652173914</v>
      </c>
      <c r="V419">
        <f t="shared" si="123"/>
        <v>4.7547753962618131</v>
      </c>
      <c r="W419">
        <f t="shared" si="116"/>
        <v>2.6440685790516776</v>
      </c>
      <c r="X419" s="6">
        <f t="shared" si="117"/>
        <v>2.1107068172101355</v>
      </c>
    </row>
    <row r="420" spans="1:24" x14ac:dyDescent="0.25">
      <c r="A420">
        <v>1</v>
      </c>
      <c r="B420" s="1">
        <v>2</v>
      </c>
      <c r="C420">
        <v>4</v>
      </c>
      <c r="D420">
        <v>2</v>
      </c>
      <c r="E420" t="s">
        <v>30</v>
      </c>
      <c r="F420" s="13" t="s">
        <v>39</v>
      </c>
      <c r="G420" s="1">
        <v>4</v>
      </c>
      <c r="H420">
        <v>2557.04</v>
      </c>
      <c r="I420">
        <v>2542.21</v>
      </c>
      <c r="J420" s="7">
        <v>0.53045138888888888</v>
      </c>
      <c r="K420" s="7">
        <v>0.56327546296296294</v>
      </c>
      <c r="L420" s="1">
        <f t="shared" si="118"/>
        <v>2829.6</v>
      </c>
      <c r="M420" s="4">
        <v>47.16</v>
      </c>
      <c r="N420" s="4">
        <f t="shared" si="119"/>
        <v>14.829999999999927</v>
      </c>
      <c r="O420" s="4">
        <f t="shared" si="120"/>
        <v>14829.999999999927</v>
      </c>
      <c r="P420" s="2">
        <v>0.89283564118000081</v>
      </c>
      <c r="Q420">
        <v>593.25</v>
      </c>
      <c r="R420" s="1">
        <f>+Q420/10000</f>
        <v>5.9325000000000003E-2</v>
      </c>
      <c r="S420" s="5">
        <f t="shared" si="122"/>
        <v>88.344264074408443</v>
      </c>
      <c r="T420" s="4">
        <v>32</v>
      </c>
      <c r="U420" s="8">
        <f>+AVERAGE([1]humidity!$B$23635:$B$23728)</f>
        <v>48.244680851063826</v>
      </c>
      <c r="V420">
        <f t="shared" si="123"/>
        <v>4.7547753962618131</v>
      </c>
      <c r="W420">
        <f t="shared" si="116"/>
        <v>2.293926215111417</v>
      </c>
      <c r="X420" s="6">
        <f t="shared" si="117"/>
        <v>2.4608491811503961</v>
      </c>
    </row>
    <row r="421" spans="1:24" x14ac:dyDescent="0.25">
      <c r="A421">
        <v>1</v>
      </c>
      <c r="B421" s="1">
        <v>2</v>
      </c>
      <c r="C421">
        <v>4</v>
      </c>
      <c r="D421">
        <v>2</v>
      </c>
      <c r="E421" t="s">
        <v>30</v>
      </c>
      <c r="F421" s="13" t="s">
        <v>39</v>
      </c>
      <c r="G421" s="1">
        <v>5</v>
      </c>
      <c r="H421">
        <v>2530.58</v>
      </c>
      <c r="I421">
        <v>2515.35</v>
      </c>
      <c r="J421" s="7">
        <v>0.58910879629629631</v>
      </c>
      <c r="K421" s="7">
        <v>0.61982638888888886</v>
      </c>
      <c r="L421" s="1">
        <f t="shared" si="118"/>
        <v>2648.4</v>
      </c>
      <c r="M421" s="4">
        <f>52.33-8.19</f>
        <v>44.14</v>
      </c>
      <c r="N421" s="4">
        <f t="shared" si="119"/>
        <v>15.230000000000018</v>
      </c>
      <c r="O421" s="4">
        <f t="shared" si="120"/>
        <v>15230.000000000018</v>
      </c>
      <c r="P421" s="2">
        <v>0.91691751956652023</v>
      </c>
      <c r="Q421">
        <v>593.25</v>
      </c>
      <c r="R421" s="1">
        <f>+Q421/10000</f>
        <v>5.9325000000000003E-2</v>
      </c>
      <c r="S421" s="5">
        <f t="shared" si="122"/>
        <v>96.934545250643382</v>
      </c>
      <c r="T421" s="4">
        <v>32</v>
      </c>
      <c r="U421" s="8">
        <f>+AVERAGE([1]humidity!$B$23800:$B$23885)</f>
        <v>34.860465116279073</v>
      </c>
      <c r="V421">
        <f t="shared" si="123"/>
        <v>4.7547753962618131</v>
      </c>
      <c r="W421">
        <f t="shared" si="116"/>
        <v>1.6575368183712693</v>
      </c>
      <c r="X421" s="6">
        <f t="shared" si="117"/>
        <v>3.0972385778905438</v>
      </c>
    </row>
    <row r="422" spans="1:24" x14ac:dyDescent="0.25">
      <c r="A422">
        <v>1</v>
      </c>
      <c r="B422" s="1">
        <v>2</v>
      </c>
      <c r="C422">
        <v>4</v>
      </c>
      <c r="D422">
        <v>2</v>
      </c>
      <c r="E422" t="s">
        <v>30</v>
      </c>
      <c r="F422" s="13" t="s">
        <v>39</v>
      </c>
      <c r="G422" s="1">
        <v>6</v>
      </c>
      <c r="H422">
        <v>2501.09</v>
      </c>
      <c r="I422">
        <v>2484.48</v>
      </c>
      <c r="J422" s="7">
        <v>0.64884259259259258</v>
      </c>
      <c r="K422" s="7">
        <v>0.68069444444444449</v>
      </c>
      <c r="L422" s="1">
        <f t="shared" si="118"/>
        <v>2748</v>
      </c>
      <c r="M422" s="4">
        <f>+(60-34.2)+20</f>
        <v>45.8</v>
      </c>
      <c r="N422" s="4">
        <f t="shared" si="119"/>
        <v>16.610000000000127</v>
      </c>
      <c r="O422" s="4">
        <f t="shared" si="120"/>
        <v>16610.000000000127</v>
      </c>
      <c r="P422" s="2">
        <v>1</v>
      </c>
      <c r="Q422">
        <v>593.25</v>
      </c>
      <c r="R422" s="1">
        <f>+Q422/10000</f>
        <v>5.9325000000000003E-2</v>
      </c>
      <c r="S422" s="5">
        <f t="shared" si="122"/>
        <v>101.886151273639</v>
      </c>
      <c r="T422" s="4">
        <v>32</v>
      </c>
      <c r="U422" s="8">
        <f>+AVERAGE([1]humidity!$B$23968:$B$24060)</f>
        <v>19.892473118279568</v>
      </c>
      <c r="V422">
        <f t="shared" si="123"/>
        <v>4.7547753962618131</v>
      </c>
      <c r="W422">
        <f t="shared" si="116"/>
        <v>0.945842417535952</v>
      </c>
      <c r="X422" s="6">
        <f t="shared" si="117"/>
        <v>3.8089329787258612</v>
      </c>
    </row>
    <row r="423" spans="1:24" x14ac:dyDescent="0.25">
      <c r="A423">
        <v>2</v>
      </c>
      <c r="B423">
        <v>1</v>
      </c>
      <c r="C423">
        <v>4</v>
      </c>
      <c r="D423">
        <v>1</v>
      </c>
      <c r="E423" t="s">
        <v>30</v>
      </c>
      <c r="F423" s="13" t="s">
        <v>39</v>
      </c>
      <c r="G423">
        <v>1</v>
      </c>
      <c r="H423">
        <v>2869.26</v>
      </c>
      <c r="I423">
        <v>2856.92</v>
      </c>
      <c r="J423" s="11">
        <v>0.49791666666666667</v>
      </c>
      <c r="K423" s="7">
        <v>0.53189814814814818</v>
      </c>
      <c r="L423">
        <f t="shared" ref="L423:L430" si="124">+M423*60</f>
        <v>2880</v>
      </c>
      <c r="M423">
        <v>48</v>
      </c>
      <c r="N423">
        <f t="shared" ref="N423:N430" si="125">+H423-I423</f>
        <v>12.340000000000146</v>
      </c>
      <c r="O423">
        <f t="shared" ref="O423:O430" si="126">+N423*1000</f>
        <v>12340.000000000146</v>
      </c>
      <c r="P423" s="2">
        <v>0.84347231715653137</v>
      </c>
      <c r="Q423">
        <v>849</v>
      </c>
      <c r="R423" s="1">
        <v>8.4900000000000003E-2</v>
      </c>
      <c r="S423" s="5">
        <v>50.467870697553273</v>
      </c>
      <c r="T423" s="4">
        <v>32</v>
      </c>
      <c r="U423" s="8">
        <v>77.865979381443296</v>
      </c>
      <c r="V423">
        <v>4.7547753962618131</v>
      </c>
      <c r="W423">
        <v>3.7023524296871622</v>
      </c>
      <c r="X423" s="6">
        <v>1.052422966574651</v>
      </c>
    </row>
    <row r="424" spans="1:24" x14ac:dyDescent="0.25">
      <c r="A424">
        <v>2</v>
      </c>
      <c r="B424">
        <v>1</v>
      </c>
      <c r="C424">
        <v>4</v>
      </c>
      <c r="D424">
        <v>1</v>
      </c>
      <c r="E424" t="s">
        <v>30</v>
      </c>
      <c r="F424" s="13" t="s">
        <v>39</v>
      </c>
      <c r="G424">
        <v>2</v>
      </c>
      <c r="H424">
        <v>2846.42</v>
      </c>
      <c r="I424">
        <v>2831.39</v>
      </c>
      <c r="J424" s="7">
        <v>0.55482638888888891</v>
      </c>
      <c r="K424" s="7">
        <v>0.58539351851851851</v>
      </c>
      <c r="L424">
        <f t="shared" si="124"/>
        <v>2640</v>
      </c>
      <c r="M424">
        <v>44</v>
      </c>
      <c r="N424">
        <f t="shared" si="125"/>
        <v>15.0300000000002</v>
      </c>
      <c r="O424">
        <f t="shared" si="126"/>
        <v>15030.0000000002</v>
      </c>
      <c r="P424" s="2">
        <v>1.027341079972665</v>
      </c>
      <c r="Q424">
        <v>849</v>
      </c>
      <c r="R424" s="1">
        <v>8.4900000000000003E-2</v>
      </c>
      <c r="S424" s="5">
        <v>67.057500803084736</v>
      </c>
      <c r="T424" s="4">
        <v>32</v>
      </c>
      <c r="U424" s="8">
        <v>66.811764705882354</v>
      </c>
      <c r="V424">
        <v>4.7547753962618131</v>
      </c>
      <c r="W424">
        <v>3.1767493500436275</v>
      </c>
      <c r="X424" s="6">
        <v>1.5780260462181857</v>
      </c>
    </row>
    <row r="425" spans="1:24" x14ac:dyDescent="0.25">
      <c r="A425">
        <v>2</v>
      </c>
      <c r="B425">
        <v>1</v>
      </c>
      <c r="C425">
        <v>4</v>
      </c>
      <c r="D425">
        <v>1</v>
      </c>
      <c r="E425" t="s">
        <v>30</v>
      </c>
      <c r="F425" s="13" t="s">
        <v>39</v>
      </c>
      <c r="G425">
        <v>3</v>
      </c>
      <c r="H425">
        <v>2820.79</v>
      </c>
      <c r="I425">
        <v>2806.32</v>
      </c>
      <c r="J425" s="7">
        <v>0.60451388888888891</v>
      </c>
      <c r="K425" s="7">
        <v>0.63587962962962963</v>
      </c>
      <c r="L425">
        <f t="shared" si="124"/>
        <v>2700</v>
      </c>
      <c r="M425">
        <v>45</v>
      </c>
      <c r="N425">
        <f t="shared" si="125"/>
        <v>14.4699999999998</v>
      </c>
      <c r="O425">
        <f t="shared" si="126"/>
        <v>14469.9999999998</v>
      </c>
      <c r="P425" s="2">
        <v>0.98906356801091533</v>
      </c>
      <c r="Q425">
        <v>849</v>
      </c>
      <c r="R425">
        <v>8.4900000000000003E-2</v>
      </c>
      <c r="S425">
        <v>63.124372900579324</v>
      </c>
      <c r="T425">
        <v>32</v>
      </c>
      <c r="U425" s="8">
        <v>56</v>
      </c>
      <c r="V425">
        <v>4.7547753962618131</v>
      </c>
      <c r="W425">
        <v>2.6626742219066157</v>
      </c>
      <c r="X425" s="12">
        <v>2.0921011743551974</v>
      </c>
    </row>
    <row r="426" spans="1:24" x14ac:dyDescent="0.25">
      <c r="A426">
        <v>2</v>
      </c>
      <c r="B426">
        <v>1</v>
      </c>
      <c r="C426">
        <v>4</v>
      </c>
      <c r="D426">
        <v>1</v>
      </c>
      <c r="E426" t="s">
        <v>30</v>
      </c>
      <c r="F426" s="13" t="s">
        <v>39</v>
      </c>
      <c r="G426">
        <v>4</v>
      </c>
      <c r="H426">
        <v>2797.96</v>
      </c>
      <c r="I426">
        <v>2784.09</v>
      </c>
      <c r="J426" s="7">
        <v>0.65231481481481479</v>
      </c>
      <c r="K426" s="7">
        <v>0.68402777777777779</v>
      </c>
      <c r="L426">
        <f t="shared" si="124"/>
        <v>2700</v>
      </c>
      <c r="M426">
        <v>45</v>
      </c>
      <c r="N426">
        <f t="shared" si="125"/>
        <v>13.869999999999891</v>
      </c>
      <c r="O426">
        <f t="shared" si="126"/>
        <v>13869.999999999891</v>
      </c>
      <c r="P426" s="2">
        <v>0.94805194805193349</v>
      </c>
      <c r="Q426">
        <v>849</v>
      </c>
      <c r="R426">
        <v>8.4900000000000003E-2</v>
      </c>
      <c r="S426">
        <v>60.50691445273258</v>
      </c>
      <c r="T426">
        <v>32</v>
      </c>
      <c r="U426" s="8">
        <v>47.103448275862071</v>
      </c>
      <c r="V426">
        <v>4.7547753962618131</v>
      </c>
      <c r="W426">
        <v>2.2396631694115987</v>
      </c>
      <c r="X426" s="12">
        <v>2.5151122268502144</v>
      </c>
    </row>
    <row r="427" spans="1:24" x14ac:dyDescent="0.25">
      <c r="A427">
        <v>2</v>
      </c>
      <c r="B427">
        <v>1</v>
      </c>
      <c r="C427">
        <v>4</v>
      </c>
      <c r="D427">
        <v>1</v>
      </c>
      <c r="E427" t="s">
        <v>30</v>
      </c>
      <c r="F427" s="13" t="s">
        <v>39</v>
      </c>
      <c r="G427">
        <v>5</v>
      </c>
      <c r="H427">
        <v>2775.41</v>
      </c>
      <c r="I427">
        <v>2761.99</v>
      </c>
      <c r="J427" s="7">
        <v>0.70046296296296295</v>
      </c>
      <c r="K427" s="7">
        <v>0.73293981481481485</v>
      </c>
      <c r="L427">
        <f t="shared" si="124"/>
        <v>2760</v>
      </c>
      <c r="M427">
        <v>46</v>
      </c>
      <c r="N427">
        <f t="shared" si="125"/>
        <v>13.420000000000073</v>
      </c>
      <c r="O427">
        <f t="shared" si="126"/>
        <v>13420.000000000073</v>
      </c>
      <c r="P427" s="2">
        <v>0.91729323308270494</v>
      </c>
      <c r="Q427">
        <v>849</v>
      </c>
      <c r="R427">
        <v>8.4900000000000003E-2</v>
      </c>
      <c r="S427">
        <v>57.271128864307848</v>
      </c>
      <c r="T427">
        <v>32</v>
      </c>
      <c r="U427" s="8">
        <v>38.567010309278352</v>
      </c>
      <c r="V427">
        <v>4.7547753962618131</v>
      </c>
      <c r="W427">
        <v>1.8337747172593242</v>
      </c>
      <c r="X427" s="12">
        <v>2.9210006790024892</v>
      </c>
    </row>
    <row r="428" spans="1:24" x14ac:dyDescent="0.25">
      <c r="A428">
        <v>2</v>
      </c>
      <c r="B428">
        <v>1</v>
      </c>
      <c r="C428">
        <v>4</v>
      </c>
      <c r="D428">
        <v>1</v>
      </c>
      <c r="E428" t="s">
        <v>30</v>
      </c>
      <c r="F428" s="13" t="s">
        <v>39</v>
      </c>
      <c r="G428">
        <v>6</v>
      </c>
      <c r="H428">
        <v>2756.83</v>
      </c>
      <c r="I428">
        <v>2742.2</v>
      </c>
      <c r="J428" s="7">
        <v>0.74305555555555558</v>
      </c>
      <c r="K428" s="7">
        <v>0.77496527777777779</v>
      </c>
      <c r="L428">
        <f t="shared" si="124"/>
        <v>2700</v>
      </c>
      <c r="M428">
        <v>45</v>
      </c>
      <c r="N428">
        <f t="shared" si="125"/>
        <v>14.630000000000109</v>
      </c>
      <c r="O428">
        <f t="shared" si="126"/>
        <v>14630.000000000109</v>
      </c>
      <c r="P428" s="2">
        <v>1</v>
      </c>
      <c r="Q428">
        <v>849</v>
      </c>
      <c r="R428">
        <v>8.4900000000000003E-2</v>
      </c>
      <c r="S428">
        <v>63.822361820006577</v>
      </c>
      <c r="T428">
        <v>32</v>
      </c>
      <c r="U428" s="8">
        <v>23.483146067415731</v>
      </c>
      <c r="V428">
        <v>4.7547753962618131</v>
      </c>
      <c r="W428">
        <v>1.1165708514817068</v>
      </c>
      <c r="X428" s="12">
        <v>3.6382045447801064</v>
      </c>
    </row>
    <row r="429" spans="1:24" x14ac:dyDescent="0.25">
      <c r="A429">
        <v>2</v>
      </c>
      <c r="B429">
        <v>2</v>
      </c>
      <c r="C429">
        <v>4</v>
      </c>
      <c r="D429">
        <v>3</v>
      </c>
      <c r="E429" t="s">
        <v>27</v>
      </c>
      <c r="F429" s="13" t="s">
        <v>39</v>
      </c>
      <c r="G429">
        <v>6</v>
      </c>
      <c r="H429">
        <v>3009.35</v>
      </c>
      <c r="I429">
        <v>2990.23</v>
      </c>
      <c r="J429" s="7">
        <v>0.65797453703703701</v>
      </c>
      <c r="K429" s="7">
        <v>0.6893055555555555</v>
      </c>
      <c r="L429">
        <f t="shared" si="124"/>
        <v>2700</v>
      </c>
      <c r="M429">
        <v>45</v>
      </c>
      <c r="N429">
        <f t="shared" si="125"/>
        <v>19.119999999999891</v>
      </c>
      <c r="O429">
        <f t="shared" si="126"/>
        <v>19119.999999999891</v>
      </c>
      <c r="P429" s="2">
        <v>1</v>
      </c>
      <c r="Q429">
        <v>793.6</v>
      </c>
      <c r="R429">
        <v>7.936E-2</v>
      </c>
      <c r="S429">
        <v>89.232377538828644</v>
      </c>
      <c r="T429">
        <v>32</v>
      </c>
      <c r="U429" s="8">
        <v>23.478260869565219</v>
      </c>
      <c r="V429">
        <v>4.7547753962618131</v>
      </c>
      <c r="W429">
        <v>1.1163385712962517</v>
      </c>
      <c r="X429" s="12">
        <v>3.6384368249655612</v>
      </c>
    </row>
    <row r="430" spans="1:24" x14ac:dyDescent="0.25">
      <c r="A430">
        <v>2</v>
      </c>
      <c r="B430">
        <v>2</v>
      </c>
      <c r="C430">
        <v>4</v>
      </c>
      <c r="D430">
        <v>2</v>
      </c>
      <c r="E430" t="s">
        <v>35</v>
      </c>
      <c r="F430" t="s">
        <v>38</v>
      </c>
      <c r="G430">
        <v>6</v>
      </c>
      <c r="H430">
        <v>3081.32</v>
      </c>
      <c r="I430">
        <v>3061.84</v>
      </c>
      <c r="J430" s="7">
        <v>0.65797453703703701</v>
      </c>
      <c r="K430" s="7">
        <v>0.6893055555555555</v>
      </c>
      <c r="L430">
        <f t="shared" si="124"/>
        <v>2700</v>
      </c>
      <c r="M430">
        <v>45</v>
      </c>
      <c r="N430">
        <f t="shared" si="125"/>
        <v>19.480000000000018</v>
      </c>
      <c r="O430">
        <f t="shared" si="126"/>
        <v>19480.000000000018</v>
      </c>
      <c r="P430" s="2">
        <v>1</v>
      </c>
      <c r="Q430">
        <v>705.5</v>
      </c>
      <c r="R430">
        <v>7.0550000000000002E-2</v>
      </c>
      <c r="S430">
        <v>102.26527023125189</v>
      </c>
      <c r="T430">
        <v>32</v>
      </c>
      <c r="U430" s="8">
        <v>23.478260869565219</v>
      </c>
      <c r="V430">
        <v>4.7547753962618131</v>
      </c>
      <c r="W430">
        <v>1.1163385712962517</v>
      </c>
      <c r="X430" s="12">
        <v>3.6384368249655612</v>
      </c>
    </row>
    <row r="431" spans="1:24" x14ac:dyDescent="0.25">
      <c r="A431">
        <v>2</v>
      </c>
      <c r="B431">
        <v>2</v>
      </c>
      <c r="C431">
        <v>1</v>
      </c>
      <c r="D431">
        <v>1</v>
      </c>
      <c r="E431" t="s">
        <v>32</v>
      </c>
      <c r="F431" s="13" t="s">
        <v>42</v>
      </c>
      <c r="G431">
        <v>6</v>
      </c>
      <c r="H431">
        <v>3139.6</v>
      </c>
      <c r="I431">
        <v>3124.83</v>
      </c>
      <c r="J431" s="7">
        <v>0.65797453703703701</v>
      </c>
      <c r="K431" s="7">
        <v>0.6893055555555555</v>
      </c>
      <c r="L431">
        <f t="shared" ref="L431:L434" si="127">+M431*60</f>
        <v>2700</v>
      </c>
      <c r="M431">
        <v>45</v>
      </c>
      <c r="N431">
        <f t="shared" ref="N431:N434" si="128">+H431-I431</f>
        <v>14.769999999999982</v>
      </c>
      <c r="O431">
        <f t="shared" ref="O431:O434" si="129">+N431*1000</f>
        <v>14769.999999999982</v>
      </c>
      <c r="P431" s="2">
        <v>1</v>
      </c>
      <c r="Q431">
        <v>655.83</v>
      </c>
      <c r="R431">
        <v>6.5583000000000002E-2</v>
      </c>
      <c r="S431">
        <v>83.411407992473102</v>
      </c>
      <c r="T431">
        <v>32</v>
      </c>
      <c r="U431" s="8">
        <v>23.478260869565219</v>
      </c>
      <c r="V431">
        <v>4.7547753962618131</v>
      </c>
      <c r="W431">
        <v>1.1163385712962517</v>
      </c>
      <c r="X431" s="12">
        <v>3.6384368249655612</v>
      </c>
    </row>
    <row r="432" spans="1:24" x14ac:dyDescent="0.25">
      <c r="A432">
        <v>2</v>
      </c>
      <c r="B432">
        <v>2</v>
      </c>
      <c r="C432">
        <v>1</v>
      </c>
      <c r="D432">
        <v>4</v>
      </c>
      <c r="E432" t="s">
        <v>26</v>
      </c>
      <c r="F432" s="13" t="s">
        <v>41</v>
      </c>
      <c r="G432">
        <v>6</v>
      </c>
      <c r="H432">
        <v>3065.53</v>
      </c>
      <c r="I432">
        <v>3049.31</v>
      </c>
      <c r="J432" s="7">
        <v>0.65797453703703701</v>
      </c>
      <c r="K432" s="7">
        <v>0.6893055555555555</v>
      </c>
      <c r="L432">
        <f t="shared" si="127"/>
        <v>2700</v>
      </c>
      <c r="M432">
        <v>45</v>
      </c>
      <c r="N432">
        <f t="shared" si="128"/>
        <v>16.220000000000255</v>
      </c>
      <c r="O432">
        <f t="shared" si="129"/>
        <v>16220.000000000255</v>
      </c>
      <c r="P432" s="2">
        <v>1</v>
      </c>
      <c r="Q432">
        <v>767.27</v>
      </c>
      <c r="R432">
        <v>7.6727000000000004E-2</v>
      </c>
      <c r="S432">
        <v>78.295872475236905</v>
      </c>
      <c r="T432">
        <v>32</v>
      </c>
      <c r="U432" s="8">
        <v>23.478260869565219</v>
      </c>
      <c r="V432">
        <v>4.7547753962618131</v>
      </c>
      <c r="W432">
        <v>1.1163385712962517</v>
      </c>
      <c r="X432" s="12">
        <v>3.6384368249655612</v>
      </c>
    </row>
    <row r="433" spans="1:30" x14ac:dyDescent="0.25">
      <c r="A433">
        <v>2</v>
      </c>
      <c r="B433">
        <v>2</v>
      </c>
      <c r="C433">
        <v>1</v>
      </c>
      <c r="D433">
        <v>3</v>
      </c>
      <c r="E433" t="s">
        <v>29</v>
      </c>
      <c r="F433" s="13" t="s">
        <v>42</v>
      </c>
      <c r="G433">
        <v>6</v>
      </c>
      <c r="H433">
        <v>3109.01</v>
      </c>
      <c r="I433">
        <v>3089.75</v>
      </c>
      <c r="J433" s="7">
        <v>0.65797453703703701</v>
      </c>
      <c r="K433" s="7">
        <v>0.6893055555555555</v>
      </c>
      <c r="L433">
        <f t="shared" si="127"/>
        <v>2700</v>
      </c>
      <c r="M433">
        <v>45</v>
      </c>
      <c r="N433">
        <f t="shared" si="128"/>
        <v>19.260000000000218</v>
      </c>
      <c r="O433">
        <f t="shared" si="129"/>
        <v>19260.000000000218</v>
      </c>
      <c r="P433" s="2">
        <v>1</v>
      </c>
      <c r="Q433">
        <v>874.77</v>
      </c>
      <c r="R433">
        <v>8.7476999999999999E-2</v>
      </c>
      <c r="S433">
        <v>81.545244273733829</v>
      </c>
      <c r="T433">
        <v>32</v>
      </c>
      <c r="U433" s="8">
        <v>23.478260869565219</v>
      </c>
      <c r="V433">
        <v>4.7547753962618131</v>
      </c>
      <c r="W433">
        <v>1.1163385712962517</v>
      </c>
      <c r="X433" s="12">
        <v>3.6384368249655612</v>
      </c>
    </row>
    <row r="434" spans="1:30" x14ac:dyDescent="0.25">
      <c r="A434">
        <v>2</v>
      </c>
      <c r="B434">
        <v>2</v>
      </c>
      <c r="C434">
        <v>4</v>
      </c>
      <c r="D434">
        <v>1</v>
      </c>
      <c r="E434" t="s">
        <v>30</v>
      </c>
      <c r="F434" s="13" t="s">
        <v>39</v>
      </c>
      <c r="G434">
        <v>6</v>
      </c>
      <c r="H434">
        <v>2906.44</v>
      </c>
      <c r="I434">
        <v>2881.11</v>
      </c>
      <c r="J434" s="7">
        <v>0.65797453703703701</v>
      </c>
      <c r="K434" s="7">
        <v>0.6893055555555555</v>
      </c>
      <c r="L434">
        <f t="shared" si="127"/>
        <v>2700</v>
      </c>
      <c r="M434">
        <v>45</v>
      </c>
      <c r="N434">
        <f t="shared" si="128"/>
        <v>25.329999999999927</v>
      </c>
      <c r="O434">
        <f t="shared" si="129"/>
        <v>25329.999999999927</v>
      </c>
      <c r="P434" s="2">
        <v>1</v>
      </c>
      <c r="Q434">
        <v>849</v>
      </c>
      <c r="R434">
        <v>8.4900000000000003E-2</v>
      </c>
      <c r="S434">
        <v>110.50037080661312</v>
      </c>
      <c r="T434">
        <v>32</v>
      </c>
      <c r="U434" s="8">
        <v>23.478260869565219</v>
      </c>
      <c r="V434">
        <v>4.7547753962618131</v>
      </c>
      <c r="W434">
        <v>1.1163385712962517</v>
      </c>
      <c r="X434" s="12">
        <v>3.6384368249655612</v>
      </c>
    </row>
    <row r="435" spans="1:30" x14ac:dyDescent="0.25">
      <c r="A435">
        <v>3</v>
      </c>
      <c r="B435">
        <v>1</v>
      </c>
      <c r="C435">
        <v>5</v>
      </c>
      <c r="D435">
        <v>4</v>
      </c>
      <c r="E435" t="s">
        <v>30</v>
      </c>
      <c r="F435" s="13" t="s">
        <v>39</v>
      </c>
      <c r="G435">
        <v>1</v>
      </c>
      <c r="H435">
        <v>2209.23</v>
      </c>
      <c r="I435">
        <v>2200.1799999999998</v>
      </c>
      <c r="J435">
        <v>0.48958333333333331</v>
      </c>
      <c r="K435">
        <v>0.52083333333333337</v>
      </c>
      <c r="L435">
        <v>2700</v>
      </c>
      <c r="M435" s="8">
        <v>45</v>
      </c>
      <c r="N435">
        <v>9.0500000000001819</v>
      </c>
      <c r="O435">
        <v>9050.0000000001819</v>
      </c>
      <c r="P435" s="2">
        <v>0.60092961487385221</v>
      </c>
      <c r="Q435">
        <v>742.8</v>
      </c>
      <c r="R435">
        <v>7.4279999999999999E-2</v>
      </c>
      <c r="S435">
        <v>45.124553740602039</v>
      </c>
      <c r="T435">
        <v>32</v>
      </c>
      <c r="U435" s="8">
        <v>79</v>
      </c>
      <c r="V435">
        <v>4.7547753962618131</v>
      </c>
      <c r="W435">
        <f t="shared" ref="W435:W446" si="130">V435*(U435/100)</f>
        <v>3.7562725630468323</v>
      </c>
      <c r="X435" s="12">
        <f t="shared" ref="X435:X446" si="131">V435-W435</f>
        <v>0.99850283321498079</v>
      </c>
    </row>
    <row r="436" spans="1:30" x14ac:dyDescent="0.25">
      <c r="A436">
        <v>3</v>
      </c>
      <c r="B436">
        <v>1</v>
      </c>
      <c r="C436">
        <v>5</v>
      </c>
      <c r="D436">
        <v>4</v>
      </c>
      <c r="E436" t="s">
        <v>30</v>
      </c>
      <c r="F436" s="13" t="s">
        <v>39</v>
      </c>
      <c r="G436">
        <v>2</v>
      </c>
      <c r="H436">
        <v>2197.0100000000002</v>
      </c>
      <c r="I436">
        <v>2185.5500000000002</v>
      </c>
      <c r="J436">
        <v>0.53055555555555556</v>
      </c>
      <c r="K436">
        <v>0.56180555555555556</v>
      </c>
      <c r="L436">
        <v>2700</v>
      </c>
      <c r="M436" s="8">
        <v>45</v>
      </c>
      <c r="N436">
        <v>11.460000000000036</v>
      </c>
      <c r="O436">
        <v>11460.000000000036</v>
      </c>
      <c r="P436" s="2">
        <v>0.76095617529880999</v>
      </c>
      <c r="Q436">
        <v>742.8</v>
      </c>
      <c r="R436">
        <v>7.4279999999999999E-2</v>
      </c>
      <c r="S436">
        <v>57.141147609645373</v>
      </c>
      <c r="T436">
        <v>32</v>
      </c>
      <c r="U436" s="8">
        <v>68</v>
      </c>
      <c r="V436">
        <v>4.7547753962618131</v>
      </c>
      <c r="W436">
        <f t="shared" si="130"/>
        <v>3.2332472694580332</v>
      </c>
      <c r="X436" s="12">
        <f t="shared" si="131"/>
        <v>1.5215281268037799</v>
      </c>
    </row>
    <row r="437" spans="1:30" x14ac:dyDescent="0.25">
      <c r="A437">
        <v>3</v>
      </c>
      <c r="B437">
        <v>1</v>
      </c>
      <c r="C437">
        <v>5</v>
      </c>
      <c r="D437">
        <v>4</v>
      </c>
      <c r="E437" t="s">
        <v>30</v>
      </c>
      <c r="F437" s="13" t="s">
        <v>39</v>
      </c>
      <c r="G437">
        <v>3</v>
      </c>
      <c r="H437">
        <v>2179.7399999999998</v>
      </c>
      <c r="I437">
        <v>2167.1999999999998</v>
      </c>
      <c r="J437">
        <v>0.57556712962962964</v>
      </c>
      <c r="K437">
        <v>0.60728009259259264</v>
      </c>
      <c r="L437">
        <v>2700</v>
      </c>
      <c r="M437" s="8">
        <v>45</v>
      </c>
      <c r="N437">
        <v>12.539999999999964</v>
      </c>
      <c r="O437">
        <v>12539.999999999964</v>
      </c>
      <c r="P437" s="2">
        <v>0.83266932270916394</v>
      </c>
      <c r="Q437">
        <v>742.8</v>
      </c>
      <c r="R437">
        <v>7.4279999999999999E-2</v>
      </c>
      <c r="S437">
        <v>62.526177227307905</v>
      </c>
      <c r="T437">
        <v>32</v>
      </c>
      <c r="U437" s="8">
        <v>57</v>
      </c>
      <c r="V437">
        <v>4.7547753962618131</v>
      </c>
      <c r="W437">
        <f t="shared" si="130"/>
        <v>2.7102219758692332</v>
      </c>
      <c r="X437" s="12">
        <f t="shared" si="131"/>
        <v>2.0445534203925799</v>
      </c>
    </row>
    <row r="438" spans="1:30" x14ac:dyDescent="0.25">
      <c r="A438">
        <v>3</v>
      </c>
      <c r="B438">
        <v>1</v>
      </c>
      <c r="C438">
        <v>5</v>
      </c>
      <c r="D438">
        <v>4</v>
      </c>
      <c r="E438" t="s">
        <v>30</v>
      </c>
      <c r="F438" s="13" t="s">
        <v>39</v>
      </c>
      <c r="G438">
        <v>4</v>
      </c>
      <c r="H438">
        <v>2158.9299999999998</v>
      </c>
      <c r="I438">
        <v>2146.42</v>
      </c>
      <c r="J438">
        <v>0.62638888888888888</v>
      </c>
      <c r="K438">
        <v>0.65733796296296299</v>
      </c>
      <c r="L438">
        <v>2640</v>
      </c>
      <c r="M438" s="8">
        <v>44</v>
      </c>
      <c r="N438">
        <v>12.509999999999764</v>
      </c>
      <c r="O438">
        <v>12509.999999999764</v>
      </c>
      <c r="P438" s="2">
        <v>0.83067729083664066</v>
      </c>
      <c r="Q438">
        <v>742.8</v>
      </c>
      <c r="R438">
        <v>7.4279999999999999E-2</v>
      </c>
      <c r="S438">
        <v>63.794242913789368</v>
      </c>
      <c r="T438">
        <v>32</v>
      </c>
      <c r="U438" s="8">
        <v>47</v>
      </c>
      <c r="V438">
        <v>4.7547753962618131</v>
      </c>
      <c r="W438">
        <f t="shared" si="130"/>
        <v>2.234744436243052</v>
      </c>
      <c r="X438" s="12">
        <f t="shared" si="131"/>
        <v>2.5200309600187611</v>
      </c>
    </row>
    <row r="439" spans="1:30" x14ac:dyDescent="0.25">
      <c r="A439">
        <v>3</v>
      </c>
      <c r="B439">
        <v>1</v>
      </c>
      <c r="C439">
        <v>5</v>
      </c>
      <c r="D439">
        <v>4</v>
      </c>
      <c r="E439" t="s">
        <v>30</v>
      </c>
      <c r="F439" s="13" t="s">
        <v>39</v>
      </c>
      <c r="G439">
        <v>5</v>
      </c>
      <c r="H439">
        <v>2137.4899999999998</v>
      </c>
      <c r="I439">
        <v>2123.6</v>
      </c>
      <c r="J439">
        <v>0.67721064814814813</v>
      </c>
      <c r="K439">
        <v>0.70833333333333337</v>
      </c>
      <c r="L439">
        <v>2640</v>
      </c>
      <c r="M439" s="8">
        <v>44</v>
      </c>
      <c r="N439">
        <v>13.889999999999873</v>
      </c>
      <c r="O439">
        <v>13889.999999999873</v>
      </c>
      <c r="P439" s="2">
        <v>0.9223107569721064</v>
      </c>
      <c r="Q439">
        <v>742.8</v>
      </c>
      <c r="R439">
        <v>7.4279999999999999E-2</v>
      </c>
      <c r="S439">
        <v>70.83149752778121</v>
      </c>
      <c r="T439">
        <v>32</v>
      </c>
      <c r="U439" s="8">
        <v>37</v>
      </c>
      <c r="V439">
        <v>4.7547753962618131</v>
      </c>
      <c r="W439">
        <f t="shared" si="130"/>
        <v>1.7592668966168707</v>
      </c>
      <c r="X439" s="12">
        <f t="shared" si="131"/>
        <v>2.9955084996449424</v>
      </c>
    </row>
    <row r="440" spans="1:30" x14ac:dyDescent="0.25">
      <c r="A440">
        <v>3</v>
      </c>
      <c r="B440">
        <v>1</v>
      </c>
      <c r="C440">
        <v>5</v>
      </c>
      <c r="D440">
        <v>4</v>
      </c>
      <c r="E440" t="s">
        <v>30</v>
      </c>
      <c r="F440" s="13" t="s">
        <v>39</v>
      </c>
      <c r="G440">
        <v>6</v>
      </c>
      <c r="H440">
        <v>2116.87</v>
      </c>
      <c r="I440">
        <v>2101.81</v>
      </c>
      <c r="J440">
        <v>0.72222222222222221</v>
      </c>
      <c r="K440">
        <v>0.7540162037037037</v>
      </c>
      <c r="L440">
        <v>2700</v>
      </c>
      <c r="M440" s="8">
        <v>45</v>
      </c>
      <c r="N440">
        <v>15.059999999999945</v>
      </c>
      <c r="O440">
        <v>15059.999999999945</v>
      </c>
      <c r="P440" s="2">
        <v>1</v>
      </c>
      <c r="Q440">
        <v>742.8</v>
      </c>
      <c r="R440">
        <v>7.4279999999999999E-2</v>
      </c>
      <c r="S440">
        <v>75.091246335187904</v>
      </c>
      <c r="T440">
        <v>32</v>
      </c>
      <c r="U440" s="8">
        <v>24</v>
      </c>
      <c r="V440">
        <v>4.7547753962618131</v>
      </c>
      <c r="W440">
        <f t="shared" si="130"/>
        <v>1.1411460951028352</v>
      </c>
      <c r="X440" s="12">
        <f t="shared" si="131"/>
        <v>3.6136293011589782</v>
      </c>
    </row>
    <row r="441" spans="1:30" x14ac:dyDescent="0.25">
      <c r="A441">
        <v>3</v>
      </c>
      <c r="B441">
        <v>2</v>
      </c>
      <c r="C441">
        <v>5</v>
      </c>
      <c r="D441">
        <v>3</v>
      </c>
      <c r="E441" t="s">
        <v>30</v>
      </c>
      <c r="F441" s="13" t="s">
        <v>39</v>
      </c>
      <c r="G441">
        <v>2</v>
      </c>
      <c r="H441">
        <v>2290.5300000000002</v>
      </c>
      <c r="I441">
        <v>2281.4299999999998</v>
      </c>
      <c r="J441">
        <v>0.375</v>
      </c>
      <c r="K441">
        <v>0.40574074074074074</v>
      </c>
      <c r="L441">
        <v>2640</v>
      </c>
      <c r="M441" s="8">
        <v>44</v>
      </c>
      <c r="N441">
        <v>9.1000000000003638</v>
      </c>
      <c r="O441">
        <v>9100.0000000003638</v>
      </c>
      <c r="P441" s="2">
        <v>0.62031356509886293</v>
      </c>
      <c r="Q441">
        <v>742.8</v>
      </c>
      <c r="R441">
        <v>7.4279999999999999E-2</v>
      </c>
      <c r="S441">
        <v>46.405084773422658</v>
      </c>
      <c r="T441">
        <v>32</v>
      </c>
      <c r="U441" s="8">
        <v>68</v>
      </c>
      <c r="V441">
        <v>4.7547753962618131</v>
      </c>
      <c r="W441">
        <f t="shared" si="130"/>
        <v>3.2332472694580332</v>
      </c>
      <c r="X441" s="12">
        <f t="shared" si="131"/>
        <v>1.5215281268037799</v>
      </c>
    </row>
    <row r="442" spans="1:30" x14ac:dyDescent="0.25">
      <c r="A442">
        <v>3</v>
      </c>
      <c r="B442">
        <v>2</v>
      </c>
      <c r="C442">
        <v>5</v>
      </c>
      <c r="D442">
        <v>3</v>
      </c>
      <c r="E442" t="s">
        <v>30</v>
      </c>
      <c r="F442" s="13" t="s">
        <v>39</v>
      </c>
      <c r="G442">
        <v>3</v>
      </c>
      <c r="H442">
        <v>2275.08</v>
      </c>
      <c r="I442">
        <v>2264.4</v>
      </c>
      <c r="J442">
        <v>0.42790509259259257</v>
      </c>
      <c r="K442">
        <v>0.45833333333333331</v>
      </c>
      <c r="L442">
        <v>2580</v>
      </c>
      <c r="M442" s="8">
        <v>43</v>
      </c>
      <c r="N442">
        <v>10.679999999999836</v>
      </c>
      <c r="O442">
        <v>10679.999999999836</v>
      </c>
      <c r="P442" s="2">
        <v>0.72801635991818558</v>
      </c>
      <c r="Q442">
        <v>742.8</v>
      </c>
      <c r="R442">
        <v>7.4279999999999999E-2</v>
      </c>
      <c r="S442">
        <v>55.728794880464008</v>
      </c>
      <c r="T442">
        <v>32</v>
      </c>
      <c r="U442" s="8">
        <v>57</v>
      </c>
      <c r="V442">
        <v>4.7547753962618131</v>
      </c>
      <c r="W442">
        <f t="shared" si="130"/>
        <v>2.7102219758692332</v>
      </c>
      <c r="X442" s="12">
        <f t="shared" si="131"/>
        <v>2.0445534203925799</v>
      </c>
    </row>
    <row r="443" spans="1:30" x14ac:dyDescent="0.25">
      <c r="A443">
        <v>3</v>
      </c>
      <c r="B443">
        <v>2</v>
      </c>
      <c r="C443">
        <v>5</v>
      </c>
      <c r="D443">
        <v>3</v>
      </c>
      <c r="E443" t="s">
        <v>30</v>
      </c>
      <c r="F443" s="13" t="s">
        <v>39</v>
      </c>
      <c r="G443">
        <v>4</v>
      </c>
      <c r="H443">
        <v>2257.42</v>
      </c>
      <c r="I443">
        <v>2245.29</v>
      </c>
      <c r="J443">
        <v>0.47795138888888888</v>
      </c>
      <c r="K443">
        <v>0.50929398148148153</v>
      </c>
      <c r="L443">
        <v>2700</v>
      </c>
      <c r="M443" s="8">
        <v>45</v>
      </c>
      <c r="N443">
        <v>12.130000000000109</v>
      </c>
      <c r="O443">
        <v>12130.000000000109</v>
      </c>
      <c r="P443" s="2">
        <v>0.82685753237900816</v>
      </c>
      <c r="Q443">
        <v>742.8</v>
      </c>
      <c r="R443">
        <v>7.4279999999999999E-2</v>
      </c>
      <c r="S443">
        <v>60.481860428010684</v>
      </c>
      <c r="T443">
        <v>32</v>
      </c>
      <c r="U443" s="8">
        <v>47</v>
      </c>
      <c r="V443">
        <v>4.7547753962618131</v>
      </c>
      <c r="W443">
        <f t="shared" si="130"/>
        <v>2.234744436243052</v>
      </c>
      <c r="X443" s="12">
        <f t="shared" si="131"/>
        <v>2.5200309600187611</v>
      </c>
    </row>
    <row r="444" spans="1:30" x14ac:dyDescent="0.25">
      <c r="A444">
        <v>3</v>
      </c>
      <c r="B444">
        <v>2</v>
      </c>
      <c r="C444">
        <v>4</v>
      </c>
      <c r="D444">
        <v>4</v>
      </c>
      <c r="E444" t="s">
        <v>32</v>
      </c>
      <c r="F444" s="13" t="s">
        <v>42</v>
      </c>
      <c r="G444">
        <v>6</v>
      </c>
      <c r="H444">
        <v>2516.92</v>
      </c>
      <c r="I444">
        <v>2506.17</v>
      </c>
      <c r="J444">
        <v>0.59027777777777779</v>
      </c>
      <c r="K444">
        <v>0.62239583333333337</v>
      </c>
      <c r="L444">
        <v>2760</v>
      </c>
      <c r="M444" s="8">
        <v>46</v>
      </c>
      <c r="N444">
        <v>10.75</v>
      </c>
      <c r="O444">
        <v>10750</v>
      </c>
      <c r="P444" s="2">
        <v>1</v>
      </c>
      <c r="Q444">
        <v>697.21</v>
      </c>
      <c r="R444">
        <v>6.9721000000000005E-2</v>
      </c>
      <c r="S444">
        <v>55.864481809381445</v>
      </c>
      <c r="T444">
        <v>32</v>
      </c>
      <c r="U444" s="8">
        <v>24</v>
      </c>
      <c r="V444">
        <v>4.7547753962618131</v>
      </c>
      <c r="W444">
        <f t="shared" si="130"/>
        <v>1.1411460951028352</v>
      </c>
      <c r="X444" s="12">
        <f t="shared" si="131"/>
        <v>3.6136293011589782</v>
      </c>
      <c r="Y444" s="22">
        <v>5.1829E-2</v>
      </c>
      <c r="Z444" s="22">
        <v>4.7973000000000002E-2</v>
      </c>
      <c r="AA444" s="22">
        <v>4.2021000000000003E-2</v>
      </c>
      <c r="AB444">
        <v>29.59</v>
      </c>
      <c r="AC444">
        <v>29.3</v>
      </c>
      <c r="AD444">
        <v>30.11</v>
      </c>
    </row>
    <row r="445" spans="1:30" x14ac:dyDescent="0.25">
      <c r="A445">
        <v>3</v>
      </c>
      <c r="B445">
        <v>2</v>
      </c>
      <c r="C445">
        <v>1</v>
      </c>
      <c r="D445">
        <v>5</v>
      </c>
      <c r="E445" t="s">
        <v>29</v>
      </c>
      <c r="F445" s="13" t="s">
        <v>42</v>
      </c>
      <c r="G445">
        <v>6</v>
      </c>
      <c r="H445">
        <v>3246.51</v>
      </c>
      <c r="I445">
        <v>3232.12</v>
      </c>
      <c r="J445">
        <v>0.59027777777777779</v>
      </c>
      <c r="K445">
        <v>0.62239583333333337</v>
      </c>
      <c r="L445">
        <v>2770.0000000000018</v>
      </c>
      <c r="M445" s="8">
        <v>46.1666666666667</v>
      </c>
      <c r="N445">
        <v>14.390000000000327</v>
      </c>
      <c r="O445">
        <v>14390.000000000327</v>
      </c>
      <c r="P445" s="2">
        <v>1</v>
      </c>
      <c r="Q445">
        <v>572.4</v>
      </c>
      <c r="R445">
        <v>5.7239999999999999E-2</v>
      </c>
      <c r="S445">
        <v>90.757264996079073</v>
      </c>
      <c r="T445">
        <v>32</v>
      </c>
      <c r="U445" s="8">
        <v>24</v>
      </c>
      <c r="V445">
        <v>4.7547753962618131</v>
      </c>
      <c r="W445">
        <f t="shared" si="130"/>
        <v>1.1411460951028352</v>
      </c>
      <c r="X445" s="12">
        <f t="shared" si="131"/>
        <v>3.6136293011589782</v>
      </c>
      <c r="Y445" s="22">
        <v>7.7564999999999995E-2</v>
      </c>
      <c r="Z445" s="22">
        <v>7.6415999999999998E-2</v>
      </c>
      <c r="AA445" s="22">
        <v>0.11588900000000001</v>
      </c>
      <c r="AB445">
        <v>28.08</v>
      </c>
      <c r="AC445">
        <v>28.25</v>
      </c>
      <c r="AD445">
        <v>27.71</v>
      </c>
    </row>
    <row r="446" spans="1:30" x14ac:dyDescent="0.25">
      <c r="A446">
        <v>4</v>
      </c>
      <c r="B446">
        <v>1</v>
      </c>
      <c r="C446">
        <v>4</v>
      </c>
      <c r="D446">
        <v>2</v>
      </c>
      <c r="E446" t="s">
        <v>33</v>
      </c>
      <c r="F446" t="s">
        <v>38</v>
      </c>
      <c r="G446">
        <v>6</v>
      </c>
      <c r="H446">
        <v>2549.73</v>
      </c>
      <c r="I446">
        <v>2510.04</v>
      </c>
      <c r="J446" s="11">
        <v>0.58107638888888891</v>
      </c>
      <c r="K446" s="7">
        <v>0.6090740740740741</v>
      </c>
      <c r="L446">
        <f t="shared" ref="L446:L465" si="132">M446*60</f>
        <v>2400</v>
      </c>
      <c r="M446" s="8">
        <v>40</v>
      </c>
      <c r="N446" s="8">
        <f t="shared" ref="N446:N465" si="133">H446-I446</f>
        <v>39.690000000000055</v>
      </c>
      <c r="O446">
        <f t="shared" ref="O446:O465" si="134">N446*1000</f>
        <v>39690.000000000058</v>
      </c>
      <c r="P446" s="2">
        <v>1</v>
      </c>
      <c r="Q446">
        <v>2691.97</v>
      </c>
      <c r="R446">
        <f>+Q446/10000</f>
        <v>0.26919699999999996</v>
      </c>
      <c r="S446">
        <f>O446/(R446*L446)</f>
        <v>61.432705416479479</v>
      </c>
      <c r="T446">
        <v>32</v>
      </c>
      <c r="U446" s="8">
        <v>27</v>
      </c>
      <c r="V446">
        <f>0.6108*EXP((17.27*T446)/(T446+237.3))</f>
        <v>4.7547753962618131</v>
      </c>
      <c r="W446">
        <f t="shared" si="130"/>
        <v>1.2837893569906895</v>
      </c>
      <c r="X446" s="12">
        <f t="shared" si="131"/>
        <v>3.4709860392711236</v>
      </c>
      <c r="Y446" s="23">
        <v>8.2127000000000006E-2</v>
      </c>
      <c r="Z446" s="23">
        <v>6.9804000000000005E-2</v>
      </c>
      <c r="AA446" s="23">
        <v>5.6883999999999997E-2</v>
      </c>
      <c r="AB446">
        <v>27.01</v>
      </c>
      <c r="AC446">
        <v>26.91</v>
      </c>
      <c r="AD446">
        <v>27.17</v>
      </c>
    </row>
    <row r="447" spans="1:30" x14ac:dyDescent="0.25">
      <c r="A447">
        <v>4</v>
      </c>
      <c r="B447">
        <v>1</v>
      </c>
      <c r="C447">
        <v>4</v>
      </c>
      <c r="D447">
        <v>4</v>
      </c>
      <c r="E447" t="s">
        <v>23</v>
      </c>
      <c r="F447" s="13" t="s">
        <v>39</v>
      </c>
      <c r="G447">
        <v>6</v>
      </c>
      <c r="H447">
        <v>2240.36</v>
      </c>
      <c r="I447">
        <v>2208.7800000000002</v>
      </c>
      <c r="J447" s="11">
        <v>0.58107638888888891</v>
      </c>
      <c r="K447" s="7">
        <v>0.6090740740740741</v>
      </c>
      <c r="L447">
        <f t="shared" si="132"/>
        <v>2400</v>
      </c>
      <c r="M447" s="8">
        <v>40</v>
      </c>
      <c r="N447" s="8">
        <f t="shared" si="133"/>
        <v>31.579999999999927</v>
      </c>
      <c r="O447">
        <f t="shared" si="134"/>
        <v>31579.999999999927</v>
      </c>
      <c r="U447" s="8"/>
      <c r="X447" s="12"/>
      <c r="Y447" s="23">
        <v>3.1716000000000001E-2</v>
      </c>
      <c r="Z447" s="23">
        <v>1.9963999999999999E-2</v>
      </c>
      <c r="AA447" s="23">
        <v>2.6357999999999999E-2</v>
      </c>
      <c r="AB447">
        <v>27.79</v>
      </c>
      <c r="AC447">
        <v>28.27</v>
      </c>
      <c r="AD447">
        <v>27.87</v>
      </c>
    </row>
    <row r="448" spans="1:30" x14ac:dyDescent="0.25">
      <c r="A448">
        <v>4</v>
      </c>
      <c r="B448">
        <v>1</v>
      </c>
      <c r="C448">
        <v>5</v>
      </c>
      <c r="D448">
        <v>3</v>
      </c>
      <c r="E448" t="s">
        <v>28</v>
      </c>
      <c r="F448" s="20" t="s">
        <v>40</v>
      </c>
      <c r="G448">
        <v>6</v>
      </c>
      <c r="H448">
        <v>2588.0300000000002</v>
      </c>
      <c r="I448">
        <v>2548.5</v>
      </c>
      <c r="J448" s="11">
        <v>0.58107638888888891</v>
      </c>
      <c r="K448" s="7">
        <v>0.6090740740740741</v>
      </c>
      <c r="L448">
        <f t="shared" si="132"/>
        <v>2400</v>
      </c>
      <c r="M448" s="8">
        <v>40</v>
      </c>
      <c r="N448" s="8">
        <f t="shared" si="133"/>
        <v>39.5300000000002</v>
      </c>
      <c r="O448">
        <f t="shared" si="134"/>
        <v>39530.000000000204</v>
      </c>
      <c r="P448">
        <v>1</v>
      </c>
      <c r="Q448">
        <v>4057.6</v>
      </c>
      <c r="R448">
        <f>+Q448/10000</f>
        <v>0.40576000000000001</v>
      </c>
      <c r="S448">
        <f>O448/(R448*L448)</f>
        <v>40.592550604626915</v>
      </c>
      <c r="T448">
        <v>32</v>
      </c>
      <c r="U448" s="8">
        <v>27</v>
      </c>
      <c r="V448">
        <f>0.6108*EXP((17.27*T448)/(T448+237.3))</f>
        <v>4.7547753962618131</v>
      </c>
      <c r="W448">
        <f>V448*(U448/100)</f>
        <v>1.2837893569906895</v>
      </c>
      <c r="X448" s="12">
        <f>V448-W448</f>
        <v>3.4709860392711236</v>
      </c>
      <c r="Y448" s="23">
        <v>0.15428800000000001</v>
      </c>
      <c r="Z448" s="23">
        <v>0.17918700000000001</v>
      </c>
      <c r="AA448" s="23">
        <v>0.21832099999999999</v>
      </c>
      <c r="AB448">
        <v>28.06</v>
      </c>
      <c r="AC448">
        <v>27.6</v>
      </c>
      <c r="AD448">
        <v>27.91</v>
      </c>
    </row>
    <row r="449" spans="1:30" x14ac:dyDescent="0.25">
      <c r="A449">
        <v>4</v>
      </c>
      <c r="B449">
        <v>1</v>
      </c>
      <c r="C449">
        <v>1</v>
      </c>
      <c r="D449">
        <v>5</v>
      </c>
      <c r="E449" t="s">
        <v>36</v>
      </c>
      <c r="F449" s="13" t="s">
        <v>41</v>
      </c>
      <c r="G449">
        <v>6</v>
      </c>
      <c r="H449">
        <v>2643.23</v>
      </c>
      <c r="I449">
        <v>2601.12</v>
      </c>
      <c r="J449" s="11">
        <v>0.58107638888888891</v>
      </c>
      <c r="K449" s="7">
        <v>0.6090740740740741</v>
      </c>
      <c r="L449">
        <f t="shared" si="132"/>
        <v>2400</v>
      </c>
      <c r="M449" s="8">
        <v>40</v>
      </c>
      <c r="N449" s="8">
        <f t="shared" si="133"/>
        <v>42.110000000000127</v>
      </c>
      <c r="O449">
        <f t="shared" si="134"/>
        <v>42110.000000000131</v>
      </c>
      <c r="P449" s="2">
        <v>1</v>
      </c>
      <c r="Q449">
        <v>3860.73</v>
      </c>
      <c r="R449">
        <f>+Q449/10000</f>
        <v>0.386073</v>
      </c>
      <c r="S449">
        <f>O449/(R449*L449)</f>
        <v>45.44693188421202</v>
      </c>
      <c r="T449">
        <v>32</v>
      </c>
      <c r="U449" s="8">
        <v>27</v>
      </c>
      <c r="V449">
        <f>0.6108*EXP((17.27*T449)/(T449+237.3))</f>
        <v>4.7547753962618131</v>
      </c>
      <c r="W449">
        <f>V449*(U449/100)</f>
        <v>1.2837893569906895</v>
      </c>
      <c r="X449" s="12">
        <f>V449-W449</f>
        <v>3.4709860392711236</v>
      </c>
      <c r="Y449" s="23">
        <v>4.0724000000000003E-2</v>
      </c>
      <c r="Z449" s="23">
        <v>6.7728999999999998E-2</v>
      </c>
      <c r="AA449" s="23">
        <v>0.156079</v>
      </c>
      <c r="AB449">
        <v>27.12</v>
      </c>
      <c r="AC449">
        <v>26.55</v>
      </c>
      <c r="AD449">
        <v>25.44</v>
      </c>
    </row>
    <row r="450" spans="1:30" x14ac:dyDescent="0.25">
      <c r="A450">
        <v>4</v>
      </c>
      <c r="B450">
        <v>1</v>
      </c>
      <c r="C450">
        <v>6</v>
      </c>
      <c r="D450">
        <v>1</v>
      </c>
      <c r="E450" t="s">
        <v>25</v>
      </c>
      <c r="F450" s="13" t="s">
        <v>41</v>
      </c>
      <c r="G450">
        <v>6</v>
      </c>
      <c r="H450">
        <v>2459.63</v>
      </c>
      <c r="I450">
        <v>2413.9899999999998</v>
      </c>
      <c r="J450" s="11">
        <v>0.58107638888888891</v>
      </c>
      <c r="K450" s="7">
        <v>0.6090740740740741</v>
      </c>
      <c r="L450">
        <f t="shared" si="132"/>
        <v>2400</v>
      </c>
      <c r="M450" s="8">
        <v>40</v>
      </c>
      <c r="N450" s="8">
        <f t="shared" si="133"/>
        <v>45.640000000000327</v>
      </c>
      <c r="O450">
        <f t="shared" si="134"/>
        <v>45640.000000000327</v>
      </c>
      <c r="P450" s="2">
        <v>1</v>
      </c>
      <c r="Q450">
        <v>3248.02</v>
      </c>
      <c r="R450">
        <f>+Q450/10000</f>
        <v>0.32480199999999998</v>
      </c>
      <c r="S450">
        <f>O450/(R450*L450)</f>
        <v>58.548490054454113</v>
      </c>
      <c r="T450">
        <v>32</v>
      </c>
      <c r="U450" s="8">
        <v>27</v>
      </c>
      <c r="V450">
        <f>0.6108*EXP((17.27*T450)/(T450+237.3))</f>
        <v>4.7547753962618131</v>
      </c>
      <c r="W450">
        <f>V450*(U450/100)</f>
        <v>1.2837893569906895</v>
      </c>
      <c r="X450" s="12">
        <f>V450-W450</f>
        <v>3.4709860392711236</v>
      </c>
      <c r="Y450" s="23">
        <v>4.4200999999999997E-2</v>
      </c>
      <c r="Z450" s="23">
        <v>0.12954499999999999</v>
      </c>
      <c r="AA450" s="23">
        <v>6.6548999999999997E-2</v>
      </c>
      <c r="AB450">
        <v>27.79</v>
      </c>
      <c r="AC450">
        <v>27.77</v>
      </c>
      <c r="AD450">
        <v>28.17</v>
      </c>
    </row>
    <row r="451" spans="1:30" x14ac:dyDescent="0.25">
      <c r="A451">
        <v>4</v>
      </c>
      <c r="B451">
        <v>2</v>
      </c>
      <c r="C451">
        <v>4</v>
      </c>
      <c r="D451">
        <v>2</v>
      </c>
      <c r="E451" t="s">
        <v>33</v>
      </c>
      <c r="F451" t="s">
        <v>38</v>
      </c>
      <c r="G451">
        <v>5</v>
      </c>
      <c r="H451">
        <v>2367.42</v>
      </c>
      <c r="I451">
        <v>2334.5300000000002</v>
      </c>
      <c r="J451" s="7">
        <v>0.61285879629629625</v>
      </c>
      <c r="K451" s="7">
        <v>0.63888888888888884</v>
      </c>
      <c r="L451">
        <f t="shared" si="132"/>
        <v>2237.4</v>
      </c>
      <c r="M451" s="8">
        <v>37.29</v>
      </c>
      <c r="N451" s="8">
        <f t="shared" si="133"/>
        <v>32.889999999999873</v>
      </c>
      <c r="O451">
        <f t="shared" si="134"/>
        <v>32889.999999999869</v>
      </c>
      <c r="P451" s="2">
        <v>0.73382418563140905</v>
      </c>
      <c r="Q451">
        <v>2691.97</v>
      </c>
      <c r="R451">
        <f>+Q451/10000</f>
        <v>0.26919699999999996</v>
      </c>
      <c r="S451">
        <f>O451/(R451*L451)</f>
        <v>54.607214524741565</v>
      </c>
      <c r="T451">
        <v>32</v>
      </c>
      <c r="U451" s="8">
        <v>30</v>
      </c>
      <c r="V451">
        <f>0.6108*EXP((17.27*T451)/(T451+237.3))</f>
        <v>4.7547753962618131</v>
      </c>
      <c r="W451">
        <f>V451*(U451/100)</f>
        <v>1.4264326188785439</v>
      </c>
      <c r="X451" s="12">
        <f>V451-W451</f>
        <v>3.328342777383269</v>
      </c>
    </row>
    <row r="452" spans="1:30" x14ac:dyDescent="0.25">
      <c r="A452">
        <v>4</v>
      </c>
      <c r="B452">
        <v>2</v>
      </c>
      <c r="C452">
        <v>4</v>
      </c>
      <c r="D452">
        <v>4</v>
      </c>
      <c r="E452" t="s">
        <v>23</v>
      </c>
      <c r="F452" s="13" t="s">
        <v>39</v>
      </c>
      <c r="G452">
        <v>5</v>
      </c>
      <c r="H452">
        <v>2182.4899999999998</v>
      </c>
      <c r="I452">
        <v>2165.16</v>
      </c>
      <c r="J452" s="7">
        <v>0.61285879629629625</v>
      </c>
      <c r="K452" s="7">
        <v>0.63888888888888884</v>
      </c>
      <c r="L452">
        <f t="shared" si="132"/>
        <v>2237.4</v>
      </c>
      <c r="M452" s="8">
        <v>37.29</v>
      </c>
      <c r="N452" s="8">
        <f t="shared" si="133"/>
        <v>17.329999999999927</v>
      </c>
      <c r="O452">
        <f t="shared" si="134"/>
        <v>17329.999999999927</v>
      </c>
      <c r="U452" s="8"/>
      <c r="X452" s="12"/>
    </row>
    <row r="453" spans="1:30" x14ac:dyDescent="0.25">
      <c r="A453">
        <v>4</v>
      </c>
      <c r="B453">
        <v>2</v>
      </c>
      <c r="C453">
        <v>5</v>
      </c>
      <c r="D453">
        <v>3</v>
      </c>
      <c r="E453" t="s">
        <v>28</v>
      </c>
      <c r="F453" s="20" t="s">
        <v>40</v>
      </c>
      <c r="G453">
        <v>5</v>
      </c>
      <c r="H453">
        <v>2405.21</v>
      </c>
      <c r="I453">
        <v>2369.5700000000002</v>
      </c>
      <c r="J453" s="7">
        <v>0.61285879629629625</v>
      </c>
      <c r="K453" s="7">
        <v>0.63888888888888884</v>
      </c>
      <c r="L453">
        <f t="shared" si="132"/>
        <v>2237.4</v>
      </c>
      <c r="M453" s="8">
        <v>37.29</v>
      </c>
      <c r="N453" s="8">
        <f t="shared" si="133"/>
        <v>35.639999999999873</v>
      </c>
      <c r="O453">
        <f t="shared" si="134"/>
        <v>35639.999999999869</v>
      </c>
      <c r="P453">
        <v>0.73865284974092993</v>
      </c>
      <c r="Q453">
        <v>4057.6</v>
      </c>
      <c r="R453">
        <f>+Q453/10000</f>
        <v>0.40576000000000001</v>
      </c>
      <c r="S453">
        <f t="shared" ref="S453:S465" si="135">O453/(R453*L453)</f>
        <v>39.257697998380692</v>
      </c>
      <c r="T453">
        <v>32</v>
      </c>
      <c r="U453" s="8">
        <v>30</v>
      </c>
      <c r="V453">
        <f t="shared" ref="V453:V465" si="136">0.6108*EXP((17.27*T453)/(T453+237.3))</f>
        <v>4.7547753962618131</v>
      </c>
      <c r="W453">
        <f t="shared" ref="W453:W465" si="137">V453*(U453/100)</f>
        <v>1.4264326188785439</v>
      </c>
      <c r="X453" s="12">
        <f t="shared" ref="X453:X465" si="138">V453-W453</f>
        <v>3.328342777383269</v>
      </c>
    </row>
    <row r="454" spans="1:30" x14ac:dyDescent="0.25">
      <c r="A454">
        <v>4</v>
      </c>
      <c r="B454">
        <v>2</v>
      </c>
      <c r="C454">
        <v>1</v>
      </c>
      <c r="D454">
        <v>4</v>
      </c>
      <c r="E454" t="s">
        <v>36</v>
      </c>
      <c r="F454" s="13" t="s">
        <v>41</v>
      </c>
      <c r="G454">
        <v>5</v>
      </c>
      <c r="H454">
        <v>2487.54</v>
      </c>
      <c r="I454">
        <v>2442.94</v>
      </c>
      <c r="J454" s="7">
        <v>0.61285879629629625</v>
      </c>
      <c r="K454" s="7">
        <v>0.63888888888888884</v>
      </c>
      <c r="L454">
        <f t="shared" si="132"/>
        <v>2237.4</v>
      </c>
      <c r="M454" s="8">
        <v>37.29</v>
      </c>
      <c r="N454" s="8">
        <f t="shared" si="133"/>
        <v>44.599999999999909</v>
      </c>
      <c r="O454">
        <f t="shared" si="134"/>
        <v>44599.999999999913</v>
      </c>
      <c r="P454" s="2">
        <v>0.9026512851649473</v>
      </c>
      <c r="Q454">
        <v>3860.73</v>
      </c>
      <c r="R454">
        <f>+Q454/10000</f>
        <v>0.386073</v>
      </c>
      <c r="S454">
        <f t="shared" si="135"/>
        <v>51.632338423714771</v>
      </c>
      <c r="T454">
        <v>32</v>
      </c>
      <c r="U454" s="8">
        <v>30</v>
      </c>
      <c r="V454">
        <f t="shared" si="136"/>
        <v>4.7547753962618131</v>
      </c>
      <c r="W454">
        <f t="shared" si="137"/>
        <v>1.4264326188785439</v>
      </c>
      <c r="X454" s="12">
        <f t="shared" si="138"/>
        <v>3.328342777383269</v>
      </c>
    </row>
    <row r="455" spans="1:30" x14ac:dyDescent="0.25">
      <c r="A455">
        <v>4</v>
      </c>
      <c r="B455">
        <v>2</v>
      </c>
      <c r="C455">
        <v>6</v>
      </c>
      <c r="D455">
        <v>1</v>
      </c>
      <c r="E455" t="s">
        <v>25</v>
      </c>
      <c r="F455" s="13" t="s">
        <v>41</v>
      </c>
      <c r="G455">
        <v>5</v>
      </c>
      <c r="H455">
        <v>2318.79</v>
      </c>
      <c r="I455">
        <v>2300.25</v>
      </c>
      <c r="J455" s="7">
        <v>0.61285879629629625</v>
      </c>
      <c r="K455" s="7">
        <v>0.63888888888888884</v>
      </c>
      <c r="L455">
        <f t="shared" si="132"/>
        <v>2237.4</v>
      </c>
      <c r="M455" s="8">
        <v>37.29</v>
      </c>
      <c r="N455" s="8">
        <f t="shared" si="133"/>
        <v>18.539999999999964</v>
      </c>
      <c r="O455">
        <f t="shared" si="134"/>
        <v>18539.999999999964</v>
      </c>
      <c r="P455" s="2">
        <v>0.40622261174408042</v>
      </c>
      <c r="Q455">
        <v>3248.02</v>
      </c>
      <c r="R455">
        <f>+Q455/10000</f>
        <v>0.32480199999999998</v>
      </c>
      <c r="S455">
        <f t="shared" si="135"/>
        <v>25.512170065532494</v>
      </c>
      <c r="T455">
        <v>32</v>
      </c>
      <c r="U455" s="8">
        <v>30</v>
      </c>
      <c r="V455">
        <f t="shared" si="136"/>
        <v>4.7547753962618131</v>
      </c>
      <c r="W455">
        <f t="shared" si="137"/>
        <v>1.4264326188785439</v>
      </c>
      <c r="X455" s="12">
        <f t="shared" si="138"/>
        <v>3.328342777383269</v>
      </c>
    </row>
    <row r="456" spans="1:30" x14ac:dyDescent="0.25">
      <c r="A456">
        <v>1</v>
      </c>
      <c r="B456" s="1">
        <v>1</v>
      </c>
      <c r="C456" s="1">
        <v>1</v>
      </c>
      <c r="D456" s="1">
        <v>2</v>
      </c>
      <c r="E456" s="1" t="s">
        <v>24</v>
      </c>
      <c r="F456" s="13" t="s">
        <v>41</v>
      </c>
      <c r="G456" s="1">
        <v>2</v>
      </c>
      <c r="H456" s="2">
        <v>2345.6571428571428</v>
      </c>
      <c r="I456" s="2">
        <v>2337.2214285714285</v>
      </c>
      <c r="J456" s="3">
        <v>0.35893518518518519</v>
      </c>
      <c r="K456" s="3">
        <v>0.38979166666666665</v>
      </c>
      <c r="L456" s="1">
        <f t="shared" si="132"/>
        <v>2655.6</v>
      </c>
      <c r="M456" s="1">
        <v>44.26</v>
      </c>
      <c r="N456" s="4">
        <f t="shared" si="133"/>
        <v>8.4357142857143117</v>
      </c>
      <c r="O456" s="4">
        <f t="shared" si="134"/>
        <v>8435.7142857143117</v>
      </c>
      <c r="P456" s="2">
        <v>0.65040202665490721</v>
      </c>
      <c r="Q456">
        <v>733</v>
      </c>
      <c r="R456" s="1">
        <f t="shared" ref="R456:R465" si="139">Q456/10000</f>
        <v>7.3300000000000004E-2</v>
      </c>
      <c r="S456" s="5">
        <f t="shared" si="135"/>
        <v>43.336639100601282</v>
      </c>
      <c r="T456" s="4">
        <v>32</v>
      </c>
      <c r="U456">
        <v>71</v>
      </c>
      <c r="V456">
        <f t="shared" si="136"/>
        <v>4.7547753962618131</v>
      </c>
      <c r="W456">
        <f t="shared" si="137"/>
        <v>3.3758905313458873</v>
      </c>
      <c r="X456" s="6">
        <f t="shared" si="138"/>
        <v>1.3788848649159258</v>
      </c>
    </row>
    <row r="457" spans="1:30" x14ac:dyDescent="0.25">
      <c r="A457">
        <v>1</v>
      </c>
      <c r="B457" s="1">
        <v>1</v>
      </c>
      <c r="C457" s="1">
        <v>1</v>
      </c>
      <c r="D457" s="1">
        <v>2</v>
      </c>
      <c r="E457" s="1" t="s">
        <v>24</v>
      </c>
      <c r="F457" s="13" t="s">
        <v>41</v>
      </c>
      <c r="G457" s="1">
        <v>3</v>
      </c>
      <c r="H457">
        <v>2327.4299999999998</v>
      </c>
      <c r="I457">
        <v>2315.1</v>
      </c>
      <c r="J457" s="7">
        <v>0.41251157407407407</v>
      </c>
      <c r="K457" s="7">
        <v>0.44452546296296297</v>
      </c>
      <c r="L457" s="1">
        <f t="shared" si="132"/>
        <v>2643.6000000000004</v>
      </c>
      <c r="M457" s="4">
        <v>44.06</v>
      </c>
      <c r="N457" s="4">
        <f t="shared" si="133"/>
        <v>12.329999999999927</v>
      </c>
      <c r="O457" s="4">
        <f t="shared" si="134"/>
        <v>12329.999999999927</v>
      </c>
      <c r="P457" s="2">
        <v>0.95065535851963645</v>
      </c>
      <c r="Q457">
        <v>733</v>
      </c>
      <c r="R457" s="1">
        <f t="shared" si="139"/>
        <v>7.3300000000000004E-2</v>
      </c>
      <c r="S457" s="5">
        <f t="shared" si="135"/>
        <v>63.630210323389711</v>
      </c>
      <c r="T457" s="4">
        <v>32</v>
      </c>
      <c r="U457" s="8">
        <f>+AVERAGE([1]humidity!$B$20430:$B$20523)</f>
        <v>58.276595744680854</v>
      </c>
      <c r="V457">
        <f t="shared" si="136"/>
        <v>4.7547753962618131</v>
      </c>
      <c r="W457">
        <f t="shared" si="137"/>
        <v>2.7709212362470441</v>
      </c>
      <c r="X457" s="6">
        <f t="shared" si="138"/>
        <v>1.983854160014769</v>
      </c>
    </row>
    <row r="458" spans="1:30" x14ac:dyDescent="0.25">
      <c r="A458">
        <v>1</v>
      </c>
      <c r="B458" s="1">
        <v>1</v>
      </c>
      <c r="C458" s="1">
        <v>1</v>
      </c>
      <c r="D458" s="1">
        <v>2</v>
      </c>
      <c r="E458" s="1" t="s">
        <v>24</v>
      </c>
      <c r="F458" s="13" t="s">
        <v>41</v>
      </c>
      <c r="G458" s="1">
        <v>4</v>
      </c>
      <c r="H458">
        <v>2306.2399999999998</v>
      </c>
      <c r="I458">
        <v>2293.91</v>
      </c>
      <c r="J458" s="7">
        <v>0.46377314814814813</v>
      </c>
      <c r="K458" s="7">
        <v>0.49486111111111108</v>
      </c>
      <c r="L458" s="1">
        <f t="shared" si="132"/>
        <v>2667.6</v>
      </c>
      <c r="M458" s="4">
        <v>44.46</v>
      </c>
      <c r="N458" s="4">
        <f t="shared" si="133"/>
        <v>12.329999999999927</v>
      </c>
      <c r="O458" s="4">
        <f t="shared" si="134"/>
        <v>12329.999999999927</v>
      </c>
      <c r="P458" s="2">
        <v>0.95065535851963645</v>
      </c>
      <c r="Q458">
        <v>733</v>
      </c>
      <c r="R458" s="1">
        <f t="shared" si="139"/>
        <v>7.3300000000000004E-2</v>
      </c>
      <c r="S458" s="5">
        <f t="shared" si="135"/>
        <v>63.05773879551397</v>
      </c>
      <c r="T458" s="4">
        <v>32</v>
      </c>
      <c r="U458" s="8">
        <f>+AVERAGE([1]humidity!$B$20576:$B$20667)</f>
        <v>47.380434782608695</v>
      </c>
      <c r="V458">
        <f t="shared" si="136"/>
        <v>4.7547753962618131</v>
      </c>
      <c r="W458">
        <f t="shared" si="137"/>
        <v>2.2528332556853523</v>
      </c>
      <c r="X458" s="6">
        <f t="shared" si="138"/>
        <v>2.5019421405764608</v>
      </c>
    </row>
    <row r="459" spans="1:30" x14ac:dyDescent="0.25">
      <c r="A459">
        <v>1</v>
      </c>
      <c r="B459" s="1">
        <v>1</v>
      </c>
      <c r="C459" s="1">
        <v>1</v>
      </c>
      <c r="D459" s="1">
        <v>2</v>
      </c>
      <c r="E459" s="1" t="s">
        <v>24</v>
      </c>
      <c r="F459" s="13" t="s">
        <v>41</v>
      </c>
      <c r="G459" s="1">
        <v>5</v>
      </c>
      <c r="H459">
        <v>2284.36</v>
      </c>
      <c r="I459">
        <v>2271.69</v>
      </c>
      <c r="J459" s="7">
        <v>0.51785879629629628</v>
      </c>
      <c r="K459" s="7">
        <v>0.54924768518518519</v>
      </c>
      <c r="L459" s="1">
        <f t="shared" si="132"/>
        <v>2707.2</v>
      </c>
      <c r="M459" s="4">
        <v>45.12</v>
      </c>
      <c r="N459" s="4">
        <f t="shared" si="133"/>
        <v>12.670000000000073</v>
      </c>
      <c r="O459" s="4">
        <f t="shared" si="134"/>
        <v>12670.000000000073</v>
      </c>
      <c r="P459" s="2">
        <v>0.97686969930607737</v>
      </c>
      <c r="Q459">
        <v>733</v>
      </c>
      <c r="R459" s="1">
        <f t="shared" si="139"/>
        <v>7.3300000000000004E-2</v>
      </c>
      <c r="S459" s="5">
        <f t="shared" si="135"/>
        <v>63.848735240712621</v>
      </c>
      <c r="T459" s="4">
        <v>32</v>
      </c>
      <c r="U459" s="8">
        <f>+AVERAGE([1]humidity!$B$20731:$B$20822)</f>
        <v>37.228260869565219</v>
      </c>
      <c r="V459">
        <f t="shared" si="136"/>
        <v>4.7547753962618131</v>
      </c>
      <c r="W459">
        <f t="shared" si="137"/>
        <v>1.770120188282251</v>
      </c>
      <c r="X459" s="6">
        <f t="shared" si="138"/>
        <v>2.9846552079795621</v>
      </c>
    </row>
    <row r="460" spans="1:30" x14ac:dyDescent="0.25">
      <c r="A460">
        <v>1</v>
      </c>
      <c r="B460" s="1">
        <v>1</v>
      </c>
      <c r="C460" s="1">
        <v>1</v>
      </c>
      <c r="D460" s="1">
        <v>2</v>
      </c>
      <c r="E460" s="1" t="s">
        <v>24</v>
      </c>
      <c r="F460" s="13" t="s">
        <v>41</v>
      </c>
      <c r="G460" s="1">
        <v>6</v>
      </c>
      <c r="H460">
        <v>2259.65</v>
      </c>
      <c r="I460">
        <v>2246.6799999999998</v>
      </c>
      <c r="J460" s="7">
        <v>0.57593749999999999</v>
      </c>
      <c r="K460" s="7">
        <v>0.60682870370370368</v>
      </c>
      <c r="L460" s="1">
        <f t="shared" si="132"/>
        <v>2657.4</v>
      </c>
      <c r="M460" s="1">
        <v>44.29</v>
      </c>
      <c r="N460" s="4">
        <f t="shared" si="133"/>
        <v>12.970000000000255</v>
      </c>
      <c r="O460" s="4">
        <f t="shared" si="134"/>
        <v>12970.000000000255</v>
      </c>
      <c r="P460" s="2">
        <v>1</v>
      </c>
      <c r="Q460">
        <v>733</v>
      </c>
      <c r="R460" s="1">
        <f t="shared" si="139"/>
        <v>7.3300000000000004E-2</v>
      </c>
      <c r="S460" s="5">
        <f t="shared" si="135"/>
        <v>66.585408852379956</v>
      </c>
      <c r="T460" s="4">
        <v>32</v>
      </c>
      <c r="U460" s="8">
        <f>+AVERAGE([1]humidity!$B$20898:$B$20986)</f>
        <v>19.865168539325843</v>
      </c>
      <c r="V460">
        <f t="shared" si="136"/>
        <v>4.7547753962618131</v>
      </c>
      <c r="W460">
        <f t="shared" si="137"/>
        <v>0.94454414613380733</v>
      </c>
      <c r="X460" s="6">
        <f t="shared" si="138"/>
        <v>3.8102312501280058</v>
      </c>
    </row>
    <row r="461" spans="1:30" x14ac:dyDescent="0.25">
      <c r="A461">
        <v>1</v>
      </c>
      <c r="B461" s="1">
        <v>2</v>
      </c>
      <c r="C461">
        <v>1</v>
      </c>
      <c r="D461">
        <v>2</v>
      </c>
      <c r="E461" t="s">
        <v>24</v>
      </c>
      <c r="F461" s="13" t="s">
        <v>41</v>
      </c>
      <c r="G461" s="1">
        <v>2</v>
      </c>
      <c r="H461">
        <v>2534.08</v>
      </c>
      <c r="I461">
        <v>2521.5100000000002</v>
      </c>
      <c r="J461" s="7">
        <v>0.41741898148148149</v>
      </c>
      <c r="K461" s="7">
        <v>0.44797453703703705</v>
      </c>
      <c r="L461" s="1">
        <f t="shared" si="132"/>
        <v>2640</v>
      </c>
      <c r="M461" s="4">
        <v>44</v>
      </c>
      <c r="N461" s="4">
        <f t="shared" si="133"/>
        <v>12.569999999999709</v>
      </c>
      <c r="O461" s="4">
        <f t="shared" si="134"/>
        <v>12569.999999999709</v>
      </c>
      <c r="P461" s="2">
        <v>0.73081395348836287</v>
      </c>
      <c r="Q461">
        <v>733</v>
      </c>
      <c r="R461" s="1">
        <f t="shared" si="139"/>
        <v>7.3300000000000004E-2</v>
      </c>
      <c r="S461" s="5">
        <f t="shared" si="135"/>
        <v>64.957211955846191</v>
      </c>
      <c r="T461" s="4">
        <v>32</v>
      </c>
      <c r="U461" s="8">
        <f>+AVERAGE([1]humidity!$B$23313:$B$23401)</f>
        <v>71.887640449438209</v>
      </c>
      <c r="V461">
        <f t="shared" si="136"/>
        <v>4.7547753962618131</v>
      </c>
      <c r="W461">
        <f t="shared" si="137"/>
        <v>3.4180958410430429</v>
      </c>
      <c r="X461" s="6">
        <f t="shared" si="138"/>
        <v>1.3366795552187702</v>
      </c>
    </row>
    <row r="462" spans="1:30" x14ac:dyDescent="0.25">
      <c r="A462">
        <v>1</v>
      </c>
      <c r="B462" s="1">
        <v>2</v>
      </c>
      <c r="C462">
        <v>1</v>
      </c>
      <c r="D462">
        <v>2</v>
      </c>
      <c r="E462" t="s">
        <v>24</v>
      </c>
      <c r="F462" s="13" t="s">
        <v>41</v>
      </c>
      <c r="G462" s="1">
        <v>3</v>
      </c>
      <c r="H462">
        <v>2509.37</v>
      </c>
      <c r="I462">
        <v>2494.9499999999998</v>
      </c>
      <c r="J462" s="7">
        <v>0.47769675925925925</v>
      </c>
      <c r="K462" s="7">
        <v>0.5084143518518518</v>
      </c>
      <c r="L462" s="1">
        <f t="shared" si="132"/>
        <v>2648.4</v>
      </c>
      <c r="M462" s="4">
        <v>44.14</v>
      </c>
      <c r="N462" s="4">
        <f t="shared" si="133"/>
        <v>14.420000000000073</v>
      </c>
      <c r="O462" s="4">
        <f t="shared" si="134"/>
        <v>14420.000000000073</v>
      </c>
      <c r="P462" s="2">
        <v>0.83837209302326887</v>
      </c>
      <c r="Q462">
        <v>733</v>
      </c>
      <c r="R462" s="1">
        <f t="shared" si="139"/>
        <v>7.3300000000000004E-2</v>
      </c>
      <c r="S462" s="5">
        <f t="shared" si="135"/>
        <v>74.280993976543243</v>
      </c>
      <c r="T462" s="4">
        <v>32</v>
      </c>
      <c r="U462" s="8">
        <f>+AVERAGE([1]humidity!$B$23480:$B$23571)</f>
        <v>55.608695652173914</v>
      </c>
      <c r="V462">
        <f t="shared" si="136"/>
        <v>4.7547753962618131</v>
      </c>
      <c r="W462">
        <f t="shared" si="137"/>
        <v>2.6440685790516776</v>
      </c>
      <c r="X462" s="6">
        <f t="shared" si="138"/>
        <v>2.1107068172101355</v>
      </c>
    </row>
    <row r="463" spans="1:30" x14ac:dyDescent="0.25">
      <c r="A463">
        <v>1</v>
      </c>
      <c r="B463" s="1">
        <v>2</v>
      </c>
      <c r="C463">
        <v>1</v>
      </c>
      <c r="D463">
        <v>2</v>
      </c>
      <c r="E463" t="s">
        <v>24</v>
      </c>
      <c r="F463" s="13" t="s">
        <v>41</v>
      </c>
      <c r="G463" s="1">
        <v>4</v>
      </c>
      <c r="H463">
        <v>2483.31</v>
      </c>
      <c r="I463">
        <v>2467.41</v>
      </c>
      <c r="J463" s="7">
        <v>0.53045138888888888</v>
      </c>
      <c r="K463" s="7">
        <v>0.56327546296296294</v>
      </c>
      <c r="L463" s="1">
        <f t="shared" si="132"/>
        <v>2829.6</v>
      </c>
      <c r="M463" s="4">
        <v>47.16</v>
      </c>
      <c r="N463" s="4">
        <f t="shared" si="133"/>
        <v>15.900000000000091</v>
      </c>
      <c r="O463" s="4">
        <f t="shared" si="134"/>
        <v>15900.000000000091</v>
      </c>
      <c r="P463" s="2">
        <v>0.92441860465117787</v>
      </c>
      <c r="Q463">
        <v>733</v>
      </c>
      <c r="R463" s="1">
        <f t="shared" si="139"/>
        <v>7.3300000000000004E-2</v>
      </c>
      <c r="S463" s="5">
        <f t="shared" si="135"/>
        <v>76.659874312520472</v>
      </c>
      <c r="T463" s="4">
        <v>32</v>
      </c>
      <c r="U463" s="8">
        <f>+AVERAGE([1]humidity!$B$23635:$B$23728)</f>
        <v>48.244680851063826</v>
      </c>
      <c r="V463">
        <f t="shared" si="136"/>
        <v>4.7547753962618131</v>
      </c>
      <c r="W463">
        <f t="shared" si="137"/>
        <v>2.293926215111417</v>
      </c>
      <c r="X463" s="6">
        <f t="shared" si="138"/>
        <v>2.4608491811503961</v>
      </c>
    </row>
    <row r="464" spans="1:30" x14ac:dyDescent="0.25">
      <c r="A464">
        <v>1</v>
      </c>
      <c r="B464" s="1">
        <v>2</v>
      </c>
      <c r="C464">
        <v>1</v>
      </c>
      <c r="D464">
        <v>2</v>
      </c>
      <c r="E464" t="s">
        <v>24</v>
      </c>
      <c r="F464" s="13" t="s">
        <v>41</v>
      </c>
      <c r="G464" s="1">
        <v>5</v>
      </c>
      <c r="H464">
        <v>2452.3000000000002</v>
      </c>
      <c r="I464">
        <v>2436.09</v>
      </c>
      <c r="J464" s="7">
        <v>0.58910879629629631</v>
      </c>
      <c r="K464" s="7">
        <v>0.61982638888888886</v>
      </c>
      <c r="L464" s="1">
        <f t="shared" si="132"/>
        <v>2648.4</v>
      </c>
      <c r="M464" s="4">
        <f>52.33-8.19</f>
        <v>44.14</v>
      </c>
      <c r="N464" s="4">
        <f t="shared" si="133"/>
        <v>16.210000000000036</v>
      </c>
      <c r="O464" s="4">
        <f t="shared" si="134"/>
        <v>16210.000000000036</v>
      </c>
      <c r="P464" s="2">
        <v>0.94244186046512834</v>
      </c>
      <c r="Q464">
        <v>733</v>
      </c>
      <c r="R464" s="1">
        <f t="shared" si="139"/>
        <v>7.3300000000000004E-2</v>
      </c>
      <c r="S464" s="5">
        <f t="shared" si="135"/>
        <v>83.501727625503634</v>
      </c>
      <c r="T464" s="4">
        <v>32</v>
      </c>
      <c r="U464" s="8">
        <f>+AVERAGE([1]humidity!$B$23800:$B$23885)</f>
        <v>34.860465116279073</v>
      </c>
      <c r="V464">
        <f t="shared" si="136"/>
        <v>4.7547753962618131</v>
      </c>
      <c r="W464">
        <f t="shared" si="137"/>
        <v>1.6575368183712693</v>
      </c>
      <c r="X464" s="6">
        <f t="shared" si="138"/>
        <v>3.0972385778905438</v>
      </c>
    </row>
    <row r="465" spans="1:24" x14ac:dyDescent="0.25">
      <c r="A465">
        <v>1</v>
      </c>
      <c r="B465" s="1">
        <v>2</v>
      </c>
      <c r="C465">
        <v>1</v>
      </c>
      <c r="D465">
        <v>2</v>
      </c>
      <c r="E465" t="s">
        <v>24</v>
      </c>
      <c r="F465" s="13" t="s">
        <v>41</v>
      </c>
      <c r="G465" s="1">
        <v>6</v>
      </c>
      <c r="H465">
        <v>2420.4299999999998</v>
      </c>
      <c r="I465">
        <v>2403.23</v>
      </c>
      <c r="J465" s="7">
        <v>0.64884259259259258</v>
      </c>
      <c r="K465" s="7">
        <v>0.68104166666666666</v>
      </c>
      <c r="L465" s="1">
        <f t="shared" si="132"/>
        <v>2748</v>
      </c>
      <c r="M465" s="4">
        <f>+(60-34.2)+20</f>
        <v>45.8</v>
      </c>
      <c r="N465" s="4">
        <f t="shared" si="133"/>
        <v>17.199999999999818</v>
      </c>
      <c r="O465" s="4">
        <f t="shared" si="134"/>
        <v>17199.999999999818</v>
      </c>
      <c r="P465" s="2">
        <v>1</v>
      </c>
      <c r="Q465">
        <v>733</v>
      </c>
      <c r="R465" s="1">
        <f t="shared" si="139"/>
        <v>7.3300000000000004E-2</v>
      </c>
      <c r="S465" s="5">
        <f t="shared" si="135"/>
        <v>85.390143594447537</v>
      </c>
      <c r="T465" s="4">
        <v>32</v>
      </c>
      <c r="U465" s="8">
        <f>+AVERAGE([1]humidity!$B$23968:$B$24060)</f>
        <v>19.892473118279568</v>
      </c>
      <c r="V465">
        <f t="shared" si="136"/>
        <v>4.7547753962618131</v>
      </c>
      <c r="W465">
        <f t="shared" si="137"/>
        <v>0.945842417535952</v>
      </c>
      <c r="X465" s="6">
        <f t="shared" si="138"/>
        <v>3.8089329787258612</v>
      </c>
    </row>
    <row r="466" spans="1:24" x14ac:dyDescent="0.25">
      <c r="A466">
        <v>2</v>
      </c>
      <c r="B466">
        <v>1</v>
      </c>
      <c r="C466">
        <v>5</v>
      </c>
      <c r="D466">
        <v>5</v>
      </c>
      <c r="E466" s="1" t="s">
        <v>24</v>
      </c>
      <c r="F466" s="13" t="s">
        <v>41</v>
      </c>
      <c r="G466">
        <v>1</v>
      </c>
      <c r="H466">
        <v>3094.99</v>
      </c>
      <c r="I466">
        <v>3084.73</v>
      </c>
      <c r="J466" s="11">
        <v>0.49791666666666667</v>
      </c>
      <c r="K466" s="7">
        <v>0.53189814814814818</v>
      </c>
      <c r="L466">
        <f t="shared" ref="L466:L471" si="140">+M466*60</f>
        <v>2880</v>
      </c>
      <c r="M466">
        <v>48</v>
      </c>
      <c r="N466">
        <f t="shared" ref="N466:N471" si="141">+H466-I466</f>
        <v>10.259999999999764</v>
      </c>
      <c r="O466">
        <f t="shared" ref="O466:O471" si="142">+N466*1000</f>
        <v>10259.999999999764</v>
      </c>
      <c r="P466" s="2">
        <v>0.82145716573258154</v>
      </c>
      <c r="Q466">
        <v>779</v>
      </c>
      <c r="R466" s="1">
        <v>7.7899999999999997E-2</v>
      </c>
      <c r="S466" s="5">
        <v>45.731707317072114</v>
      </c>
      <c r="T466" s="4">
        <v>32</v>
      </c>
      <c r="U466" s="8">
        <v>77.865979381443296</v>
      </c>
      <c r="V466">
        <v>4.7547753962618131</v>
      </c>
      <c r="W466">
        <v>3.7023524296871622</v>
      </c>
      <c r="X466" s="6">
        <v>1.052422966574651</v>
      </c>
    </row>
    <row r="467" spans="1:24" x14ac:dyDescent="0.25">
      <c r="A467">
        <v>2</v>
      </c>
      <c r="B467">
        <v>1</v>
      </c>
      <c r="C467">
        <v>5</v>
      </c>
      <c r="D467">
        <v>5</v>
      </c>
      <c r="E467" s="1" t="s">
        <v>24</v>
      </c>
      <c r="F467" s="13" t="s">
        <v>41</v>
      </c>
      <c r="G467">
        <v>2</v>
      </c>
      <c r="H467">
        <v>3078.99</v>
      </c>
      <c r="I467">
        <v>3070.88</v>
      </c>
      <c r="J467" s="7">
        <v>0.55482638888888891</v>
      </c>
      <c r="K467" s="7">
        <v>0.58539351851851851</v>
      </c>
      <c r="L467">
        <f t="shared" si="140"/>
        <v>2640</v>
      </c>
      <c r="M467">
        <v>44</v>
      </c>
      <c r="N467">
        <f t="shared" si="141"/>
        <v>8.1099999999996726</v>
      </c>
      <c r="O467">
        <f t="shared" si="142"/>
        <v>8109.9999999996726</v>
      </c>
      <c r="P467" s="2">
        <v>0.64931945556443671</v>
      </c>
      <c r="Q467">
        <v>779</v>
      </c>
      <c r="R467">
        <v>7.7899999999999997E-2</v>
      </c>
      <c r="S467">
        <v>39.434784299994519</v>
      </c>
      <c r="T467">
        <v>32</v>
      </c>
      <c r="U467" s="8">
        <v>66.811764705882354</v>
      </c>
      <c r="V467">
        <v>4.7547753962618131</v>
      </c>
      <c r="W467">
        <v>3.1767493500436275</v>
      </c>
      <c r="X467" s="12">
        <v>1.5780260462181857</v>
      </c>
    </row>
    <row r="468" spans="1:24" x14ac:dyDescent="0.25">
      <c r="A468">
        <v>2</v>
      </c>
      <c r="B468">
        <v>1</v>
      </c>
      <c r="C468">
        <v>5</v>
      </c>
      <c r="D468">
        <v>5</v>
      </c>
      <c r="E468" s="1" t="s">
        <v>24</v>
      </c>
      <c r="F468" s="13" t="s">
        <v>41</v>
      </c>
      <c r="G468">
        <v>3</v>
      </c>
      <c r="H468">
        <v>3064.99</v>
      </c>
      <c r="I468">
        <v>3052.49</v>
      </c>
      <c r="J468" s="7">
        <v>0.60451388888888891</v>
      </c>
      <c r="K468" s="7">
        <v>0.63587962962962963</v>
      </c>
      <c r="L468">
        <f t="shared" si="140"/>
        <v>2700</v>
      </c>
      <c r="M468">
        <v>45</v>
      </c>
      <c r="N468">
        <f t="shared" si="141"/>
        <v>12.5</v>
      </c>
      <c r="O468">
        <f t="shared" si="142"/>
        <v>12500</v>
      </c>
      <c r="P468" s="2">
        <v>1.0008006405124275</v>
      </c>
      <c r="Q468">
        <v>779</v>
      </c>
      <c r="R468">
        <v>7.7899999999999997E-2</v>
      </c>
      <c r="S468">
        <v>59.430418865592166</v>
      </c>
      <c r="T468">
        <v>32</v>
      </c>
      <c r="U468" s="8">
        <v>56</v>
      </c>
      <c r="V468">
        <v>4.7547753962618131</v>
      </c>
      <c r="W468">
        <v>2.6626742219066157</v>
      </c>
      <c r="X468" s="12">
        <v>2.0921011743551974</v>
      </c>
    </row>
    <row r="469" spans="1:24" x14ac:dyDescent="0.25">
      <c r="A469">
        <v>2</v>
      </c>
      <c r="B469">
        <v>1</v>
      </c>
      <c r="C469">
        <v>5</v>
      </c>
      <c r="D469">
        <v>5</v>
      </c>
      <c r="E469" s="1" t="s">
        <v>24</v>
      </c>
      <c r="F469" s="13" t="s">
        <v>41</v>
      </c>
      <c r="G469">
        <v>4</v>
      </c>
      <c r="H469">
        <v>3046.78</v>
      </c>
      <c r="I469">
        <v>3034.76</v>
      </c>
      <c r="J469" s="7">
        <v>0.65231481481481479</v>
      </c>
      <c r="K469" s="7">
        <v>0.68402777777777779</v>
      </c>
      <c r="L469">
        <f t="shared" si="140"/>
        <v>2700</v>
      </c>
      <c r="M469">
        <v>45</v>
      </c>
      <c r="N469">
        <f t="shared" si="141"/>
        <v>12.019999999999982</v>
      </c>
      <c r="O469">
        <f t="shared" si="142"/>
        <v>12019.999999999982</v>
      </c>
      <c r="P469" s="2">
        <v>0.96236989591674871</v>
      </c>
      <c r="Q469">
        <v>779</v>
      </c>
      <c r="R469">
        <v>7.7899999999999997E-2</v>
      </c>
      <c r="S469">
        <v>57.148290781153342</v>
      </c>
      <c r="T469">
        <v>32</v>
      </c>
      <c r="U469" s="8">
        <v>47.103448275862071</v>
      </c>
      <c r="V469">
        <v>4.7547753962618131</v>
      </c>
      <c r="W469">
        <v>2.2396631694115987</v>
      </c>
      <c r="X469" s="12">
        <v>2.5151122268502144</v>
      </c>
    </row>
    <row r="470" spans="1:24" x14ac:dyDescent="0.25">
      <c r="A470">
        <v>2</v>
      </c>
      <c r="B470">
        <v>1</v>
      </c>
      <c r="C470">
        <v>5</v>
      </c>
      <c r="D470">
        <v>5</v>
      </c>
      <c r="E470" s="1" t="s">
        <v>24</v>
      </c>
      <c r="F470" s="13" t="s">
        <v>41</v>
      </c>
      <c r="G470">
        <v>5</v>
      </c>
      <c r="H470">
        <v>3028.83</v>
      </c>
      <c r="I470">
        <v>3016.34</v>
      </c>
      <c r="J470" s="7">
        <v>0.70046296296296295</v>
      </c>
      <c r="K470" s="7">
        <v>0.73293981481481485</v>
      </c>
      <c r="L470">
        <f t="shared" si="140"/>
        <v>2760</v>
      </c>
      <c r="M470">
        <v>46</v>
      </c>
      <c r="N470">
        <f t="shared" si="141"/>
        <v>12.489999999999782</v>
      </c>
      <c r="O470">
        <f t="shared" si="142"/>
        <v>12489.999999999782</v>
      </c>
      <c r="P470" s="2">
        <v>1</v>
      </c>
      <c r="Q470">
        <v>779</v>
      </c>
      <c r="R470">
        <v>7.7899999999999997E-2</v>
      </c>
      <c r="S470">
        <v>58.091942475487812</v>
      </c>
      <c r="T470">
        <v>32</v>
      </c>
      <c r="U470" s="8">
        <v>38.567010309278352</v>
      </c>
      <c r="V470">
        <v>4.7547753962618131</v>
      </c>
      <c r="W470">
        <v>1.8337747172593242</v>
      </c>
      <c r="X470" s="12">
        <v>2.9210006790024892</v>
      </c>
    </row>
    <row r="471" spans="1:24" x14ac:dyDescent="0.25">
      <c r="A471">
        <v>2</v>
      </c>
      <c r="B471">
        <v>1</v>
      </c>
      <c r="C471">
        <v>5</v>
      </c>
      <c r="D471">
        <v>5</v>
      </c>
      <c r="E471" s="1" t="s">
        <v>24</v>
      </c>
      <c r="F471" s="13" t="s">
        <v>41</v>
      </c>
      <c r="G471">
        <v>6</v>
      </c>
      <c r="H471">
        <v>3012.3</v>
      </c>
      <c r="I471">
        <v>3001.55</v>
      </c>
      <c r="J471" s="7">
        <v>0.7436342592592593</v>
      </c>
      <c r="K471" s="7">
        <v>0.77496527777777779</v>
      </c>
      <c r="L471">
        <f t="shared" si="140"/>
        <v>2700</v>
      </c>
      <c r="M471">
        <v>45</v>
      </c>
      <c r="N471">
        <f t="shared" si="141"/>
        <v>10.75</v>
      </c>
      <c r="O471">
        <f t="shared" si="142"/>
        <v>10750</v>
      </c>
      <c r="P471" s="2">
        <v>0.86068855084068763</v>
      </c>
      <c r="Q471">
        <v>779</v>
      </c>
      <c r="R471">
        <v>7.7899999999999997E-2</v>
      </c>
      <c r="S471">
        <v>51.110160224409263</v>
      </c>
      <c r="T471">
        <v>32</v>
      </c>
      <c r="U471" s="8">
        <v>23.483146067415731</v>
      </c>
      <c r="V471">
        <v>4.7547753962618131</v>
      </c>
      <c r="W471">
        <v>1.1165708514817068</v>
      </c>
      <c r="X471" s="12">
        <v>3.6382045447801064</v>
      </c>
    </row>
    <row r="472" spans="1:24" x14ac:dyDescent="0.25">
      <c r="A472">
        <v>3</v>
      </c>
      <c r="B472">
        <v>1</v>
      </c>
      <c r="C472">
        <v>5</v>
      </c>
      <c r="D472">
        <v>2</v>
      </c>
      <c r="E472" t="s">
        <v>24</v>
      </c>
      <c r="F472" s="13" t="s">
        <v>41</v>
      </c>
      <c r="G472">
        <v>1</v>
      </c>
      <c r="H472">
        <v>2815.22</v>
      </c>
      <c r="I472">
        <v>2806.38</v>
      </c>
      <c r="J472">
        <v>0.48958333333333331</v>
      </c>
      <c r="K472">
        <v>0.52083333333333337</v>
      </c>
      <c r="L472">
        <v>2700</v>
      </c>
      <c r="M472" s="8">
        <v>45</v>
      </c>
      <c r="N472">
        <v>8.8399999999996908</v>
      </c>
      <c r="O472">
        <v>8839.9999999996908</v>
      </c>
      <c r="P472" s="2">
        <v>0.60176991150440151</v>
      </c>
      <c r="Q472">
        <v>818.18</v>
      </c>
      <c r="R472">
        <v>8.1818000000000002E-2</v>
      </c>
      <c r="S472">
        <v>40.016549831014686</v>
      </c>
      <c r="T472">
        <v>32</v>
      </c>
      <c r="U472" s="8">
        <v>79</v>
      </c>
      <c r="V472">
        <v>4.7547753962618131</v>
      </c>
      <c r="W472">
        <f t="shared" ref="W472:W492" si="143">V472*(U472/100)</f>
        <v>3.7562725630468323</v>
      </c>
      <c r="X472" s="12">
        <f t="shared" ref="X472:X492" si="144">V472-W472</f>
        <v>0.99850283321498079</v>
      </c>
    </row>
    <row r="473" spans="1:24" x14ac:dyDescent="0.25">
      <c r="A473">
        <v>3</v>
      </c>
      <c r="B473">
        <v>1</v>
      </c>
      <c r="C473">
        <v>5</v>
      </c>
      <c r="D473">
        <v>2</v>
      </c>
      <c r="E473" t="s">
        <v>24</v>
      </c>
      <c r="F473" s="13" t="s">
        <v>41</v>
      </c>
      <c r="G473">
        <v>2</v>
      </c>
      <c r="H473">
        <v>2803.49</v>
      </c>
      <c r="I473">
        <v>2794.44</v>
      </c>
      <c r="J473">
        <v>0.53055555555555556</v>
      </c>
      <c r="K473">
        <v>0.56180555555555556</v>
      </c>
      <c r="L473">
        <v>2700</v>
      </c>
      <c r="M473" s="8">
        <v>45</v>
      </c>
      <c r="N473">
        <v>9.0499999999997272</v>
      </c>
      <c r="O473">
        <v>9049.9999999997272</v>
      </c>
      <c r="P473" s="2">
        <v>0.61606535057860401</v>
      </c>
      <c r="Q473">
        <v>818.18</v>
      </c>
      <c r="R473">
        <v>8.1818000000000002E-2</v>
      </c>
      <c r="S473">
        <v>40.967169227453013</v>
      </c>
      <c r="T473">
        <v>32</v>
      </c>
      <c r="U473" s="8">
        <v>68</v>
      </c>
      <c r="V473">
        <v>4.7547753962618131</v>
      </c>
      <c r="W473">
        <f t="shared" si="143"/>
        <v>3.2332472694580332</v>
      </c>
      <c r="X473" s="12">
        <f t="shared" si="144"/>
        <v>1.5215281268037799</v>
      </c>
    </row>
    <row r="474" spans="1:24" x14ac:dyDescent="0.25">
      <c r="A474">
        <v>3</v>
      </c>
      <c r="B474">
        <v>1</v>
      </c>
      <c r="C474">
        <v>5</v>
      </c>
      <c r="D474">
        <v>2</v>
      </c>
      <c r="E474" t="s">
        <v>24</v>
      </c>
      <c r="F474" s="13" t="s">
        <v>41</v>
      </c>
      <c r="G474">
        <v>3</v>
      </c>
      <c r="H474">
        <v>2790.63</v>
      </c>
      <c r="I474">
        <v>2779.07</v>
      </c>
      <c r="J474">
        <v>0.57556712962962964</v>
      </c>
      <c r="K474">
        <v>0.60728009259259264</v>
      </c>
      <c r="L474">
        <v>2700</v>
      </c>
      <c r="M474" s="8">
        <v>45</v>
      </c>
      <c r="N474">
        <v>11.559999999999945</v>
      </c>
      <c r="O474">
        <v>11559.999999999945</v>
      </c>
      <c r="P474" s="2">
        <v>0.78692988427501043</v>
      </c>
      <c r="Q474">
        <v>818.18</v>
      </c>
      <c r="R474">
        <v>8.1818000000000002E-2</v>
      </c>
      <c r="S474">
        <v>52.3293343944054</v>
      </c>
      <c r="T474">
        <v>32</v>
      </c>
      <c r="U474" s="8">
        <v>57</v>
      </c>
      <c r="V474">
        <v>4.7547753962618131</v>
      </c>
      <c r="W474">
        <f t="shared" si="143"/>
        <v>2.7102219758692332</v>
      </c>
      <c r="X474" s="12">
        <f t="shared" si="144"/>
        <v>2.0445534203925799</v>
      </c>
    </row>
    <row r="475" spans="1:24" x14ac:dyDescent="0.25">
      <c r="A475">
        <v>3</v>
      </c>
      <c r="B475">
        <v>1</v>
      </c>
      <c r="C475">
        <v>5</v>
      </c>
      <c r="D475">
        <v>2</v>
      </c>
      <c r="E475" t="s">
        <v>24</v>
      </c>
      <c r="F475" s="13" t="s">
        <v>41</v>
      </c>
      <c r="G475">
        <v>4</v>
      </c>
      <c r="H475">
        <v>2771.86</v>
      </c>
      <c r="I475">
        <v>2759.03</v>
      </c>
      <c r="J475">
        <v>0.62638888888888888</v>
      </c>
      <c r="K475">
        <v>0.65733796296296299</v>
      </c>
      <c r="L475">
        <v>2640</v>
      </c>
      <c r="M475" s="8">
        <v>44</v>
      </c>
      <c r="N475">
        <v>12.829999999999927</v>
      </c>
      <c r="O475">
        <v>12829.999999999927</v>
      </c>
      <c r="P475" s="2">
        <v>0.87338325391421912</v>
      </c>
      <c r="Q475">
        <v>818.18</v>
      </c>
      <c r="R475">
        <v>8.1818000000000002E-2</v>
      </c>
      <c r="S475">
        <v>59.398280144325902</v>
      </c>
      <c r="T475">
        <v>32</v>
      </c>
      <c r="U475" s="8">
        <v>47</v>
      </c>
      <c r="V475">
        <v>4.7547753962618131</v>
      </c>
      <c r="W475">
        <f t="shared" si="143"/>
        <v>2.234744436243052</v>
      </c>
      <c r="X475" s="12">
        <f t="shared" si="144"/>
        <v>2.5200309600187611</v>
      </c>
    </row>
    <row r="476" spans="1:24" x14ac:dyDescent="0.25">
      <c r="A476">
        <v>3</v>
      </c>
      <c r="B476">
        <v>1</v>
      </c>
      <c r="C476">
        <v>5</v>
      </c>
      <c r="D476">
        <v>2</v>
      </c>
      <c r="E476" t="s">
        <v>24</v>
      </c>
      <c r="F476" s="13" t="s">
        <v>41</v>
      </c>
      <c r="G476">
        <v>5</v>
      </c>
      <c r="H476">
        <v>2750.64</v>
      </c>
      <c r="I476">
        <v>2736.06</v>
      </c>
      <c r="J476">
        <v>0.67721064814814813</v>
      </c>
      <c r="K476">
        <v>0.70833333333333337</v>
      </c>
      <c r="L476">
        <v>2640</v>
      </c>
      <c r="M476" s="8">
        <v>44</v>
      </c>
      <c r="N476">
        <v>14.579999999999927</v>
      </c>
      <c r="O476">
        <v>14579.999999999927</v>
      </c>
      <c r="P476" s="2">
        <v>0.99251191286588658</v>
      </c>
      <c r="Q476">
        <v>818.18</v>
      </c>
      <c r="R476">
        <v>8.1818000000000002E-2</v>
      </c>
      <c r="S476">
        <v>67.500150000332994</v>
      </c>
      <c r="T476">
        <v>32</v>
      </c>
      <c r="U476" s="8">
        <v>37</v>
      </c>
      <c r="V476">
        <v>4.7547753962618131</v>
      </c>
      <c r="W476">
        <f t="shared" si="143"/>
        <v>1.7592668966168707</v>
      </c>
      <c r="X476" s="12">
        <f t="shared" si="144"/>
        <v>2.9955084996449424</v>
      </c>
    </row>
    <row r="477" spans="1:24" x14ac:dyDescent="0.25">
      <c r="A477">
        <v>3</v>
      </c>
      <c r="B477">
        <v>1</v>
      </c>
      <c r="C477">
        <v>5</v>
      </c>
      <c r="D477">
        <v>2</v>
      </c>
      <c r="E477" t="s">
        <v>24</v>
      </c>
      <c r="F477" s="13" t="s">
        <v>41</v>
      </c>
      <c r="G477">
        <v>6</v>
      </c>
      <c r="H477">
        <v>2730.88</v>
      </c>
      <c r="I477">
        <v>2716.19</v>
      </c>
      <c r="J477">
        <v>0.72222222222222221</v>
      </c>
      <c r="K477">
        <v>0.7540162037037037</v>
      </c>
      <c r="L477">
        <v>2700</v>
      </c>
      <c r="M477" s="8">
        <v>45</v>
      </c>
      <c r="N477">
        <v>14.690000000000055</v>
      </c>
      <c r="O477">
        <v>14690.000000000055</v>
      </c>
      <c r="P477" s="2">
        <v>1</v>
      </c>
      <c r="Q477">
        <v>818.18</v>
      </c>
      <c r="R477">
        <v>8.1818000000000002E-2</v>
      </c>
      <c r="S477">
        <v>66.498090160365209</v>
      </c>
      <c r="T477">
        <v>32</v>
      </c>
      <c r="U477" s="8">
        <v>24</v>
      </c>
      <c r="V477">
        <v>4.7547753962618131</v>
      </c>
      <c r="W477">
        <f t="shared" si="143"/>
        <v>1.1411460951028352</v>
      </c>
      <c r="X477" s="12">
        <f t="shared" si="144"/>
        <v>3.6136293011589782</v>
      </c>
    </row>
    <row r="478" spans="1:24" x14ac:dyDescent="0.25">
      <c r="A478">
        <v>3</v>
      </c>
      <c r="B478">
        <v>2</v>
      </c>
      <c r="C478">
        <v>5</v>
      </c>
      <c r="D478">
        <v>2</v>
      </c>
      <c r="E478" t="s">
        <v>24</v>
      </c>
      <c r="F478" s="13" t="s">
        <v>41</v>
      </c>
      <c r="G478">
        <v>2</v>
      </c>
      <c r="H478">
        <v>2835.46</v>
      </c>
      <c r="I478">
        <v>2827.03</v>
      </c>
      <c r="J478">
        <v>0.375</v>
      </c>
      <c r="K478">
        <v>0.40574074074074074</v>
      </c>
      <c r="L478">
        <v>2640</v>
      </c>
      <c r="M478" s="8">
        <v>44</v>
      </c>
      <c r="N478">
        <v>8.4299999999998363</v>
      </c>
      <c r="O478">
        <v>8429.9999999998363</v>
      </c>
      <c r="P478" s="2">
        <v>0.54212218649515997</v>
      </c>
      <c r="Q478">
        <v>818.18</v>
      </c>
      <c r="R478">
        <v>8.1818000000000002E-2</v>
      </c>
      <c r="S478">
        <v>39.027864506364807</v>
      </c>
      <c r="T478">
        <v>32</v>
      </c>
      <c r="U478" s="8">
        <v>68</v>
      </c>
      <c r="V478">
        <v>4.7547753962618131</v>
      </c>
      <c r="W478">
        <f t="shared" si="143"/>
        <v>3.2332472694580332</v>
      </c>
      <c r="X478" s="12">
        <f t="shared" si="144"/>
        <v>1.5215281268037799</v>
      </c>
    </row>
    <row r="479" spans="1:24" x14ac:dyDescent="0.25">
      <c r="A479">
        <v>3</v>
      </c>
      <c r="B479">
        <v>2</v>
      </c>
      <c r="C479">
        <v>5</v>
      </c>
      <c r="D479">
        <v>2</v>
      </c>
      <c r="E479" t="s">
        <v>24</v>
      </c>
      <c r="F479" s="13" t="s">
        <v>41</v>
      </c>
      <c r="G479">
        <v>3</v>
      </c>
      <c r="H479">
        <v>2821.35</v>
      </c>
      <c r="I479">
        <v>2811.4</v>
      </c>
      <c r="J479">
        <v>0.42790509259259257</v>
      </c>
      <c r="K479">
        <v>0.45833333333333331</v>
      </c>
      <c r="L479">
        <v>2580</v>
      </c>
      <c r="M479" s="8">
        <v>43</v>
      </c>
      <c r="N479">
        <v>9.9499999999998181</v>
      </c>
      <c r="O479">
        <v>9949.9999999998181</v>
      </c>
      <c r="P479" s="2">
        <v>0.63987138263663679</v>
      </c>
      <c r="Q479">
        <v>818.18</v>
      </c>
      <c r="R479">
        <v>8.1818000000000002E-2</v>
      </c>
      <c r="S479">
        <v>47.136194325047683</v>
      </c>
      <c r="T479">
        <v>32</v>
      </c>
      <c r="U479" s="8">
        <v>57</v>
      </c>
      <c r="V479">
        <v>4.7547753962618131</v>
      </c>
      <c r="W479">
        <f t="shared" si="143"/>
        <v>2.7102219758692332</v>
      </c>
      <c r="X479" s="12">
        <f t="shared" si="144"/>
        <v>2.0445534203925799</v>
      </c>
    </row>
    <row r="480" spans="1:24" x14ac:dyDescent="0.25">
      <c r="A480">
        <v>3</v>
      </c>
      <c r="B480">
        <v>2</v>
      </c>
      <c r="C480">
        <v>5</v>
      </c>
      <c r="D480">
        <v>2</v>
      </c>
      <c r="E480" t="s">
        <v>24</v>
      </c>
      <c r="F480" s="13" t="s">
        <v>41</v>
      </c>
      <c r="G480">
        <v>4</v>
      </c>
      <c r="H480">
        <v>2804.98</v>
      </c>
      <c r="I480">
        <v>2793.95</v>
      </c>
      <c r="J480">
        <v>0.47795138888888888</v>
      </c>
      <c r="K480">
        <v>0.50929398148148153</v>
      </c>
      <c r="L480">
        <v>2700</v>
      </c>
      <c r="M480" s="8">
        <v>45</v>
      </c>
      <c r="N480">
        <v>11.0300000000002</v>
      </c>
      <c r="O480">
        <v>11030.0000000002</v>
      </c>
      <c r="P480" s="2">
        <v>0.70932475884244828</v>
      </c>
      <c r="Q480">
        <v>818.18</v>
      </c>
      <c r="R480">
        <v>8.1818000000000002E-2</v>
      </c>
      <c r="S480">
        <v>49.930152108157856</v>
      </c>
      <c r="T480">
        <v>32</v>
      </c>
      <c r="U480" s="8">
        <v>47</v>
      </c>
      <c r="V480">
        <v>4.7547753962618131</v>
      </c>
      <c r="W480">
        <f t="shared" si="143"/>
        <v>2.234744436243052</v>
      </c>
      <c r="X480" s="12">
        <f t="shared" si="144"/>
        <v>2.5200309600187611</v>
      </c>
    </row>
    <row r="481" spans="1:30" x14ac:dyDescent="0.25">
      <c r="A481">
        <v>3</v>
      </c>
      <c r="B481">
        <v>2</v>
      </c>
      <c r="C481">
        <v>5</v>
      </c>
      <c r="D481">
        <v>3</v>
      </c>
      <c r="E481" t="s">
        <v>30</v>
      </c>
      <c r="F481" s="13" t="s">
        <v>39</v>
      </c>
      <c r="G481">
        <v>6</v>
      </c>
      <c r="H481">
        <v>2211.5100000000002</v>
      </c>
      <c r="I481">
        <v>2196.84</v>
      </c>
      <c r="J481">
        <v>0.59027777777777779</v>
      </c>
      <c r="K481">
        <v>0.62239583333333337</v>
      </c>
      <c r="L481">
        <v>2760</v>
      </c>
      <c r="M481" s="8">
        <v>46</v>
      </c>
      <c r="N481">
        <v>14.670000000000073</v>
      </c>
      <c r="O481">
        <v>14670.000000000073</v>
      </c>
      <c r="P481" s="2">
        <v>1</v>
      </c>
      <c r="Q481">
        <v>742.8</v>
      </c>
      <c r="R481">
        <v>7.4279999999999999E-2</v>
      </c>
      <c r="S481">
        <v>71.556507691227438</v>
      </c>
      <c r="T481">
        <v>32</v>
      </c>
      <c r="U481" s="8">
        <v>24</v>
      </c>
      <c r="V481">
        <v>4.7547753962618131</v>
      </c>
      <c r="W481">
        <f t="shared" si="143"/>
        <v>1.1411460951028352</v>
      </c>
      <c r="X481" s="12">
        <f t="shared" si="144"/>
        <v>3.6136293011589782</v>
      </c>
      <c r="Y481" s="22">
        <v>8.2641999999999993E-2</v>
      </c>
      <c r="Z481" s="22">
        <v>7.9965999999999995E-2</v>
      </c>
      <c r="AA481" s="22">
        <v>7.0385000000000003E-2</v>
      </c>
      <c r="AB481">
        <v>29.97</v>
      </c>
      <c r="AC481">
        <v>30.05</v>
      </c>
      <c r="AD481">
        <v>30.27</v>
      </c>
    </row>
    <row r="482" spans="1:30" x14ac:dyDescent="0.25">
      <c r="A482">
        <v>3</v>
      </c>
      <c r="B482">
        <v>2</v>
      </c>
      <c r="C482">
        <v>5</v>
      </c>
      <c r="D482">
        <v>2</v>
      </c>
      <c r="E482" t="s">
        <v>24</v>
      </c>
      <c r="F482" s="13" t="s">
        <v>41</v>
      </c>
      <c r="G482">
        <v>6</v>
      </c>
      <c r="H482">
        <v>2760.88</v>
      </c>
      <c r="I482">
        <v>2745.33</v>
      </c>
      <c r="J482">
        <v>0.59027777777777779</v>
      </c>
      <c r="K482">
        <v>0.62239583333333337</v>
      </c>
      <c r="L482">
        <v>2760</v>
      </c>
      <c r="M482" s="8">
        <v>46</v>
      </c>
      <c r="N482">
        <v>15.550000000000182</v>
      </c>
      <c r="O482">
        <v>15550.000000000182</v>
      </c>
      <c r="P482" s="2">
        <v>1</v>
      </c>
      <c r="Q482">
        <v>818.18</v>
      </c>
      <c r="R482">
        <v>8.1818000000000002E-2</v>
      </c>
      <c r="S482">
        <v>68.860861558759183</v>
      </c>
      <c r="T482">
        <v>32</v>
      </c>
      <c r="U482" s="8">
        <v>24</v>
      </c>
      <c r="V482">
        <v>4.7547753962618131</v>
      </c>
      <c r="W482">
        <f t="shared" si="143"/>
        <v>1.1411460951028352</v>
      </c>
      <c r="X482" s="12">
        <f t="shared" si="144"/>
        <v>3.6136293011589782</v>
      </c>
      <c r="Y482" s="22">
        <v>0.118409</v>
      </c>
      <c r="Z482" s="22">
        <v>0.11412799999999999</v>
      </c>
      <c r="AA482" s="22">
        <v>0.120646</v>
      </c>
      <c r="AB482">
        <v>29.6</v>
      </c>
      <c r="AC482">
        <v>29.61</v>
      </c>
      <c r="AD482">
        <v>29.64</v>
      </c>
    </row>
    <row r="483" spans="1:30" x14ac:dyDescent="0.25">
      <c r="A483">
        <v>4</v>
      </c>
      <c r="B483">
        <v>1</v>
      </c>
      <c r="C483">
        <v>6</v>
      </c>
      <c r="D483">
        <v>4</v>
      </c>
      <c r="E483" t="s">
        <v>32</v>
      </c>
      <c r="F483" s="13" t="s">
        <v>42</v>
      </c>
      <c r="G483">
        <v>6</v>
      </c>
      <c r="H483">
        <v>2416.9</v>
      </c>
      <c r="I483">
        <v>2368.44</v>
      </c>
      <c r="J483" s="11">
        <v>0.58107638888888891</v>
      </c>
      <c r="K483" s="7">
        <v>0.6090740740740741</v>
      </c>
      <c r="L483">
        <f t="shared" ref="L483:L492" si="145">M483*60</f>
        <v>2400</v>
      </c>
      <c r="M483" s="8">
        <v>40</v>
      </c>
      <c r="N483" s="8">
        <f t="shared" ref="N483:N492" si="146">H483-I483</f>
        <v>48.460000000000036</v>
      </c>
      <c r="O483">
        <f t="shared" ref="O483:O492" si="147">N483*1000</f>
        <v>48460.000000000036</v>
      </c>
      <c r="P483" s="2">
        <v>1</v>
      </c>
      <c r="Q483">
        <v>4004.66</v>
      </c>
      <c r="R483">
        <f t="shared" ref="R483:R492" si="148">+Q483/10000</f>
        <v>0.40046599999999999</v>
      </c>
      <c r="S483">
        <f t="shared" ref="S483:S492" si="149">O483/(R483*L483)</f>
        <v>50.420426869363901</v>
      </c>
      <c r="T483">
        <v>32</v>
      </c>
      <c r="U483" s="8">
        <v>27</v>
      </c>
      <c r="V483">
        <f t="shared" ref="V483:V492" si="150">0.6108*EXP((17.27*T483)/(T483+237.3))</f>
        <v>4.7547753962618131</v>
      </c>
      <c r="W483">
        <f t="shared" si="143"/>
        <v>1.2837893569906895</v>
      </c>
      <c r="X483" s="12">
        <f t="shared" si="144"/>
        <v>3.4709860392711236</v>
      </c>
      <c r="Y483" s="23">
        <v>5.7440999999999999E-2</v>
      </c>
      <c r="Z483" s="23">
        <v>7.1296999999999999E-2</v>
      </c>
      <c r="AA483" s="23">
        <v>8.5001999999999994E-2</v>
      </c>
      <c r="AB483">
        <v>28.37</v>
      </c>
      <c r="AC483">
        <v>28.42</v>
      </c>
      <c r="AD483">
        <v>28.22</v>
      </c>
    </row>
    <row r="484" spans="1:30" x14ac:dyDescent="0.25">
      <c r="A484">
        <v>4</v>
      </c>
      <c r="B484">
        <v>1</v>
      </c>
      <c r="C484">
        <v>4</v>
      </c>
      <c r="D484">
        <v>1</v>
      </c>
      <c r="E484" t="s">
        <v>26</v>
      </c>
      <c r="F484" s="13" t="s">
        <v>41</v>
      </c>
      <c r="G484">
        <v>6</v>
      </c>
      <c r="H484">
        <v>2329.2199999999998</v>
      </c>
      <c r="I484">
        <v>2291.27</v>
      </c>
      <c r="J484" s="11">
        <v>0.58107638888888891</v>
      </c>
      <c r="K484" s="7">
        <v>0.6090740740740741</v>
      </c>
      <c r="L484">
        <f t="shared" si="145"/>
        <v>2400</v>
      </c>
      <c r="M484" s="8">
        <v>40</v>
      </c>
      <c r="N484" s="8">
        <f t="shared" si="146"/>
        <v>37.949999999999818</v>
      </c>
      <c r="O484">
        <f t="shared" si="147"/>
        <v>37949.999999999818</v>
      </c>
      <c r="P484" s="2">
        <v>1</v>
      </c>
      <c r="Q484">
        <v>3146.27</v>
      </c>
      <c r="R484">
        <f t="shared" si="148"/>
        <v>0.31462699999999999</v>
      </c>
      <c r="S484">
        <f t="shared" si="149"/>
        <v>50.257924462935236</v>
      </c>
      <c r="T484">
        <v>32</v>
      </c>
      <c r="U484" s="8">
        <v>27</v>
      </c>
      <c r="V484">
        <f t="shared" si="150"/>
        <v>4.7547753962618131</v>
      </c>
      <c r="W484">
        <f t="shared" si="143"/>
        <v>1.2837893569906895</v>
      </c>
      <c r="X484" s="12">
        <f t="shared" si="144"/>
        <v>3.4709860392711236</v>
      </c>
      <c r="Y484" s="23">
        <v>5.5861000000000001E-2</v>
      </c>
      <c r="Z484" s="23">
        <v>6.6809999999999994E-2</v>
      </c>
      <c r="AA484" s="23">
        <v>9.1632000000000005E-2</v>
      </c>
      <c r="AB484">
        <v>27.92</v>
      </c>
      <c r="AC484">
        <v>27.83</v>
      </c>
      <c r="AD484">
        <v>27.88</v>
      </c>
    </row>
    <row r="485" spans="1:30" x14ac:dyDescent="0.25">
      <c r="A485">
        <v>4</v>
      </c>
      <c r="B485">
        <v>1</v>
      </c>
      <c r="C485">
        <v>1</v>
      </c>
      <c r="D485">
        <v>2</v>
      </c>
      <c r="E485" t="s">
        <v>29</v>
      </c>
      <c r="F485" s="13" t="s">
        <v>42</v>
      </c>
      <c r="G485">
        <v>6</v>
      </c>
      <c r="H485">
        <v>2609.4299999999998</v>
      </c>
      <c r="I485">
        <v>2555.31</v>
      </c>
      <c r="J485" s="11">
        <v>0.58107638888888891</v>
      </c>
      <c r="K485" s="7">
        <v>0.6090740740740741</v>
      </c>
      <c r="L485">
        <f t="shared" si="145"/>
        <v>2400</v>
      </c>
      <c r="M485" s="8">
        <v>40</v>
      </c>
      <c r="N485" s="8">
        <f t="shared" si="146"/>
        <v>54.119999999999891</v>
      </c>
      <c r="O485">
        <f t="shared" si="147"/>
        <v>54119.999999999891</v>
      </c>
      <c r="P485" s="2">
        <v>1</v>
      </c>
      <c r="Q485">
        <v>4071.71</v>
      </c>
      <c r="R485">
        <f t="shared" si="148"/>
        <v>0.40717100000000001</v>
      </c>
      <c r="S485">
        <f t="shared" si="149"/>
        <v>55.382136743530246</v>
      </c>
      <c r="T485">
        <v>32</v>
      </c>
      <c r="U485" s="8">
        <v>27</v>
      </c>
      <c r="V485">
        <f t="shared" si="150"/>
        <v>4.7547753962618131</v>
      </c>
      <c r="W485">
        <f t="shared" si="143"/>
        <v>1.2837893569906895</v>
      </c>
      <c r="X485" s="12">
        <f t="shared" si="144"/>
        <v>3.4709860392711236</v>
      </c>
      <c r="Y485" s="23">
        <v>6.2653E-2</v>
      </c>
      <c r="Z485" s="23">
        <v>5.3470999999999998E-2</v>
      </c>
      <c r="AA485" s="23">
        <v>0.11523700000000001</v>
      </c>
      <c r="AB485">
        <v>25.54</v>
      </c>
      <c r="AC485">
        <v>26.43</v>
      </c>
      <c r="AD485">
        <v>25.63</v>
      </c>
    </row>
    <row r="486" spans="1:30" x14ac:dyDescent="0.25">
      <c r="A486">
        <v>4</v>
      </c>
      <c r="B486">
        <v>1</v>
      </c>
      <c r="C486">
        <v>5</v>
      </c>
      <c r="D486">
        <v>5</v>
      </c>
      <c r="E486" t="s">
        <v>30</v>
      </c>
      <c r="F486" s="13" t="s">
        <v>39</v>
      </c>
      <c r="G486">
        <v>6</v>
      </c>
      <c r="H486">
        <v>2419.9</v>
      </c>
      <c r="I486">
        <v>2375.66</v>
      </c>
      <c r="J486" s="11">
        <v>0.58107638888888891</v>
      </c>
      <c r="K486" s="7">
        <v>0.6090740740740741</v>
      </c>
      <c r="L486">
        <f t="shared" si="145"/>
        <v>2400</v>
      </c>
      <c r="M486" s="8">
        <v>40</v>
      </c>
      <c r="N486" s="8">
        <f t="shared" si="146"/>
        <v>44.240000000000236</v>
      </c>
      <c r="O486">
        <f t="shared" si="147"/>
        <v>44240.000000000233</v>
      </c>
      <c r="P486" s="2">
        <v>1</v>
      </c>
      <c r="Q486">
        <v>2899.36</v>
      </c>
      <c r="R486">
        <f t="shared" si="148"/>
        <v>0.28993600000000003</v>
      </c>
      <c r="S486">
        <f t="shared" si="149"/>
        <v>63.577249232014758</v>
      </c>
      <c r="T486">
        <v>32</v>
      </c>
      <c r="U486" s="8">
        <v>27</v>
      </c>
      <c r="V486">
        <f t="shared" si="150"/>
        <v>4.7547753962618131</v>
      </c>
      <c r="W486">
        <f t="shared" si="143"/>
        <v>1.2837893569906895</v>
      </c>
      <c r="X486" s="12">
        <f t="shared" si="144"/>
        <v>3.4709860392711236</v>
      </c>
      <c r="Y486" s="23">
        <v>8.4699999999999998E-2</v>
      </c>
      <c r="Z486" s="23">
        <v>0.11817900000000001</v>
      </c>
      <c r="AA486" s="23">
        <v>0.130661</v>
      </c>
      <c r="AB486">
        <v>27.76</v>
      </c>
      <c r="AC486">
        <v>27.85</v>
      </c>
      <c r="AD486">
        <v>27.61</v>
      </c>
    </row>
    <row r="487" spans="1:30" x14ac:dyDescent="0.25">
      <c r="A487">
        <v>4</v>
      </c>
      <c r="B487">
        <v>1</v>
      </c>
      <c r="C487">
        <v>5</v>
      </c>
      <c r="D487">
        <v>2</v>
      </c>
      <c r="E487" t="s">
        <v>24</v>
      </c>
      <c r="F487" s="13" t="s">
        <v>41</v>
      </c>
      <c r="G487">
        <v>6</v>
      </c>
      <c r="H487">
        <v>2474.65</v>
      </c>
      <c r="I487">
        <v>2447.8200000000002</v>
      </c>
      <c r="J487" s="11">
        <v>0.58107638888888891</v>
      </c>
      <c r="K487" s="7">
        <v>0.6090740740740741</v>
      </c>
      <c r="L487">
        <f t="shared" si="145"/>
        <v>2400</v>
      </c>
      <c r="M487" s="8">
        <v>40</v>
      </c>
      <c r="N487" s="8">
        <f t="shared" si="146"/>
        <v>26.829999999999927</v>
      </c>
      <c r="O487">
        <f t="shared" si="147"/>
        <v>26829.999999999927</v>
      </c>
      <c r="P487" s="2">
        <v>1</v>
      </c>
      <c r="Q487">
        <v>1459.08</v>
      </c>
      <c r="R487">
        <f t="shared" si="148"/>
        <v>0.14590799999999998</v>
      </c>
      <c r="S487">
        <f t="shared" si="149"/>
        <v>76.617914484926374</v>
      </c>
      <c r="T487">
        <v>32</v>
      </c>
      <c r="U487" s="8">
        <v>27</v>
      </c>
      <c r="V487">
        <f t="shared" si="150"/>
        <v>4.7547753962618131</v>
      </c>
      <c r="W487">
        <f t="shared" si="143"/>
        <v>1.2837893569906895</v>
      </c>
      <c r="X487" s="12">
        <f t="shared" si="144"/>
        <v>3.4709860392711236</v>
      </c>
      <c r="Y487" s="23">
        <v>0.124183</v>
      </c>
      <c r="Z487" s="23">
        <v>0.159802</v>
      </c>
      <c r="AA487" s="23">
        <v>8.3985000000000004E-2</v>
      </c>
      <c r="AB487">
        <v>27.87</v>
      </c>
      <c r="AC487">
        <v>28.15</v>
      </c>
      <c r="AD487">
        <v>28.6</v>
      </c>
    </row>
    <row r="488" spans="1:30" x14ac:dyDescent="0.25">
      <c r="A488">
        <v>4</v>
      </c>
      <c r="B488">
        <v>2</v>
      </c>
      <c r="C488">
        <v>6</v>
      </c>
      <c r="D488">
        <v>4</v>
      </c>
      <c r="E488" t="s">
        <v>32</v>
      </c>
      <c r="F488" s="13" t="s">
        <v>42</v>
      </c>
      <c r="G488">
        <v>5</v>
      </c>
      <c r="H488">
        <v>2240.2399999999998</v>
      </c>
      <c r="I488">
        <v>2210.35</v>
      </c>
      <c r="J488" s="7">
        <v>0.61285879629629625</v>
      </c>
      <c r="K488" s="7">
        <v>0.63888888888888884</v>
      </c>
      <c r="L488">
        <f t="shared" si="145"/>
        <v>2237.4</v>
      </c>
      <c r="M488" s="8">
        <v>37.29</v>
      </c>
      <c r="N488" s="8">
        <f t="shared" si="146"/>
        <v>29.889999999999873</v>
      </c>
      <c r="O488">
        <f t="shared" si="147"/>
        <v>29889.999999999873</v>
      </c>
      <c r="P488" s="2">
        <v>0.49024110218140021</v>
      </c>
      <c r="Q488">
        <v>4004.66</v>
      </c>
      <c r="R488">
        <f t="shared" si="148"/>
        <v>0.40046599999999999</v>
      </c>
      <c r="S488">
        <f t="shared" si="149"/>
        <v>33.359277141156063</v>
      </c>
      <c r="T488">
        <v>32</v>
      </c>
      <c r="U488" s="8">
        <v>30</v>
      </c>
      <c r="V488">
        <f t="shared" si="150"/>
        <v>4.7547753962618131</v>
      </c>
      <c r="W488">
        <f t="shared" si="143"/>
        <v>1.4264326188785439</v>
      </c>
      <c r="X488" s="12">
        <f t="shared" si="144"/>
        <v>3.328342777383269</v>
      </c>
    </row>
    <row r="489" spans="1:30" x14ac:dyDescent="0.25">
      <c r="A489">
        <v>4</v>
      </c>
      <c r="B489">
        <v>2</v>
      </c>
      <c r="C489">
        <v>4</v>
      </c>
      <c r="D489">
        <v>1</v>
      </c>
      <c r="E489" t="s">
        <v>26</v>
      </c>
      <c r="F489" s="13" t="s">
        <v>41</v>
      </c>
      <c r="G489">
        <v>5</v>
      </c>
      <c r="H489">
        <v>2203.0100000000002</v>
      </c>
      <c r="I489">
        <v>2171.19</v>
      </c>
      <c r="J489" s="7">
        <v>0.61285879629629625</v>
      </c>
      <c r="K489" s="7">
        <v>0.63888888888888884</v>
      </c>
      <c r="L489">
        <f t="shared" si="145"/>
        <v>2237.4</v>
      </c>
      <c r="M489" s="8">
        <v>37.29</v>
      </c>
      <c r="N489" s="8">
        <f t="shared" si="146"/>
        <v>31.820000000000164</v>
      </c>
      <c r="O489">
        <f t="shared" si="147"/>
        <v>31820.000000000164</v>
      </c>
      <c r="P489" s="2">
        <v>0.66722583350807563</v>
      </c>
      <c r="Q489">
        <v>3146.27</v>
      </c>
      <c r="R489">
        <f t="shared" si="148"/>
        <v>0.31462699999999999</v>
      </c>
      <c r="S489">
        <f t="shared" si="149"/>
        <v>45.202301977715244</v>
      </c>
      <c r="T489">
        <v>32</v>
      </c>
      <c r="U489" s="8">
        <v>30</v>
      </c>
      <c r="V489">
        <f t="shared" si="150"/>
        <v>4.7547753962618131</v>
      </c>
      <c r="W489">
        <f t="shared" si="143"/>
        <v>1.4264326188785439</v>
      </c>
      <c r="X489" s="12">
        <f t="shared" si="144"/>
        <v>3.328342777383269</v>
      </c>
    </row>
    <row r="490" spans="1:30" x14ac:dyDescent="0.25">
      <c r="A490">
        <v>4</v>
      </c>
      <c r="B490">
        <v>2</v>
      </c>
      <c r="C490">
        <v>1</v>
      </c>
      <c r="D490">
        <v>2</v>
      </c>
      <c r="E490" t="s">
        <v>29</v>
      </c>
      <c r="F490" s="13" t="s">
        <v>42</v>
      </c>
      <c r="G490">
        <v>5</v>
      </c>
      <c r="H490">
        <v>2343.59</v>
      </c>
      <c r="I490">
        <v>2319.91</v>
      </c>
      <c r="J490" s="7">
        <v>0.61285879629629625</v>
      </c>
      <c r="K490" s="7">
        <v>0.63888888888888884</v>
      </c>
      <c r="L490">
        <f t="shared" si="145"/>
        <v>2237.4</v>
      </c>
      <c r="M490" s="8">
        <v>37.29</v>
      </c>
      <c r="N490" s="8">
        <f t="shared" si="146"/>
        <v>23.680000000000291</v>
      </c>
      <c r="O490">
        <f t="shared" si="147"/>
        <v>23680.000000000291</v>
      </c>
      <c r="P490" s="2">
        <v>0.40736280750043752</v>
      </c>
      <c r="Q490">
        <v>4071.71</v>
      </c>
      <c r="R490">
        <f t="shared" si="148"/>
        <v>0.40717100000000001</v>
      </c>
      <c r="S490">
        <f t="shared" si="149"/>
        <v>25.993288418331918</v>
      </c>
      <c r="T490">
        <v>32</v>
      </c>
      <c r="U490" s="8">
        <v>30</v>
      </c>
      <c r="V490">
        <f t="shared" si="150"/>
        <v>4.7547753962618131</v>
      </c>
      <c r="W490">
        <f t="shared" si="143"/>
        <v>1.4264326188785439</v>
      </c>
      <c r="X490" s="12">
        <f t="shared" si="144"/>
        <v>3.328342777383269</v>
      </c>
    </row>
    <row r="491" spans="1:30" x14ac:dyDescent="0.25">
      <c r="A491">
        <v>4</v>
      </c>
      <c r="B491">
        <v>2</v>
      </c>
      <c r="C491">
        <v>5</v>
      </c>
      <c r="D491">
        <v>5</v>
      </c>
      <c r="E491" t="s">
        <v>30</v>
      </c>
      <c r="F491" s="13" t="s">
        <v>39</v>
      </c>
      <c r="G491">
        <v>5</v>
      </c>
      <c r="H491">
        <v>2246.38</v>
      </c>
      <c r="I491">
        <v>2219.63</v>
      </c>
      <c r="J491" s="7">
        <v>0.61285879629629625</v>
      </c>
      <c r="K491" s="7">
        <v>0.63888888888888884</v>
      </c>
      <c r="L491">
        <f t="shared" si="145"/>
        <v>2237.4</v>
      </c>
      <c r="M491" s="8">
        <v>37.29</v>
      </c>
      <c r="N491" s="8">
        <f t="shared" si="146"/>
        <v>26.75</v>
      </c>
      <c r="O491">
        <f t="shared" si="147"/>
        <v>26750</v>
      </c>
      <c r="P491" s="2">
        <v>0.47947660871123887</v>
      </c>
      <c r="Q491">
        <v>2899.36</v>
      </c>
      <c r="R491">
        <f t="shared" si="148"/>
        <v>0.28993600000000003</v>
      </c>
      <c r="S491">
        <f t="shared" si="149"/>
        <v>41.236140396016012</v>
      </c>
      <c r="T491">
        <v>32</v>
      </c>
      <c r="U491" s="8">
        <v>30</v>
      </c>
      <c r="V491">
        <f t="shared" si="150"/>
        <v>4.7547753962618131</v>
      </c>
      <c r="W491">
        <f t="shared" si="143"/>
        <v>1.4264326188785439</v>
      </c>
      <c r="X491" s="12">
        <f t="shared" si="144"/>
        <v>3.328342777383269</v>
      </c>
    </row>
    <row r="492" spans="1:30" x14ac:dyDescent="0.25">
      <c r="A492">
        <v>4</v>
      </c>
      <c r="B492">
        <v>2</v>
      </c>
      <c r="C492">
        <v>5</v>
      </c>
      <c r="D492">
        <v>2</v>
      </c>
      <c r="E492" t="s">
        <v>24</v>
      </c>
      <c r="F492" s="13" t="s">
        <v>41</v>
      </c>
      <c r="G492">
        <v>5</v>
      </c>
      <c r="H492">
        <v>2396.46</v>
      </c>
      <c r="I492">
        <v>2369.48</v>
      </c>
      <c r="J492" s="7">
        <v>0.61285879629629625</v>
      </c>
      <c r="K492" s="7">
        <v>0.63888888888888884</v>
      </c>
      <c r="L492">
        <f t="shared" si="145"/>
        <v>2237.4</v>
      </c>
      <c r="M492" s="8">
        <v>37.29</v>
      </c>
      <c r="N492" s="8">
        <f t="shared" si="146"/>
        <v>26.980000000000018</v>
      </c>
      <c r="O492">
        <f t="shared" si="147"/>
        <v>26980.000000000018</v>
      </c>
      <c r="P492" s="2">
        <v>0.88720815521210616</v>
      </c>
      <c r="Q492">
        <v>1459.08</v>
      </c>
      <c r="R492">
        <f t="shared" si="148"/>
        <v>0.14590799999999998</v>
      </c>
      <c r="S492">
        <f t="shared" si="149"/>
        <v>82.645499165692229</v>
      </c>
      <c r="T492">
        <v>32</v>
      </c>
      <c r="U492" s="8">
        <v>30</v>
      </c>
      <c r="V492">
        <f t="shared" si="150"/>
        <v>4.7547753962618131</v>
      </c>
      <c r="W492">
        <f t="shared" si="143"/>
        <v>1.4264326188785439</v>
      </c>
      <c r="X492" s="12">
        <f t="shared" si="144"/>
        <v>3.328342777383269</v>
      </c>
    </row>
  </sheetData>
  <autoFilter ref="A1:X492" xr:uid="{89AF268C-AD7F-41DC-B3D3-C9D08D39E6F2}">
    <sortState xmlns:xlrd2="http://schemas.microsoft.com/office/spreadsheetml/2017/richdata2" ref="A2:X430">
      <sortCondition ref="B1:B492"/>
    </sortState>
  </autoFilter>
  <phoneticPr fontId="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881F-55D6-4711-80F5-920A59A87677}">
  <dimension ref="B1:D15"/>
  <sheetViews>
    <sheetView workbookViewId="0">
      <selection activeCell="B1" sqref="B1:D15"/>
    </sheetView>
  </sheetViews>
  <sheetFormatPr defaultRowHeight="15" x14ac:dyDescent="0.25"/>
  <cols>
    <col min="3" max="3" width="19.140625" customWidth="1"/>
  </cols>
  <sheetData>
    <row r="1" spans="2:4" ht="15.75" thickBot="1" x14ac:dyDescent="0.3">
      <c r="B1" s="25" t="s">
        <v>4</v>
      </c>
      <c r="C1" s="26" t="s">
        <v>56</v>
      </c>
      <c r="D1" s="31" t="s">
        <v>55</v>
      </c>
    </row>
    <row r="2" spans="2:4" ht="15.75" thickBot="1" x14ac:dyDescent="0.3">
      <c r="B2" s="27" t="s">
        <v>35</v>
      </c>
      <c r="C2" s="28" t="s">
        <v>38</v>
      </c>
      <c r="D2" s="32" t="s">
        <v>57</v>
      </c>
    </row>
    <row r="3" spans="2:4" ht="15.75" thickBot="1" x14ac:dyDescent="0.3">
      <c r="B3" s="27" t="s">
        <v>33</v>
      </c>
      <c r="C3" s="28" t="s">
        <v>38</v>
      </c>
      <c r="D3" s="32" t="s">
        <v>57</v>
      </c>
    </row>
    <row r="4" spans="2:4" ht="15.75" thickBot="1" x14ac:dyDescent="0.3">
      <c r="B4" s="27" t="s">
        <v>23</v>
      </c>
      <c r="C4" s="28" t="s">
        <v>39</v>
      </c>
      <c r="D4" s="32" t="s">
        <v>58</v>
      </c>
    </row>
    <row r="5" spans="2:4" ht="15.75" thickBot="1" x14ac:dyDescent="0.3">
      <c r="B5" s="27" t="s">
        <v>28</v>
      </c>
      <c r="C5" s="28" t="s">
        <v>40</v>
      </c>
      <c r="D5" s="32" t="s">
        <v>57</v>
      </c>
    </row>
    <row r="6" spans="2:4" ht="15.75" thickBot="1" x14ac:dyDescent="0.3">
      <c r="B6" s="27" t="s">
        <v>34</v>
      </c>
      <c r="C6" s="28" t="s">
        <v>39</v>
      </c>
      <c r="D6" s="32" t="s">
        <v>60</v>
      </c>
    </row>
    <row r="7" spans="2:4" ht="15.75" thickBot="1" x14ac:dyDescent="0.3">
      <c r="B7" s="27" t="s">
        <v>36</v>
      </c>
      <c r="C7" s="28" t="s">
        <v>41</v>
      </c>
      <c r="D7" s="32" t="s">
        <v>57</v>
      </c>
    </row>
    <row r="8" spans="2:4" ht="15.75" thickBot="1" x14ac:dyDescent="0.3">
      <c r="B8" s="27" t="s">
        <v>25</v>
      </c>
      <c r="C8" s="28" t="s">
        <v>41</v>
      </c>
      <c r="D8" s="32" t="s">
        <v>57</v>
      </c>
    </row>
    <row r="9" spans="2:4" ht="15.75" thickBot="1" x14ac:dyDescent="0.3">
      <c r="B9" s="27" t="s">
        <v>27</v>
      </c>
      <c r="C9" s="28" t="s">
        <v>39</v>
      </c>
      <c r="D9" s="32" t="s">
        <v>58</v>
      </c>
    </row>
    <row r="10" spans="2:4" ht="15.75" thickBot="1" x14ac:dyDescent="0.3">
      <c r="B10" s="27" t="s">
        <v>32</v>
      </c>
      <c r="C10" s="28" t="s">
        <v>42</v>
      </c>
      <c r="D10" s="32" t="s">
        <v>57</v>
      </c>
    </row>
    <row r="11" spans="2:4" ht="15.75" thickBot="1" x14ac:dyDescent="0.3">
      <c r="B11" s="27" t="s">
        <v>26</v>
      </c>
      <c r="C11" s="28" t="s">
        <v>41</v>
      </c>
      <c r="D11" s="32" t="s">
        <v>59</v>
      </c>
    </row>
    <row r="12" spans="2:4" ht="15.75" thickBot="1" x14ac:dyDescent="0.3">
      <c r="B12" s="27" t="s">
        <v>31</v>
      </c>
      <c r="C12" s="28" t="s">
        <v>41</v>
      </c>
      <c r="D12" s="32">
        <v>1</v>
      </c>
    </row>
    <row r="13" spans="2:4" ht="15.75" thickBot="1" x14ac:dyDescent="0.3">
      <c r="B13" s="27" t="s">
        <v>29</v>
      </c>
      <c r="C13" s="28" t="s">
        <v>42</v>
      </c>
      <c r="D13" s="32" t="s">
        <v>57</v>
      </c>
    </row>
    <row r="14" spans="2:4" ht="15.75" thickBot="1" x14ac:dyDescent="0.3">
      <c r="B14" s="27" t="s">
        <v>30</v>
      </c>
      <c r="C14" s="28" t="s">
        <v>39</v>
      </c>
      <c r="D14" s="32" t="s">
        <v>57</v>
      </c>
    </row>
    <row r="15" spans="2:4" ht="15.75" thickBot="1" x14ac:dyDescent="0.3">
      <c r="B15" s="29" t="s">
        <v>24</v>
      </c>
      <c r="C15" s="30" t="s">
        <v>41</v>
      </c>
      <c r="D15" s="3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2026-03-13T15:08:09Z</dcterms:created>
  <dcterms:modified xsi:type="dcterms:W3CDTF">2026-06-25T18:22:13Z</dcterms:modified>
</cp:coreProperties>
</file>